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C:\Construtor_Onto\ARQ\"/>
    </mc:Choice>
  </mc:AlternateContent>
  <xr:revisionPtr revIDLastSave="0" documentId="13_ncr:1_{194E85C8-6C79-4EBE-B2F5-0F939E12B86F}" xr6:coauthVersionLast="47" xr6:coauthVersionMax="47" xr10:uidLastSave="{00000000-0000-0000-0000-000000000000}"/>
  <bookViews>
    <workbookView xWindow="-120" yWindow="-120" windowWidth="24240" windowHeight="13290" tabRatio="520" xr2:uid="{00000000-000D-0000-FFFF-FFFF00000000}"/>
  </bookViews>
  <sheets>
    <sheet name="Projeto" sheetId="13" r:id="rId1"/>
    <sheet name="Classes" sheetId="9" r:id="rId2"/>
    <sheet name="Disjunt" sheetId="3" r:id="rId3"/>
    <sheet name="Interop" sheetId="15" r:id="rId4"/>
    <sheet name="FatosIn" sheetId="17" r:id="rId5"/>
  </sheets>
  <definedNames>
    <definedName name="_xlnm._FilterDatabase" localSheetId="1" hidden="1">Classes!$C$1:$C$1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49" i="9" l="1"/>
  <c r="V49" i="9"/>
  <c r="U49" i="9"/>
  <c r="T49" i="9"/>
  <c r="O49" i="9"/>
  <c r="N49" i="9"/>
  <c r="M49" i="9"/>
  <c r="L49" i="9"/>
  <c r="X51" i="9"/>
  <c r="V51" i="9"/>
  <c r="U51" i="9"/>
  <c r="T51" i="9"/>
  <c r="O51" i="9"/>
  <c r="N51" i="9"/>
  <c r="M51" i="9"/>
  <c r="L51" i="9"/>
  <c r="X123" i="9"/>
  <c r="V123" i="9"/>
  <c r="U123" i="9"/>
  <c r="T123" i="9"/>
  <c r="O123" i="9"/>
  <c r="N123" i="9"/>
  <c r="M123" i="9"/>
  <c r="L123" i="9"/>
  <c r="X122" i="9"/>
  <c r="V122" i="9"/>
  <c r="U122" i="9"/>
  <c r="T122" i="9"/>
  <c r="O122" i="9"/>
  <c r="N122" i="9"/>
  <c r="M122" i="9"/>
  <c r="L122" i="9"/>
  <c r="X125" i="9"/>
  <c r="V125" i="9"/>
  <c r="U125" i="9"/>
  <c r="T125" i="9"/>
  <c r="O125" i="9"/>
  <c r="N125" i="9"/>
  <c r="M125" i="9"/>
  <c r="L125" i="9"/>
  <c r="X135" i="9"/>
  <c r="V135" i="9"/>
  <c r="U135" i="9"/>
  <c r="T135" i="9"/>
  <c r="O135" i="9"/>
  <c r="N135" i="9"/>
  <c r="M135" i="9"/>
  <c r="L135" i="9"/>
  <c r="X134" i="9"/>
  <c r="V134" i="9"/>
  <c r="U134" i="9"/>
  <c r="T134" i="9"/>
  <c r="O134" i="9"/>
  <c r="N134" i="9"/>
  <c r="M134" i="9"/>
  <c r="L134" i="9"/>
  <c r="X133" i="9"/>
  <c r="V133" i="9"/>
  <c r="U133" i="9"/>
  <c r="T133" i="9"/>
  <c r="O133" i="9"/>
  <c r="N133" i="9"/>
  <c r="M133" i="9"/>
  <c r="L133" i="9"/>
  <c r="X132" i="9"/>
  <c r="V132" i="9"/>
  <c r="U132" i="9"/>
  <c r="T132" i="9"/>
  <c r="O132" i="9"/>
  <c r="N132" i="9"/>
  <c r="M132" i="9"/>
  <c r="L132" i="9"/>
  <c r="X131" i="9"/>
  <c r="V131" i="9"/>
  <c r="U131" i="9"/>
  <c r="T131" i="9"/>
  <c r="O131" i="9"/>
  <c r="N131" i="9"/>
  <c r="M131" i="9"/>
  <c r="L131" i="9"/>
  <c r="X130" i="9"/>
  <c r="V130" i="9"/>
  <c r="U130" i="9"/>
  <c r="T130" i="9"/>
  <c r="O130" i="9"/>
  <c r="N130" i="9"/>
  <c r="M130" i="9"/>
  <c r="L130" i="9"/>
  <c r="X129" i="9"/>
  <c r="V129" i="9"/>
  <c r="U129" i="9"/>
  <c r="T129" i="9"/>
  <c r="O129" i="9"/>
  <c r="N129" i="9"/>
  <c r="M129" i="9"/>
  <c r="L129" i="9"/>
  <c r="X128" i="9"/>
  <c r="V128" i="9"/>
  <c r="U128" i="9"/>
  <c r="T128" i="9"/>
  <c r="O128" i="9"/>
  <c r="N128" i="9"/>
  <c r="M128" i="9"/>
  <c r="L128" i="9"/>
  <c r="X127" i="9"/>
  <c r="V127" i="9"/>
  <c r="U127" i="9"/>
  <c r="T127" i="9"/>
  <c r="O127" i="9"/>
  <c r="N127" i="9"/>
  <c r="M127" i="9"/>
  <c r="L127" i="9"/>
  <c r="X126" i="9"/>
  <c r="V126" i="9"/>
  <c r="U126" i="9"/>
  <c r="T126" i="9"/>
  <c r="O126" i="9"/>
  <c r="N126" i="9"/>
  <c r="M126" i="9"/>
  <c r="L126" i="9"/>
  <c r="X124" i="9"/>
  <c r="V124" i="9"/>
  <c r="U124" i="9"/>
  <c r="T124" i="9"/>
  <c r="O124" i="9"/>
  <c r="N124" i="9"/>
  <c r="M124" i="9"/>
  <c r="L124" i="9"/>
  <c r="X121" i="9"/>
  <c r="V121" i="9"/>
  <c r="U121" i="9"/>
  <c r="T121" i="9"/>
  <c r="O121" i="9"/>
  <c r="N121" i="9"/>
  <c r="M121" i="9"/>
  <c r="L121" i="9"/>
  <c r="X120" i="9"/>
  <c r="V120" i="9"/>
  <c r="U120" i="9"/>
  <c r="T120" i="9"/>
  <c r="O120" i="9"/>
  <c r="N120" i="9"/>
  <c r="M120" i="9"/>
  <c r="L120" i="9"/>
  <c r="X119" i="9"/>
  <c r="V119" i="9"/>
  <c r="U119" i="9"/>
  <c r="T119" i="9"/>
  <c r="O119" i="9"/>
  <c r="N119" i="9"/>
  <c r="M119" i="9"/>
  <c r="L119" i="9"/>
  <c r="X118" i="9"/>
  <c r="V118" i="9"/>
  <c r="U118" i="9"/>
  <c r="T118" i="9"/>
  <c r="O118" i="9"/>
  <c r="N118" i="9"/>
  <c r="M118" i="9"/>
  <c r="L118" i="9"/>
  <c r="X117" i="9"/>
  <c r="V117" i="9"/>
  <c r="U117" i="9"/>
  <c r="T117" i="9"/>
  <c r="O117" i="9"/>
  <c r="N117" i="9"/>
  <c r="M117" i="9"/>
  <c r="L117" i="9"/>
  <c r="X116" i="9"/>
  <c r="V116" i="9"/>
  <c r="U116" i="9"/>
  <c r="T116" i="9"/>
  <c r="O116" i="9"/>
  <c r="N116" i="9"/>
  <c r="M116" i="9"/>
  <c r="L116" i="9"/>
  <c r="X115" i="9"/>
  <c r="V115" i="9"/>
  <c r="U115" i="9"/>
  <c r="T115" i="9"/>
  <c r="O115" i="9"/>
  <c r="N115" i="9"/>
  <c r="M115" i="9"/>
  <c r="L115" i="9"/>
  <c r="X114" i="9"/>
  <c r="V114" i="9"/>
  <c r="U114" i="9"/>
  <c r="T114" i="9"/>
  <c r="O114" i="9"/>
  <c r="N114" i="9"/>
  <c r="M114" i="9"/>
  <c r="L114" i="9"/>
  <c r="X113" i="9"/>
  <c r="V113" i="9"/>
  <c r="U113" i="9"/>
  <c r="T113" i="9"/>
  <c r="O113" i="9"/>
  <c r="N113" i="9"/>
  <c r="M113" i="9"/>
  <c r="L113" i="9"/>
  <c r="X112" i="9"/>
  <c r="V112" i="9"/>
  <c r="U112" i="9"/>
  <c r="T112" i="9"/>
  <c r="O112" i="9"/>
  <c r="N112" i="9"/>
  <c r="M112" i="9"/>
  <c r="L112" i="9"/>
  <c r="X111" i="9"/>
  <c r="V111" i="9"/>
  <c r="U111" i="9"/>
  <c r="T111" i="9"/>
  <c r="O111" i="9"/>
  <c r="N111" i="9"/>
  <c r="M111" i="9"/>
  <c r="L111" i="9"/>
  <c r="X110" i="9"/>
  <c r="V110" i="9"/>
  <c r="U110" i="9"/>
  <c r="T110" i="9"/>
  <c r="O110" i="9"/>
  <c r="N110" i="9"/>
  <c r="M110" i="9"/>
  <c r="L110" i="9"/>
  <c r="X109" i="9"/>
  <c r="V109" i="9"/>
  <c r="U109" i="9"/>
  <c r="T109" i="9"/>
  <c r="O109" i="9"/>
  <c r="N109" i="9"/>
  <c r="M109" i="9"/>
  <c r="L109" i="9"/>
  <c r="X108" i="9"/>
  <c r="V108" i="9"/>
  <c r="U108" i="9"/>
  <c r="T108" i="9"/>
  <c r="O108" i="9"/>
  <c r="N108" i="9"/>
  <c r="M108" i="9"/>
  <c r="L108" i="9"/>
  <c r="X107" i="9"/>
  <c r="V107" i="9"/>
  <c r="U107" i="9"/>
  <c r="T107" i="9"/>
  <c r="O107" i="9"/>
  <c r="N107" i="9"/>
  <c r="M107" i="9"/>
  <c r="L107" i="9"/>
  <c r="X106" i="9"/>
  <c r="V106" i="9"/>
  <c r="U106" i="9"/>
  <c r="T106" i="9"/>
  <c r="O106" i="9"/>
  <c r="N106" i="9"/>
  <c r="M106" i="9"/>
  <c r="L106" i="9"/>
  <c r="X105" i="9"/>
  <c r="V105" i="9"/>
  <c r="U105" i="9"/>
  <c r="T105" i="9"/>
  <c r="O105" i="9"/>
  <c r="N105" i="9"/>
  <c r="M105" i="9"/>
  <c r="L105" i="9"/>
  <c r="X104" i="9"/>
  <c r="V104" i="9"/>
  <c r="U104" i="9"/>
  <c r="T104" i="9"/>
  <c r="O104" i="9"/>
  <c r="N104" i="9"/>
  <c r="M104" i="9"/>
  <c r="L104" i="9"/>
  <c r="X103" i="9"/>
  <c r="V103" i="9"/>
  <c r="U103" i="9"/>
  <c r="T103" i="9"/>
  <c r="O103" i="9"/>
  <c r="N103" i="9"/>
  <c r="M103" i="9"/>
  <c r="L103" i="9"/>
  <c r="X102" i="9"/>
  <c r="V102" i="9"/>
  <c r="U102" i="9"/>
  <c r="T102" i="9"/>
  <c r="O102" i="9"/>
  <c r="N102" i="9"/>
  <c r="M102" i="9"/>
  <c r="L102" i="9"/>
  <c r="X101" i="9"/>
  <c r="V101" i="9"/>
  <c r="U101" i="9"/>
  <c r="T101" i="9"/>
  <c r="O101" i="9"/>
  <c r="N101" i="9"/>
  <c r="M101" i="9"/>
  <c r="L101" i="9"/>
  <c r="X100" i="9"/>
  <c r="V100" i="9"/>
  <c r="U100" i="9"/>
  <c r="T100" i="9"/>
  <c r="O100" i="9"/>
  <c r="N100" i="9"/>
  <c r="M100" i="9"/>
  <c r="L100" i="9"/>
  <c r="X99" i="9"/>
  <c r="V99" i="9"/>
  <c r="U99" i="9"/>
  <c r="T99" i="9"/>
  <c r="O99" i="9"/>
  <c r="N99" i="9"/>
  <c r="M99" i="9"/>
  <c r="L99" i="9"/>
  <c r="X98" i="9"/>
  <c r="V98" i="9"/>
  <c r="U98" i="9"/>
  <c r="T98" i="9"/>
  <c r="O98" i="9"/>
  <c r="N98" i="9"/>
  <c r="M98" i="9"/>
  <c r="L98" i="9"/>
  <c r="X97" i="9"/>
  <c r="V97" i="9"/>
  <c r="U97" i="9"/>
  <c r="T97" i="9"/>
  <c r="O97" i="9"/>
  <c r="N97" i="9"/>
  <c r="M97" i="9"/>
  <c r="L97" i="9"/>
  <c r="X96" i="9"/>
  <c r="V96" i="9"/>
  <c r="U96" i="9"/>
  <c r="T96" i="9"/>
  <c r="O96" i="9"/>
  <c r="N96" i="9"/>
  <c r="M96" i="9"/>
  <c r="L96" i="9"/>
  <c r="X95" i="9"/>
  <c r="V95" i="9"/>
  <c r="U95" i="9"/>
  <c r="T95" i="9"/>
  <c r="O95" i="9"/>
  <c r="N95" i="9"/>
  <c r="M95" i="9"/>
  <c r="L95" i="9"/>
  <c r="X94" i="9"/>
  <c r="V94" i="9"/>
  <c r="U94" i="9"/>
  <c r="T94" i="9"/>
  <c r="O94" i="9"/>
  <c r="N94" i="9"/>
  <c r="M94" i="9"/>
  <c r="L94" i="9"/>
  <c r="X93" i="9"/>
  <c r="V93" i="9"/>
  <c r="U93" i="9"/>
  <c r="T93" i="9"/>
  <c r="O93" i="9"/>
  <c r="N93" i="9"/>
  <c r="M93" i="9"/>
  <c r="L93" i="9"/>
  <c r="X92" i="9"/>
  <c r="V92" i="9"/>
  <c r="U92" i="9"/>
  <c r="T92" i="9"/>
  <c r="O92" i="9"/>
  <c r="N92" i="9"/>
  <c r="M92" i="9"/>
  <c r="L92" i="9"/>
  <c r="X91" i="9"/>
  <c r="V91" i="9"/>
  <c r="U91" i="9"/>
  <c r="T91" i="9"/>
  <c r="O91" i="9"/>
  <c r="N91" i="9"/>
  <c r="M91" i="9"/>
  <c r="L91" i="9"/>
  <c r="X90" i="9"/>
  <c r="V90" i="9"/>
  <c r="U90" i="9"/>
  <c r="T90" i="9"/>
  <c r="O90" i="9"/>
  <c r="N90" i="9"/>
  <c r="M90" i="9"/>
  <c r="L90" i="9"/>
  <c r="X89" i="9"/>
  <c r="V89" i="9"/>
  <c r="U89" i="9"/>
  <c r="T89" i="9"/>
  <c r="O89" i="9"/>
  <c r="N89" i="9"/>
  <c r="M89" i="9"/>
  <c r="L89" i="9"/>
  <c r="X88" i="9"/>
  <c r="V88" i="9"/>
  <c r="U88" i="9"/>
  <c r="T88" i="9"/>
  <c r="O88" i="9"/>
  <c r="N88" i="9"/>
  <c r="M88" i="9"/>
  <c r="L88" i="9"/>
  <c r="X87" i="9"/>
  <c r="V87" i="9"/>
  <c r="U87" i="9"/>
  <c r="T87" i="9"/>
  <c r="O87" i="9"/>
  <c r="N87" i="9"/>
  <c r="M87" i="9"/>
  <c r="L87" i="9"/>
  <c r="X86" i="9"/>
  <c r="V86" i="9"/>
  <c r="U86" i="9"/>
  <c r="T86" i="9"/>
  <c r="O86" i="9"/>
  <c r="N86" i="9"/>
  <c r="M86" i="9"/>
  <c r="L86" i="9"/>
  <c r="X85" i="9"/>
  <c r="V85" i="9"/>
  <c r="U85" i="9"/>
  <c r="T85" i="9"/>
  <c r="O85" i="9"/>
  <c r="N85" i="9"/>
  <c r="M85" i="9"/>
  <c r="L85" i="9"/>
  <c r="X84" i="9"/>
  <c r="V84" i="9"/>
  <c r="U84" i="9"/>
  <c r="T84" i="9"/>
  <c r="O84" i="9"/>
  <c r="N84" i="9"/>
  <c r="M84" i="9"/>
  <c r="L84" i="9"/>
  <c r="X83" i="9"/>
  <c r="V83" i="9"/>
  <c r="U83" i="9"/>
  <c r="T83" i="9"/>
  <c r="O83" i="9"/>
  <c r="N83" i="9"/>
  <c r="M83" i="9"/>
  <c r="L83" i="9"/>
  <c r="X82" i="9"/>
  <c r="V82" i="9"/>
  <c r="U82" i="9"/>
  <c r="T82" i="9"/>
  <c r="O82" i="9"/>
  <c r="N82" i="9"/>
  <c r="M82" i="9"/>
  <c r="L82" i="9"/>
  <c r="X81" i="9"/>
  <c r="V81" i="9"/>
  <c r="U81" i="9"/>
  <c r="T81" i="9"/>
  <c r="O81" i="9"/>
  <c r="N81" i="9"/>
  <c r="M81" i="9"/>
  <c r="L81" i="9"/>
  <c r="X80" i="9"/>
  <c r="V80" i="9"/>
  <c r="U80" i="9"/>
  <c r="T80" i="9"/>
  <c r="O80" i="9"/>
  <c r="N80" i="9"/>
  <c r="M80" i="9"/>
  <c r="L80" i="9"/>
  <c r="X79" i="9"/>
  <c r="V79" i="9"/>
  <c r="U79" i="9"/>
  <c r="T79" i="9"/>
  <c r="O79" i="9"/>
  <c r="N79" i="9"/>
  <c r="M79" i="9"/>
  <c r="L79" i="9"/>
  <c r="X78" i="9"/>
  <c r="V78" i="9"/>
  <c r="U78" i="9"/>
  <c r="T78" i="9"/>
  <c r="O78" i="9"/>
  <c r="N78" i="9"/>
  <c r="M78" i="9"/>
  <c r="L78" i="9"/>
  <c r="X77" i="9"/>
  <c r="V77" i="9"/>
  <c r="U77" i="9"/>
  <c r="T77" i="9"/>
  <c r="O77" i="9"/>
  <c r="N77" i="9"/>
  <c r="M77" i="9"/>
  <c r="L77" i="9"/>
  <c r="X76" i="9"/>
  <c r="V76" i="9"/>
  <c r="U76" i="9"/>
  <c r="T76" i="9"/>
  <c r="O76" i="9"/>
  <c r="N76" i="9"/>
  <c r="M76" i="9"/>
  <c r="L76" i="9"/>
  <c r="X75" i="9"/>
  <c r="V75" i="9"/>
  <c r="U75" i="9"/>
  <c r="T75" i="9"/>
  <c r="O75" i="9"/>
  <c r="N75" i="9"/>
  <c r="M75" i="9"/>
  <c r="L75" i="9"/>
  <c r="X74" i="9"/>
  <c r="V74" i="9"/>
  <c r="U74" i="9"/>
  <c r="T74" i="9"/>
  <c r="O74" i="9"/>
  <c r="N74" i="9"/>
  <c r="M74" i="9"/>
  <c r="L74" i="9"/>
  <c r="X73" i="9"/>
  <c r="V73" i="9"/>
  <c r="U73" i="9"/>
  <c r="T73" i="9"/>
  <c r="O73" i="9"/>
  <c r="N73" i="9"/>
  <c r="M73" i="9"/>
  <c r="L73" i="9"/>
  <c r="X72" i="9"/>
  <c r="V72" i="9"/>
  <c r="U72" i="9"/>
  <c r="T72" i="9"/>
  <c r="O72" i="9"/>
  <c r="N72" i="9"/>
  <c r="M72" i="9"/>
  <c r="L72" i="9"/>
  <c r="X71" i="9"/>
  <c r="V71" i="9"/>
  <c r="U71" i="9"/>
  <c r="T71" i="9"/>
  <c r="O71" i="9"/>
  <c r="N71" i="9"/>
  <c r="M71" i="9"/>
  <c r="L71" i="9"/>
  <c r="X70" i="9"/>
  <c r="V70" i="9"/>
  <c r="U70" i="9"/>
  <c r="T70" i="9"/>
  <c r="O70" i="9"/>
  <c r="N70" i="9"/>
  <c r="M70" i="9"/>
  <c r="L70" i="9"/>
  <c r="X69" i="9"/>
  <c r="V69" i="9"/>
  <c r="U69" i="9"/>
  <c r="T69" i="9"/>
  <c r="O69" i="9"/>
  <c r="N69" i="9"/>
  <c r="M69" i="9"/>
  <c r="L69" i="9"/>
  <c r="X68" i="9"/>
  <c r="V68" i="9"/>
  <c r="U68" i="9"/>
  <c r="T68" i="9"/>
  <c r="O68" i="9"/>
  <c r="N68" i="9"/>
  <c r="M68" i="9"/>
  <c r="L68" i="9"/>
  <c r="X67" i="9"/>
  <c r="V67" i="9"/>
  <c r="U67" i="9"/>
  <c r="T67" i="9"/>
  <c r="O67" i="9"/>
  <c r="N67" i="9"/>
  <c r="M67" i="9"/>
  <c r="L67" i="9"/>
  <c r="X66" i="9"/>
  <c r="V66" i="9"/>
  <c r="U66" i="9"/>
  <c r="T66" i="9"/>
  <c r="O66" i="9"/>
  <c r="N66" i="9"/>
  <c r="M66" i="9"/>
  <c r="L66" i="9"/>
  <c r="X65" i="9"/>
  <c r="V65" i="9"/>
  <c r="U65" i="9"/>
  <c r="T65" i="9"/>
  <c r="O65" i="9"/>
  <c r="N65" i="9"/>
  <c r="M65" i="9"/>
  <c r="L65" i="9"/>
  <c r="X64" i="9"/>
  <c r="V64" i="9"/>
  <c r="U64" i="9"/>
  <c r="T64" i="9"/>
  <c r="O64" i="9"/>
  <c r="N64" i="9"/>
  <c r="M64" i="9"/>
  <c r="L64" i="9"/>
  <c r="X63" i="9"/>
  <c r="V63" i="9"/>
  <c r="U63" i="9"/>
  <c r="T63" i="9"/>
  <c r="O63" i="9"/>
  <c r="N63" i="9"/>
  <c r="M63" i="9"/>
  <c r="L63" i="9"/>
  <c r="X62" i="9"/>
  <c r="V62" i="9"/>
  <c r="U62" i="9"/>
  <c r="T62" i="9"/>
  <c r="O62" i="9"/>
  <c r="N62" i="9"/>
  <c r="M62" i="9"/>
  <c r="L62" i="9"/>
  <c r="X61" i="9"/>
  <c r="V61" i="9"/>
  <c r="U61" i="9"/>
  <c r="T61" i="9"/>
  <c r="O61" i="9"/>
  <c r="N61" i="9"/>
  <c r="M61" i="9"/>
  <c r="L61" i="9"/>
  <c r="X60" i="9"/>
  <c r="V60" i="9"/>
  <c r="U60" i="9"/>
  <c r="T60" i="9"/>
  <c r="O60" i="9"/>
  <c r="N60" i="9"/>
  <c r="M60" i="9"/>
  <c r="L60" i="9"/>
  <c r="X59" i="9"/>
  <c r="V59" i="9"/>
  <c r="U59" i="9"/>
  <c r="T59" i="9"/>
  <c r="O59" i="9"/>
  <c r="N59" i="9"/>
  <c r="M59" i="9"/>
  <c r="L59" i="9"/>
  <c r="X58" i="9"/>
  <c r="V58" i="9"/>
  <c r="U58" i="9"/>
  <c r="T58" i="9"/>
  <c r="O58" i="9"/>
  <c r="N58" i="9"/>
  <c r="M58" i="9"/>
  <c r="L58" i="9"/>
  <c r="X57" i="9"/>
  <c r="V57" i="9"/>
  <c r="U57" i="9"/>
  <c r="T57" i="9"/>
  <c r="O57" i="9"/>
  <c r="N57" i="9"/>
  <c r="M57" i="9"/>
  <c r="L57" i="9"/>
  <c r="X56" i="9"/>
  <c r="V56" i="9"/>
  <c r="U56" i="9"/>
  <c r="T56" i="9"/>
  <c r="O56" i="9"/>
  <c r="N56" i="9"/>
  <c r="M56" i="9"/>
  <c r="L56" i="9"/>
  <c r="X55" i="9"/>
  <c r="V55" i="9"/>
  <c r="U55" i="9"/>
  <c r="T55" i="9"/>
  <c r="O55" i="9"/>
  <c r="N55" i="9"/>
  <c r="M55" i="9"/>
  <c r="L55" i="9"/>
  <c r="X54" i="9"/>
  <c r="V54" i="9"/>
  <c r="U54" i="9"/>
  <c r="T54" i="9"/>
  <c r="O54" i="9"/>
  <c r="N54" i="9"/>
  <c r="M54" i="9"/>
  <c r="L54" i="9"/>
  <c r="X53" i="9"/>
  <c r="V53" i="9"/>
  <c r="U53" i="9"/>
  <c r="T53" i="9"/>
  <c r="O53" i="9"/>
  <c r="N53" i="9"/>
  <c r="M53" i="9"/>
  <c r="L53" i="9"/>
  <c r="X52" i="9"/>
  <c r="V52" i="9"/>
  <c r="U52" i="9"/>
  <c r="T52" i="9"/>
  <c r="O52" i="9"/>
  <c r="N52" i="9"/>
  <c r="M52" i="9"/>
  <c r="L52" i="9"/>
  <c r="X50" i="9"/>
  <c r="V50" i="9"/>
  <c r="U50" i="9"/>
  <c r="T50" i="9"/>
  <c r="O50" i="9"/>
  <c r="N50" i="9"/>
  <c r="M50" i="9"/>
  <c r="L50" i="9"/>
  <c r="X184" i="9"/>
  <c r="X185" i="9"/>
  <c r="X186" i="9"/>
  <c r="X187" i="9"/>
  <c r="X188" i="9"/>
  <c r="X179" i="9" l="1"/>
  <c r="X180" i="9"/>
  <c r="X181" i="9"/>
  <c r="X182" i="9"/>
  <c r="X183" i="9"/>
  <c r="X9" i="9" l="1"/>
  <c r="V9" i="9"/>
  <c r="U9" i="9"/>
  <c r="T9" i="9"/>
  <c r="O9" i="9"/>
  <c r="N9" i="9"/>
  <c r="M9" i="9"/>
  <c r="L9" i="9"/>
  <c r="X8" i="9"/>
  <c r="V8" i="9"/>
  <c r="U8" i="9"/>
  <c r="T8" i="9"/>
  <c r="O8" i="9"/>
  <c r="N8" i="9"/>
  <c r="M8" i="9"/>
  <c r="L8" i="9"/>
  <c r="X7" i="9"/>
  <c r="V7" i="9"/>
  <c r="U7" i="9"/>
  <c r="T7" i="9"/>
  <c r="O7" i="9"/>
  <c r="N7" i="9"/>
  <c r="M7" i="9"/>
  <c r="L7" i="9"/>
  <c r="X6" i="9"/>
  <c r="V6" i="9"/>
  <c r="U6" i="9"/>
  <c r="T6" i="9"/>
  <c r="O6" i="9"/>
  <c r="N6" i="9"/>
  <c r="M6" i="9"/>
  <c r="L6" i="9"/>
  <c r="X5" i="9"/>
  <c r="V5" i="9"/>
  <c r="U5" i="9"/>
  <c r="T5" i="9"/>
  <c r="O5" i="9"/>
  <c r="N5" i="9"/>
  <c r="M5" i="9"/>
  <c r="L5" i="9"/>
  <c r="X4" i="9"/>
  <c r="V4" i="9"/>
  <c r="U4" i="9"/>
  <c r="T4" i="9"/>
  <c r="O4" i="9"/>
  <c r="N4" i="9"/>
  <c r="M4" i="9"/>
  <c r="L4" i="9"/>
  <c r="X3" i="9"/>
  <c r="V3" i="9"/>
  <c r="U3" i="9"/>
  <c r="T3" i="9"/>
  <c r="O3" i="9"/>
  <c r="N3" i="9"/>
  <c r="M3" i="9"/>
  <c r="L3" i="9"/>
  <c r="X2" i="9"/>
  <c r="V2" i="9"/>
  <c r="U2" i="9"/>
  <c r="T2" i="9"/>
  <c r="O2" i="9"/>
  <c r="N2" i="9"/>
  <c r="M2" i="9"/>
  <c r="L2" i="9"/>
  <c r="V179" i="9"/>
  <c r="U179" i="9"/>
  <c r="T179" i="9"/>
  <c r="O179" i="9"/>
  <c r="N179" i="9"/>
  <c r="M179" i="9"/>
  <c r="L179" i="9"/>
  <c r="X173" i="9"/>
  <c r="V173" i="9"/>
  <c r="U173" i="9"/>
  <c r="T173" i="9"/>
  <c r="O173" i="9"/>
  <c r="N173" i="9"/>
  <c r="M173" i="9"/>
  <c r="L173" i="9"/>
  <c r="X176" i="9"/>
  <c r="V176" i="9"/>
  <c r="U176" i="9"/>
  <c r="T176" i="9"/>
  <c r="O176" i="9"/>
  <c r="N176" i="9"/>
  <c r="M176" i="9"/>
  <c r="L176" i="9"/>
  <c r="X175" i="9"/>
  <c r="V175" i="9"/>
  <c r="U175" i="9"/>
  <c r="T175" i="9"/>
  <c r="O175" i="9"/>
  <c r="N175" i="9"/>
  <c r="M175" i="9"/>
  <c r="L175" i="9"/>
  <c r="X172" i="9"/>
  <c r="V172" i="9"/>
  <c r="U172" i="9"/>
  <c r="T172" i="9"/>
  <c r="O172" i="9"/>
  <c r="N172" i="9"/>
  <c r="M172" i="9"/>
  <c r="L172" i="9"/>
  <c r="X171" i="9"/>
  <c r="X174" i="9"/>
  <c r="X177" i="9"/>
  <c r="X178" i="9"/>
  <c r="N182" i="9"/>
  <c r="V182" i="9"/>
  <c r="U182" i="9"/>
  <c r="T182" i="9"/>
  <c r="O182" i="9"/>
  <c r="M182" i="9"/>
  <c r="L182" i="9"/>
  <c r="V183" i="9"/>
  <c r="U183" i="9"/>
  <c r="T183" i="9"/>
  <c r="O183" i="9"/>
  <c r="N183" i="9"/>
  <c r="M183" i="9"/>
  <c r="L183" i="9"/>
  <c r="V181" i="9"/>
  <c r="U181" i="9"/>
  <c r="T181" i="9"/>
  <c r="O181" i="9"/>
  <c r="N181" i="9"/>
  <c r="M181" i="9"/>
  <c r="L181" i="9"/>
  <c r="V180" i="9"/>
  <c r="U180" i="9"/>
  <c r="T180" i="9"/>
  <c r="O180" i="9"/>
  <c r="N180" i="9"/>
  <c r="M180" i="9"/>
  <c r="L180" i="9"/>
  <c r="V178" i="9"/>
  <c r="U178" i="9"/>
  <c r="T178" i="9"/>
  <c r="O178" i="9"/>
  <c r="N178" i="9"/>
  <c r="M178" i="9"/>
  <c r="L178" i="9"/>
  <c r="V177" i="9"/>
  <c r="U177" i="9"/>
  <c r="T177" i="9"/>
  <c r="O177" i="9"/>
  <c r="N177" i="9"/>
  <c r="M177" i="9"/>
  <c r="L177" i="9"/>
  <c r="V174" i="9"/>
  <c r="U174" i="9"/>
  <c r="T174" i="9"/>
  <c r="O174" i="9"/>
  <c r="N174" i="9"/>
  <c r="M174" i="9"/>
  <c r="L174" i="9"/>
  <c r="V171" i="9"/>
  <c r="U171" i="9"/>
  <c r="T171" i="9"/>
  <c r="O171" i="9"/>
  <c r="N171" i="9"/>
  <c r="M171" i="9"/>
  <c r="L171" i="9"/>
  <c r="X170" i="9"/>
  <c r="V170" i="9"/>
  <c r="U170" i="9"/>
  <c r="T170" i="9"/>
  <c r="O170" i="9"/>
  <c r="N170" i="9"/>
  <c r="M170" i="9"/>
  <c r="L170" i="9"/>
  <c r="X169" i="9"/>
  <c r="V169" i="9"/>
  <c r="U169" i="9"/>
  <c r="T169" i="9"/>
  <c r="O169" i="9"/>
  <c r="N169" i="9"/>
  <c r="M169" i="9"/>
  <c r="L169" i="9"/>
  <c r="X168" i="9"/>
  <c r="V168" i="9"/>
  <c r="U168" i="9"/>
  <c r="T168" i="9"/>
  <c r="O168" i="9"/>
  <c r="N168" i="9"/>
  <c r="M168" i="9"/>
  <c r="L168" i="9"/>
  <c r="X167" i="9"/>
  <c r="V167" i="9"/>
  <c r="U167" i="9"/>
  <c r="T167" i="9"/>
  <c r="O167" i="9"/>
  <c r="N167" i="9"/>
  <c r="M167" i="9"/>
  <c r="L167" i="9"/>
  <c r="X166" i="9"/>
  <c r="V166" i="9"/>
  <c r="U166" i="9"/>
  <c r="T166" i="9"/>
  <c r="O166" i="9"/>
  <c r="N166" i="9"/>
  <c r="M166" i="9"/>
  <c r="L166" i="9"/>
  <c r="X165" i="9"/>
  <c r="V165" i="9"/>
  <c r="U165" i="9"/>
  <c r="T165" i="9"/>
  <c r="O165" i="9"/>
  <c r="N165" i="9"/>
  <c r="M165" i="9"/>
  <c r="L165" i="9"/>
  <c r="X164" i="9"/>
  <c r="V164" i="9"/>
  <c r="U164" i="9"/>
  <c r="T164" i="9"/>
  <c r="O164" i="9"/>
  <c r="N164" i="9"/>
  <c r="M164" i="9"/>
  <c r="L164" i="9"/>
  <c r="X163" i="9"/>
  <c r="V163" i="9"/>
  <c r="U163" i="9"/>
  <c r="T163" i="9"/>
  <c r="O163" i="9"/>
  <c r="N163" i="9"/>
  <c r="M163" i="9"/>
  <c r="L163" i="9"/>
  <c r="X162" i="9"/>
  <c r="V162" i="9"/>
  <c r="U162" i="9"/>
  <c r="T162" i="9"/>
  <c r="O162" i="9"/>
  <c r="N162" i="9"/>
  <c r="M162" i="9"/>
  <c r="L162" i="9"/>
  <c r="X161" i="9"/>
  <c r="V161" i="9"/>
  <c r="U161" i="9"/>
  <c r="T161" i="9"/>
  <c r="O161" i="9"/>
  <c r="N161" i="9"/>
  <c r="M161" i="9"/>
  <c r="L161" i="9"/>
  <c r="X160" i="9"/>
  <c r="V160" i="9"/>
  <c r="U160" i="9"/>
  <c r="T160" i="9"/>
  <c r="O160" i="9"/>
  <c r="N160" i="9"/>
  <c r="M160" i="9"/>
  <c r="L160" i="9"/>
  <c r="X159" i="9"/>
  <c r="V159" i="9"/>
  <c r="U159" i="9"/>
  <c r="T159" i="9"/>
  <c r="O159" i="9"/>
  <c r="N159" i="9"/>
  <c r="M159" i="9"/>
  <c r="L159" i="9"/>
  <c r="X158" i="9"/>
  <c r="V158" i="9"/>
  <c r="U158" i="9"/>
  <c r="T158" i="9"/>
  <c r="O158" i="9"/>
  <c r="N158" i="9"/>
  <c r="M158" i="9"/>
  <c r="L158" i="9"/>
  <c r="X157" i="9"/>
  <c r="V157" i="9"/>
  <c r="U157" i="9"/>
  <c r="T157" i="9"/>
  <c r="O157" i="9"/>
  <c r="N157" i="9"/>
  <c r="M157" i="9"/>
  <c r="L157" i="9"/>
  <c r="X156" i="9"/>
  <c r="V156" i="9"/>
  <c r="U156" i="9"/>
  <c r="T156" i="9"/>
  <c r="O156" i="9"/>
  <c r="N156" i="9"/>
  <c r="M156" i="9"/>
  <c r="L156" i="9"/>
  <c r="X155" i="9"/>
  <c r="V155" i="9"/>
  <c r="U155" i="9"/>
  <c r="T155" i="9"/>
  <c r="O155" i="9"/>
  <c r="N155" i="9"/>
  <c r="M155" i="9"/>
  <c r="L155" i="9"/>
  <c r="X154" i="9"/>
  <c r="V154" i="9"/>
  <c r="U154" i="9"/>
  <c r="T154" i="9"/>
  <c r="O154" i="9"/>
  <c r="N154" i="9"/>
  <c r="M154" i="9"/>
  <c r="L154" i="9"/>
  <c r="X153" i="9"/>
  <c r="V153" i="9"/>
  <c r="U153" i="9"/>
  <c r="T153" i="9"/>
  <c r="O153" i="9"/>
  <c r="N153" i="9"/>
  <c r="M153" i="9"/>
  <c r="L153" i="9"/>
  <c r="X152" i="9"/>
  <c r="V152" i="9"/>
  <c r="U152" i="9"/>
  <c r="T152" i="9"/>
  <c r="O152" i="9"/>
  <c r="N152" i="9"/>
  <c r="M152" i="9"/>
  <c r="L152" i="9"/>
  <c r="X151" i="9"/>
  <c r="V151" i="9"/>
  <c r="U151" i="9"/>
  <c r="T151" i="9"/>
  <c r="O151" i="9"/>
  <c r="N151" i="9"/>
  <c r="M151" i="9"/>
  <c r="L151" i="9"/>
  <c r="X150" i="9"/>
  <c r="V150" i="9"/>
  <c r="U150" i="9"/>
  <c r="T150" i="9"/>
  <c r="O150" i="9"/>
  <c r="N150" i="9"/>
  <c r="M150" i="9"/>
  <c r="L150" i="9"/>
  <c r="X149" i="9"/>
  <c r="V149" i="9"/>
  <c r="U149" i="9"/>
  <c r="T149" i="9"/>
  <c r="O149" i="9"/>
  <c r="N149" i="9"/>
  <c r="M149" i="9"/>
  <c r="L149" i="9"/>
  <c r="X148" i="9"/>
  <c r="V148" i="9"/>
  <c r="U148" i="9"/>
  <c r="T148" i="9"/>
  <c r="O148" i="9"/>
  <c r="N148" i="9"/>
  <c r="M148" i="9"/>
  <c r="L148" i="9"/>
  <c r="X147" i="9"/>
  <c r="V147" i="9"/>
  <c r="U147" i="9"/>
  <c r="T147" i="9"/>
  <c r="O147" i="9"/>
  <c r="N147" i="9"/>
  <c r="M147" i="9"/>
  <c r="L147" i="9"/>
  <c r="X146" i="9"/>
  <c r="V146" i="9"/>
  <c r="U146" i="9"/>
  <c r="T146" i="9"/>
  <c r="O146" i="9"/>
  <c r="N146" i="9"/>
  <c r="M146" i="9"/>
  <c r="L146" i="9"/>
  <c r="X145" i="9"/>
  <c r="V145" i="9"/>
  <c r="U145" i="9"/>
  <c r="T145" i="9"/>
  <c r="O145" i="9"/>
  <c r="N145" i="9"/>
  <c r="M145" i="9"/>
  <c r="L145" i="9"/>
  <c r="X144" i="9"/>
  <c r="V144" i="9"/>
  <c r="U144" i="9"/>
  <c r="T144" i="9"/>
  <c r="O144" i="9"/>
  <c r="N144" i="9"/>
  <c r="M144" i="9"/>
  <c r="L144" i="9"/>
  <c r="X143" i="9"/>
  <c r="V143" i="9"/>
  <c r="U143" i="9"/>
  <c r="T143" i="9"/>
  <c r="O143" i="9"/>
  <c r="N143" i="9"/>
  <c r="M143" i="9"/>
  <c r="L143" i="9"/>
  <c r="X142" i="9"/>
  <c r="V142" i="9"/>
  <c r="U142" i="9"/>
  <c r="T142" i="9"/>
  <c r="O142" i="9"/>
  <c r="N142" i="9"/>
  <c r="M142" i="9"/>
  <c r="L142" i="9"/>
  <c r="X141" i="9"/>
  <c r="V141" i="9"/>
  <c r="U141" i="9"/>
  <c r="T141" i="9"/>
  <c r="O141" i="9"/>
  <c r="N141" i="9"/>
  <c r="M141" i="9"/>
  <c r="L141" i="9"/>
  <c r="X140" i="9"/>
  <c r="V140" i="9"/>
  <c r="U140" i="9"/>
  <c r="T140" i="9"/>
  <c r="O140" i="9"/>
  <c r="N140" i="9"/>
  <c r="M140" i="9"/>
  <c r="L140" i="9"/>
  <c r="X139" i="9"/>
  <c r="V139" i="9"/>
  <c r="U139" i="9"/>
  <c r="T139" i="9"/>
  <c r="O139" i="9"/>
  <c r="N139" i="9"/>
  <c r="M139" i="9"/>
  <c r="L139" i="9"/>
  <c r="X138" i="9"/>
  <c r="V138" i="9"/>
  <c r="U138" i="9"/>
  <c r="T138" i="9"/>
  <c r="O138" i="9"/>
  <c r="N138" i="9"/>
  <c r="M138" i="9"/>
  <c r="L138" i="9"/>
  <c r="X137" i="9"/>
  <c r="V137" i="9"/>
  <c r="U137" i="9"/>
  <c r="T137" i="9"/>
  <c r="O137" i="9"/>
  <c r="N137" i="9"/>
  <c r="M137" i="9"/>
  <c r="L137" i="9"/>
  <c r="X136" i="9"/>
  <c r="V136" i="9"/>
  <c r="U136" i="9"/>
  <c r="T136" i="9"/>
  <c r="O136" i="9"/>
  <c r="N136" i="9"/>
  <c r="M136" i="9"/>
  <c r="L136" i="9"/>
  <c r="X48" i="9"/>
  <c r="V48" i="9"/>
  <c r="U48" i="9"/>
  <c r="T48" i="9"/>
  <c r="O48" i="9"/>
  <c r="N48" i="9"/>
  <c r="M48" i="9"/>
  <c r="L48" i="9"/>
  <c r="X47" i="9"/>
  <c r="V47" i="9"/>
  <c r="U47" i="9"/>
  <c r="T47" i="9"/>
  <c r="O47" i="9"/>
  <c r="N47" i="9"/>
  <c r="M47" i="9"/>
  <c r="L47" i="9"/>
  <c r="X46" i="9"/>
  <c r="V46" i="9"/>
  <c r="U46" i="9"/>
  <c r="T46" i="9"/>
  <c r="O46" i="9"/>
  <c r="N46" i="9"/>
  <c r="M46" i="9"/>
  <c r="L46" i="9"/>
  <c r="X45" i="9"/>
  <c r="V45" i="9"/>
  <c r="U45" i="9"/>
  <c r="T45" i="9"/>
  <c r="O45" i="9"/>
  <c r="N45" i="9"/>
  <c r="M45" i="9"/>
  <c r="L45" i="9"/>
  <c r="X44" i="9"/>
  <c r="V44" i="9"/>
  <c r="U44" i="9"/>
  <c r="T44" i="9"/>
  <c r="O44" i="9"/>
  <c r="N44" i="9"/>
  <c r="M44" i="9"/>
  <c r="L44" i="9"/>
  <c r="X43" i="9"/>
  <c r="V43" i="9"/>
  <c r="U43" i="9"/>
  <c r="T43" i="9"/>
  <c r="O43" i="9"/>
  <c r="N43" i="9"/>
  <c r="M43" i="9"/>
  <c r="L43" i="9"/>
  <c r="X42" i="9"/>
  <c r="V42" i="9"/>
  <c r="U42" i="9"/>
  <c r="T42" i="9"/>
  <c r="O42" i="9"/>
  <c r="N42" i="9"/>
  <c r="M42" i="9"/>
  <c r="L42" i="9"/>
  <c r="X41" i="9"/>
  <c r="V41" i="9"/>
  <c r="U41" i="9"/>
  <c r="T41" i="9"/>
  <c r="O41" i="9"/>
  <c r="N41" i="9"/>
  <c r="M41" i="9"/>
  <c r="L41" i="9"/>
  <c r="X40" i="9"/>
  <c r="V40" i="9"/>
  <c r="U40" i="9"/>
  <c r="T40" i="9"/>
  <c r="O40" i="9"/>
  <c r="N40" i="9"/>
  <c r="M40" i="9"/>
  <c r="L40" i="9"/>
  <c r="X39" i="9"/>
  <c r="V39" i="9"/>
  <c r="U39" i="9"/>
  <c r="T39" i="9"/>
  <c r="O39" i="9"/>
  <c r="N39" i="9"/>
  <c r="M39" i="9"/>
  <c r="L39" i="9"/>
  <c r="X38" i="9"/>
  <c r="V38" i="9"/>
  <c r="U38" i="9"/>
  <c r="T38" i="9"/>
  <c r="O38" i="9"/>
  <c r="N38" i="9"/>
  <c r="M38" i="9"/>
  <c r="L38" i="9"/>
  <c r="X37" i="9"/>
  <c r="V37" i="9"/>
  <c r="U37" i="9"/>
  <c r="T37" i="9"/>
  <c r="O37" i="9"/>
  <c r="N37" i="9"/>
  <c r="M37" i="9"/>
  <c r="L37" i="9"/>
  <c r="X36" i="9"/>
  <c r="V36" i="9"/>
  <c r="U36" i="9"/>
  <c r="T36" i="9"/>
  <c r="O36" i="9"/>
  <c r="N36" i="9"/>
  <c r="M36" i="9"/>
  <c r="L36" i="9"/>
  <c r="X35" i="9"/>
  <c r="V35" i="9"/>
  <c r="U35" i="9"/>
  <c r="T35" i="9"/>
  <c r="O35" i="9"/>
  <c r="N35" i="9"/>
  <c r="M35" i="9"/>
  <c r="L35" i="9"/>
  <c r="X34" i="9"/>
  <c r="V34" i="9"/>
  <c r="U34" i="9"/>
  <c r="T34" i="9"/>
  <c r="O34" i="9"/>
  <c r="N34" i="9"/>
  <c r="M34" i="9"/>
  <c r="L34" i="9"/>
  <c r="X33" i="9"/>
  <c r="V33" i="9"/>
  <c r="U33" i="9"/>
  <c r="T33" i="9"/>
  <c r="O33" i="9"/>
  <c r="N33" i="9"/>
  <c r="M33" i="9"/>
  <c r="L33" i="9"/>
  <c r="X32" i="9"/>
  <c r="V32" i="9"/>
  <c r="U32" i="9"/>
  <c r="T32" i="9"/>
  <c r="O32" i="9"/>
  <c r="N32" i="9"/>
  <c r="M32" i="9"/>
  <c r="L32" i="9"/>
  <c r="X31" i="9"/>
  <c r="V31" i="9"/>
  <c r="U31" i="9"/>
  <c r="T31" i="9"/>
  <c r="O31" i="9"/>
  <c r="N31" i="9"/>
  <c r="M31" i="9"/>
  <c r="L31" i="9"/>
  <c r="X30" i="9"/>
  <c r="V30" i="9"/>
  <c r="U30" i="9"/>
  <c r="T30" i="9"/>
  <c r="O30" i="9"/>
  <c r="N30" i="9"/>
  <c r="M30" i="9"/>
  <c r="L30" i="9"/>
  <c r="X29" i="9"/>
  <c r="V29" i="9"/>
  <c r="U29" i="9"/>
  <c r="T29" i="9"/>
  <c r="O29" i="9"/>
  <c r="N29" i="9"/>
  <c r="M29" i="9"/>
  <c r="L29" i="9"/>
  <c r="X28" i="9"/>
  <c r="V28" i="9"/>
  <c r="U28" i="9"/>
  <c r="T28" i="9"/>
  <c r="O28" i="9"/>
  <c r="N28" i="9"/>
  <c r="M28" i="9"/>
  <c r="L28" i="9"/>
  <c r="X27" i="9"/>
  <c r="V27" i="9"/>
  <c r="U27" i="9"/>
  <c r="T27" i="9"/>
  <c r="O27" i="9"/>
  <c r="N27" i="9"/>
  <c r="M27" i="9"/>
  <c r="L27" i="9"/>
  <c r="X26" i="9"/>
  <c r="V26" i="9"/>
  <c r="U26" i="9"/>
  <c r="T26" i="9"/>
  <c r="O26" i="9"/>
  <c r="N26" i="9"/>
  <c r="M26" i="9"/>
  <c r="L26" i="9"/>
  <c r="X25" i="9"/>
  <c r="V25" i="9"/>
  <c r="U25" i="9"/>
  <c r="T25" i="9"/>
  <c r="O25" i="9"/>
  <c r="N25" i="9"/>
  <c r="M25" i="9"/>
  <c r="L25" i="9"/>
  <c r="X24" i="9"/>
  <c r="V24" i="9"/>
  <c r="U24" i="9"/>
  <c r="T24" i="9"/>
  <c r="O24" i="9"/>
  <c r="N24" i="9"/>
  <c r="M24" i="9"/>
  <c r="L24" i="9"/>
  <c r="X23" i="9"/>
  <c r="V23" i="9"/>
  <c r="U23" i="9"/>
  <c r="T23" i="9"/>
  <c r="O23" i="9"/>
  <c r="N23" i="9"/>
  <c r="M23" i="9"/>
  <c r="L23" i="9"/>
  <c r="X22" i="9"/>
  <c r="V22" i="9"/>
  <c r="U22" i="9"/>
  <c r="T22" i="9"/>
  <c r="O22" i="9"/>
  <c r="N22" i="9"/>
  <c r="M22" i="9"/>
  <c r="L22" i="9"/>
  <c r="X21" i="9"/>
  <c r="V21" i="9"/>
  <c r="U21" i="9"/>
  <c r="T21" i="9"/>
  <c r="O21" i="9"/>
  <c r="N21" i="9"/>
  <c r="M21" i="9"/>
  <c r="L21" i="9"/>
  <c r="X20" i="9"/>
  <c r="V20" i="9"/>
  <c r="U20" i="9"/>
  <c r="T20" i="9"/>
  <c r="O20" i="9"/>
  <c r="N20" i="9"/>
  <c r="M20" i="9"/>
  <c r="L20" i="9"/>
  <c r="X19" i="9"/>
  <c r="V19" i="9"/>
  <c r="U19" i="9"/>
  <c r="T19" i="9"/>
  <c r="O19" i="9"/>
  <c r="N19" i="9"/>
  <c r="M19" i="9"/>
  <c r="L19" i="9"/>
  <c r="X18" i="9"/>
  <c r="V18" i="9"/>
  <c r="U18" i="9"/>
  <c r="T18" i="9"/>
  <c r="O18" i="9"/>
  <c r="N18" i="9"/>
  <c r="M18" i="9"/>
  <c r="L18" i="9"/>
  <c r="X17" i="9"/>
  <c r="V17" i="9"/>
  <c r="U17" i="9"/>
  <c r="T17" i="9"/>
  <c r="O17" i="9"/>
  <c r="N17" i="9"/>
  <c r="M17" i="9"/>
  <c r="L17" i="9"/>
  <c r="X16" i="9"/>
  <c r="V16" i="9"/>
  <c r="U16" i="9"/>
  <c r="T16" i="9"/>
  <c r="O16" i="9"/>
  <c r="N16" i="9"/>
  <c r="M16" i="9"/>
  <c r="L16" i="9"/>
  <c r="X15" i="9"/>
  <c r="V15" i="9"/>
  <c r="U15" i="9"/>
  <c r="T15" i="9"/>
  <c r="O15" i="9"/>
  <c r="N15" i="9"/>
  <c r="M15" i="9"/>
  <c r="L15" i="9"/>
  <c r="X14" i="9"/>
  <c r="V14" i="9"/>
  <c r="U14" i="9"/>
  <c r="T14" i="9"/>
  <c r="O14" i="9"/>
  <c r="N14" i="9"/>
  <c r="M14" i="9"/>
  <c r="L14" i="9"/>
  <c r="X13" i="9"/>
  <c r="V13" i="9"/>
  <c r="U13" i="9"/>
  <c r="T13" i="9"/>
  <c r="O13" i="9"/>
  <c r="N13" i="9"/>
  <c r="M13" i="9"/>
  <c r="L13" i="9"/>
  <c r="X12" i="9"/>
  <c r="V12" i="9"/>
  <c r="U12" i="9"/>
  <c r="T12" i="9"/>
  <c r="O12" i="9"/>
  <c r="N12" i="9"/>
  <c r="M12" i="9"/>
  <c r="L12" i="9"/>
  <c r="X11" i="9"/>
  <c r="V11" i="9"/>
  <c r="U11" i="9"/>
  <c r="T11" i="9"/>
  <c r="O11" i="9"/>
  <c r="N11" i="9"/>
  <c r="M11" i="9"/>
  <c r="L11" i="9"/>
  <c r="X10" i="9"/>
  <c r="V10" i="9"/>
  <c r="U10" i="9"/>
  <c r="T10" i="9"/>
  <c r="O10" i="9"/>
  <c r="N10" i="9"/>
  <c r="M10" i="9"/>
  <c r="L10" i="9"/>
  <c r="B21" i="13" l="1"/>
  <c r="B20" i="13"/>
  <c r="B26" i="13"/>
  <c r="B18" i="13" l="1"/>
  <c r="B6" i="13"/>
  <c r="B5" i="13"/>
</calcChain>
</file>

<file path=xl/sharedStrings.xml><?xml version="1.0" encoding="utf-8"?>
<sst xmlns="http://schemas.openxmlformats.org/spreadsheetml/2006/main" count="4210" uniqueCount="1014">
  <si>
    <t>EquivalentTo: 
Raiz
Condições 
necessárias</t>
  </si>
  <si>
    <t>EquivalentTo: 
Classe2
Condições 
necessárias</t>
  </si>
  <si>
    <t>EquivalentTo: 
Classe3
Condições 
necessárias</t>
  </si>
  <si>
    <t>EquivalentTo: 
Classe4 
Condições 
necessárias</t>
  </si>
  <si>
    <t>EquivalentTo: 
Classe5
Condições 
necessárias</t>
  </si>
  <si>
    <t>Anotações 
de ajuda
Classe 1</t>
  </si>
  <si>
    <t>Anotações 
de ajuda
Classe 2</t>
  </si>
  <si>
    <t>Anotações 
de ajuda
Classe 3</t>
  </si>
  <si>
    <t>Anotações 
de ajuda
Classe 5</t>
  </si>
  <si>
    <t>Key</t>
  </si>
  <si>
    <t>null</t>
  </si>
  <si>
    <t>N°</t>
  </si>
  <si>
    <t>1</t>
  </si>
  <si>
    <t>Disjunta 1</t>
  </si>
  <si>
    <t>Disjunta 2</t>
  </si>
  <si>
    <t>Disjunta 3</t>
  </si>
  <si>
    <t>Disjunta 4</t>
  </si>
  <si>
    <t>Disjunta 5</t>
  </si>
  <si>
    <t>Disjunta 6</t>
  </si>
  <si>
    <t>Disjunta 7</t>
  </si>
  <si>
    <t>Disjunta 8</t>
  </si>
  <si>
    <t>Disjunta 9</t>
  </si>
  <si>
    <t>Disjunta 10</t>
  </si>
  <si>
    <t>Disjunta 11</t>
  </si>
  <si>
    <t>Disjunta 12</t>
  </si>
  <si>
    <t>Disjunta 13</t>
  </si>
  <si>
    <t>Disjunta 14</t>
  </si>
  <si>
    <t>Disjunta 15</t>
  </si>
  <si>
    <t>Disjunta 16</t>
  </si>
  <si>
    <t>Disjunta 17</t>
  </si>
  <si>
    <t>Disjunta 18</t>
  </si>
  <si>
    <t>Disjunta 19</t>
  </si>
  <si>
    <t>Disjunta 20</t>
  </si>
  <si>
    <t>BIM</t>
  </si>
  <si>
    <t>Natureza</t>
  </si>
  <si>
    <t>Disciplina</t>
  </si>
  <si>
    <t>Tema</t>
  </si>
  <si>
    <t>00 Super
Class
5</t>
  </si>
  <si>
    <t>000 Tradução Classe 5</t>
  </si>
  <si>
    <t>Especie</t>
  </si>
  <si>
    <t>00Super
Class
4</t>
  </si>
  <si>
    <t>00Super
Class
2</t>
  </si>
  <si>
    <t>00Super
Class
3</t>
  </si>
  <si>
    <t>00Raiz</t>
  </si>
  <si>
    <t>000 Traducción Classe 5</t>
  </si>
  <si>
    <t>Chave</t>
  </si>
  <si>
    <t>Valor</t>
  </si>
  <si>
    <t>OntologiaPrefixo</t>
  </si>
  <si>
    <t>bim:</t>
  </si>
  <si>
    <t>OntologiaTema</t>
  </si>
  <si>
    <t>RaizClass</t>
  </si>
  <si>
    <t>RaizProp</t>
  </si>
  <si>
    <t>RaizData</t>
  </si>
  <si>
    <t>URI</t>
  </si>
  <si>
    <t>https://github.com/JLMenegotto/RepoOnto#</t>
  </si>
  <si>
    <t>Autor</t>
  </si>
  <si>
    <t>Organização</t>
  </si>
  <si>
    <t>Escola Politécnica da UFRJ</t>
  </si>
  <si>
    <t>-</t>
  </si>
  <si>
    <t>Observações</t>
  </si>
  <si>
    <t>DataHora</t>
  </si>
  <si>
    <t>Prédio</t>
  </si>
  <si>
    <t>Cidade</t>
  </si>
  <si>
    <t>Explicação</t>
  </si>
  <si>
    <t>Explicación</t>
  </si>
  <si>
    <t>Classe</t>
  </si>
  <si>
    <t>Fato</t>
  </si>
  <si>
    <t>descrição</t>
  </si>
  <si>
    <t>nome</t>
  </si>
  <si>
    <t>Val</t>
  </si>
  <si>
    <t>Equivalente a</t>
  </si>
  <si>
    <t>Projeto</t>
  </si>
  <si>
    <t>sigla</t>
  </si>
  <si>
    <t>CategoriaRvt</t>
  </si>
  <si>
    <t>ClasseIfc</t>
  </si>
  <si>
    <t>Eixo.Estrutural</t>
  </si>
  <si>
    <t>Andar.Cobertura</t>
  </si>
  <si>
    <t>Andar de cobertura do edifício.</t>
  </si>
  <si>
    <t>Arquitetura</t>
  </si>
  <si>
    <t>Andar.Tipo</t>
  </si>
  <si>
    <t>Andar tipo do edifício.</t>
  </si>
  <si>
    <t>Andar.Customizado</t>
  </si>
  <si>
    <t>Andar único do edifício. Andares que não são típicos e são projetados sob medida.</t>
  </si>
  <si>
    <t>Andar.Variável</t>
  </si>
  <si>
    <t>Andar único do edifício. Andares que não são típicos.</t>
  </si>
  <si>
    <t>Andar.Palco</t>
  </si>
  <si>
    <t>Andar único do edifício. Em prédios que tem salas de espetáculos é o andar que contem o palco ou tela de projeção.</t>
  </si>
  <si>
    <t>Andar.Especial</t>
  </si>
  <si>
    <t>Andar único do edifício. Identifica o andar que se destaca por sua dupla altura ou alguma característica que o torna único.</t>
  </si>
  <si>
    <t>Andar.Técnico</t>
  </si>
  <si>
    <t>Andar técnico do edifício.</t>
  </si>
  <si>
    <t>Andar.Mezanino</t>
  </si>
  <si>
    <t>Andar parcial mais baixo introduzido no pé-direito de um andar, com acesso apenas pelo interior do recinto.</t>
  </si>
  <si>
    <t>Andar.Acesso</t>
  </si>
  <si>
    <t>Andar de acesso ao edifício.</t>
  </si>
  <si>
    <t>Andar.Subsolo</t>
  </si>
  <si>
    <t>Andar do subsolo do prédio.</t>
  </si>
  <si>
    <t>Plano.de.Bloco.Fundação</t>
  </si>
  <si>
    <t>Plano horizontal dos blocos de fundação do edifício.</t>
  </si>
  <si>
    <t>Plano.de.Estacas</t>
  </si>
  <si>
    <t>Plano horizontal das estacas de fundação do edifício.</t>
  </si>
  <si>
    <t>Gabarito.Subterrâneo</t>
  </si>
  <si>
    <t>Gabarito.Aéreo</t>
  </si>
  <si>
    <t>Gabarito de altura permitida para realizar voos segurança com UAS (drones). Estabelecido pela ANAC (Agência Nacional de Aviação Civil). Especialmente em regiões próximas a aeroportos.</t>
  </si>
  <si>
    <t>Gabarito.Hídrico</t>
  </si>
  <si>
    <t>Gabarito.Municipal</t>
  </si>
  <si>
    <t>Gabarito de altura máxima permitida para as edificações em cada área urbana. Estabelecido por leis municipais de uso e ocupação do solo. Não pode ser ultrapassado pelo projeto.</t>
  </si>
  <si>
    <t>Eixos de projeto usados para localização dos pilares, simetrias, corpos, etc.</t>
  </si>
  <si>
    <t>Eixo.Estrutural.Irregular</t>
  </si>
  <si>
    <t>Eixos de projeto dispostos de modo irregular usados para localização dos pilares, simetrias, corpos, etc.</t>
  </si>
  <si>
    <t>Eixo.Estrutural.Radial</t>
  </si>
  <si>
    <t>Eixos de projeto dispostos radialmente usados para localização dos pilares, simetrias, corpos, etc.</t>
  </si>
  <si>
    <t>Eixo.Estrutural.Retangular</t>
  </si>
  <si>
    <t>Eixos de projeto dispostos de modo matricial regular usados para localização dos pilares, simetrias, corpos, etc.</t>
  </si>
  <si>
    <t>Eixo.Estrutural.Triangular</t>
  </si>
  <si>
    <t>Eixos de projeto dispostos de modo inclinado ou triangular usados para localização dos pilares, simetrias, corpos, etc.</t>
  </si>
  <si>
    <t>Fachada.Principal</t>
  </si>
  <si>
    <t>Fachada.Fundos</t>
  </si>
  <si>
    <t>Área.Bruta</t>
  </si>
  <si>
    <t>Espaço exposto aos espectadores, onde os atores se apresentam. Pode ser elevado, plano, giratório, italiano, arena, entre outros formatos.</t>
  </si>
  <si>
    <t>Espaço oculto e posterior ao palco, atrás da área de atuação dos artistas. Pode abrigar diversos elementos cenográficos, técnicos e funcionais à peça.</t>
  </si>
  <si>
    <t>Espaço entre a plateia e o palco, normalmente abaixo do palco, para acomodar a orquestra durante um espetáculo musical ou de dança.</t>
  </si>
  <si>
    <t>Espaço no nível do palco, onde o público se acomoda com visão frontal ao palco.</t>
  </si>
  <si>
    <t>Espaço integrado à plateia, mas em nível superior onde o público se acomoda com visão frontal do palco.</t>
  </si>
  <si>
    <t>Espaço integrado à sala de espetáculo, geralmente reservado e com melhor visibilidade e conforto.</t>
  </si>
  <si>
    <t>Apartamento</t>
  </si>
  <si>
    <t>Zona espacial é uma decomposição não hierárquica e potencialmente sobreposta do projeto sob alguma condição.</t>
  </si>
  <si>
    <t>Zona.de.Construção</t>
  </si>
  <si>
    <t>Zona espacial é usada para representar uma zona de construção para o processo de fabricação.</t>
  </si>
  <si>
    <t>Zona.de.Interferência</t>
  </si>
  <si>
    <t>Zona espacial é usada para definir uma interferência entre ocorrências de Ifcspatialelement.</t>
  </si>
  <si>
    <t>Zona.de.Ocupação</t>
  </si>
  <si>
    <t>Zona espacial é usada para representar uma zona de ocupação particular.</t>
  </si>
  <si>
    <t>Zona.de.Reserva</t>
  </si>
  <si>
    <t>Zona espacial que representa algum tipo de reserva dentro do projeto para uso futuro.</t>
  </si>
  <si>
    <t>Zona.de.Transporte</t>
  </si>
  <si>
    <t>Zona espacial é usada para representar uma área primariamente dedicada à circulação de pessoas ou veículos.</t>
  </si>
  <si>
    <t>Zona.de.Térmica</t>
  </si>
  <si>
    <t>Zona espacial é usada para representar uma zona térmica com características homogêneas.</t>
  </si>
  <si>
    <t>Zona.de.Iluminação</t>
  </si>
  <si>
    <t>Zona espacial é usada para representar uma zona de iluminação; uma zona de luz natural.</t>
  </si>
  <si>
    <t>Zona.de.Ventilação</t>
  </si>
  <si>
    <t>Zona espacial é usada para representar uma zona de ventilação.</t>
  </si>
  <si>
    <t>Zona.de.Segurança.Incêndio</t>
  </si>
  <si>
    <t>Zona espacial é usada para representar uma zona de segurança contra incêndios, ou compartimento.</t>
  </si>
  <si>
    <t>Zona.de.Segurança</t>
  </si>
  <si>
    <t>Zona espacial é usada para representar uma zona para planejamento de segurança e trabalho, acessos, etc.</t>
  </si>
  <si>
    <t>000 Translate Classe 5</t>
  </si>
  <si>
    <t>Prof. José Luis Menegotto - DEG/POLI/UFRJ</t>
  </si>
  <si>
    <t>Explanation</t>
  </si>
  <si>
    <t>Idioma</t>
  </si>
  <si>
    <t>pt</t>
  </si>
  <si>
    <t>es</t>
  </si>
  <si>
    <t>en</t>
  </si>
  <si>
    <t>Advertência</t>
  </si>
  <si>
    <t>Aviso</t>
  </si>
  <si>
    <t>Alert</t>
  </si>
  <si>
    <t>Traduções al español e inglês incorporadas. As traduções devem ser constantemente revisadas</t>
  </si>
  <si>
    <t>Elementos.Prediais</t>
  </si>
  <si>
    <t>Orientação.Norte</t>
  </si>
  <si>
    <t>Orientação.Sul</t>
  </si>
  <si>
    <t>Orientação.Leste</t>
  </si>
  <si>
    <t>Orientação.Oeste</t>
  </si>
  <si>
    <t>Orientação.Solar</t>
  </si>
  <si>
    <t>Símbolo.de.Norte</t>
  </si>
  <si>
    <t>Elemento simbólico de referência da posição do Norte Verdadeiro: marcador de Símbolo de Norte.</t>
  </si>
  <si>
    <t>Elemento simbólico de referência da posição do Eixo Estrutural: marcador de Eixo.</t>
  </si>
  <si>
    <t>[ IfcBuildingStorey ]</t>
  </si>
  <si>
    <t>[ IfcGrid ]</t>
  </si>
  <si>
    <t>[ IfcGridIRREGULAR ]</t>
  </si>
  <si>
    <t>[ IfcGridRADIAL ]</t>
  </si>
  <si>
    <t>[ IfcGridRECTANGULAR ]</t>
  </si>
  <si>
    <t>[ IfcGridTRIANGULAR ]</t>
  </si>
  <si>
    <t>[ IfcSpaceGFA ]</t>
  </si>
  <si>
    <t>[ IfcExternalSpatialElementEXTERNAL ]</t>
  </si>
  <si>
    <t>[ IfcExternalSpatialElementEXTERNAL_FIRE ]</t>
  </si>
  <si>
    <t>[ IfcExternalSpatialElementEXTERNAL_WATER ]</t>
  </si>
  <si>
    <t>[ IfcSpaceEXTERNAL ]</t>
  </si>
  <si>
    <t>[ IfcSpacePARKING ]</t>
  </si>
  <si>
    <t>[ IfcSpace ]</t>
  </si>
  <si>
    <t>[ IfcSpaceSPACE ]</t>
  </si>
  <si>
    <t>[ IfcSpatialZone ]</t>
  </si>
  <si>
    <t>[ IfcSpatialZoneCONSTRUCTION ]</t>
  </si>
  <si>
    <t>[ IfcSpatialZoneINTERFERENCE ]</t>
  </si>
  <si>
    <t>[ IfcSpatialZoneOCCUPANCY ]</t>
  </si>
  <si>
    <t>[ IfcSpatialZoneRESERVATION ]</t>
  </si>
  <si>
    <t>[ IfcSpatialZoneTRANSPORT ]</t>
  </si>
  <si>
    <t>[ IfcSpatialZoneTHERMAL ]</t>
  </si>
  <si>
    <t>[ IfcSpatialZoneLIGHTING ]</t>
  </si>
  <si>
    <t>[ IfcSpatialZoneVENTILATION ]</t>
  </si>
  <si>
    <t>[ IfcSpatialZoneFIRESAFETY ]</t>
  </si>
  <si>
    <t>[ IfcSpatialZoneSECURITY ]</t>
  </si>
  <si>
    <t>[ OST_ElevationMarks ]</t>
  </si>
  <si>
    <t>[ OST_Grids ]</t>
  </si>
  <si>
    <t>[ OST_Areas ]</t>
  </si>
  <si>
    <t>Zona.Definida</t>
  </si>
  <si>
    <t>Campus</t>
  </si>
  <si>
    <t>[ 4U.70 ]</t>
  </si>
  <si>
    <t>[ 4U.74.02 ]</t>
  </si>
  <si>
    <t>[ 4U.26.10.02 ]</t>
  </si>
  <si>
    <t>[ 4U.26.10 ]</t>
  </si>
  <si>
    <t>[ 4A.07.10.07 ]</t>
  </si>
  <si>
    <t>[ 4A.13.13 ]</t>
  </si>
  <si>
    <t>Analema.Solar</t>
  </si>
  <si>
    <t>[ OST_Sun ]</t>
  </si>
  <si>
    <t>[ OST_SunPath2 ]</t>
  </si>
  <si>
    <t>[ OST_SunsetText ]</t>
  </si>
  <si>
    <t>[ OST_SunSurface ]</t>
  </si>
  <si>
    <t>[ OST_SunStudy ]</t>
  </si>
  <si>
    <t>[ OST_SunriseText ]</t>
  </si>
  <si>
    <t>[ OST_SunPath1 ]</t>
  </si>
  <si>
    <t>Sol</t>
  </si>
  <si>
    <t>Sol.Percurso.1</t>
  </si>
  <si>
    <t>Sol.Percurso.2</t>
  </si>
  <si>
    <t>Sol.Texto.Amanhecer</t>
  </si>
  <si>
    <t>Sol.Texto.Anoitecer</t>
  </si>
  <si>
    <t>Sol.Estudo</t>
  </si>
  <si>
    <t>Sol.Superfície</t>
  </si>
  <si>
    <t>[ OST_GenericAnnotation ]</t>
  </si>
  <si>
    <t>[ IfcAnnotationSYMBOL ]</t>
  </si>
  <si>
    <t>Eixo.Simetria.Local</t>
  </si>
  <si>
    <t>Eixo.Simetria.Principal</t>
  </si>
  <si>
    <t>Elemento simbólico de referência da posição de um Eixo de Simetria Axial Principal do Edifício.</t>
  </si>
  <si>
    <t>Elemento simbólico de referência da posição de um Eixo de Simetria Axial Secundário ou Local de uma Parte do Edifício.</t>
  </si>
  <si>
    <t>Elementos.Espaciais</t>
  </si>
  <si>
    <t>Vista.Interna</t>
  </si>
  <si>
    <t>Fachada.Inespecífica</t>
  </si>
  <si>
    <t>Símbolo.de.Andar</t>
  </si>
  <si>
    <t>Símbolo de Elevação de uma Vista Interna definida no projeto, para paginação de banheiros e cozinhas, por exemplo: o marcador da vista poderá ser declarado com um tipo específco.</t>
  </si>
  <si>
    <t>Espaço superior para acomodar o público com preços mais acessíveis.</t>
  </si>
  <si>
    <t>Espaço lateral ao palco, usado para a entrada e saída dos artistas.</t>
  </si>
  <si>
    <t>Espaços arquitetônicos que ainda não tem sido especificados com uma funcionalidade definida ou que ainda não tem uma classe definida nesta Ontologia.</t>
  </si>
  <si>
    <t>Espaço frontal do palco, próximo à plateia. Integra arquitetonicamente à cena cumprindo funções estéticas e acústicas, chamada também de boca de cena.</t>
  </si>
  <si>
    <t>Representa um Apartamento de edifício residencial.</t>
  </si>
  <si>
    <t>Representa um Bloco Edificado que contem outras unidades autônomas sem função específica.</t>
  </si>
  <si>
    <t>Representa um Bloco Edificado de uma Unidade Educativa.</t>
  </si>
  <si>
    <t>Representa um Bloco Edificado que contem outras unidades autônomas com função residencial.</t>
  </si>
  <si>
    <t>Representa um Bloco Edificado de uma Unidade de Saúde do SUS.</t>
  </si>
  <si>
    <t>Representa um Bloco Edificado de uma Unidade de Saúde da Rede Privada.</t>
  </si>
  <si>
    <t>Representa um Bloco Edificado de uma Unidade de Saúde da Rede Privada conveniada com o SUS.</t>
  </si>
  <si>
    <t>Doca</t>
  </si>
  <si>
    <t>Estacionamento</t>
  </si>
  <si>
    <t>Espaços arquitetônicos exteriores dedicados para Carga e Descarga tipo Doca.</t>
  </si>
  <si>
    <t>Espaços arquitetônicos exteriores dedicados para Armazenamento temporário de produtos tipo pátio.</t>
  </si>
  <si>
    <t>Espaços arquitetônicos exteriores dedicados para usar como vaga de estacionamento de veículos, incluindo acesso.</t>
  </si>
  <si>
    <t xml:space="preserve">Pátio.Logístico </t>
  </si>
  <si>
    <t>Setor</t>
  </si>
  <si>
    <t>Departamento</t>
  </si>
  <si>
    <t>Divisão</t>
  </si>
  <si>
    <t>Representa um Setor funcional administrativo de um edifício institucional.</t>
  </si>
  <si>
    <t>Representa uma Divisão funcional administrativa de um edifício institucional.</t>
  </si>
  <si>
    <t>Representa uma Departamento funcional administrativo de um edifício institucional.</t>
  </si>
  <si>
    <t>Prédio.Indiferenciado</t>
  </si>
  <si>
    <t>Prédio.Residencial</t>
  </si>
  <si>
    <t>Prédio.Educativo</t>
  </si>
  <si>
    <t>Prédio.Hospital.SUS</t>
  </si>
  <si>
    <t>Prédio.Hospital.Privado</t>
  </si>
  <si>
    <t>Prédio.Hospital.Conveniado</t>
  </si>
  <si>
    <t>Prédio.Casa</t>
  </si>
  <si>
    <t>Representa um Bloco Edificado que é uma Casa ou Unidade Residencial Individual.</t>
  </si>
  <si>
    <t>Fachada.Lateral.Esquerda</t>
  </si>
  <si>
    <t>Símbolo de Elevação da Fachada Principal. Relativa ao Norte do projeto de Revit. O marcador da vista poderá ser declarado com um tipo específco.</t>
  </si>
  <si>
    <t>Símbolo de Elevação da Fachada dos Fundos. Relativa à Fachada Principal ou Norte de Projeto Revit. O marcador da vista poderá ser declarado com um tipo específco.</t>
  </si>
  <si>
    <t>Símbolo de Elevação da Fachada Lateral Direita. Relativa à Fachada Principal ou Norte de Projeto Revit. O marcador da vista poderá ser declarado com um tipo específco.</t>
  </si>
  <si>
    <t>Símbolo de Elevação da Fachada Lateral Esquerda. Relativa à Fachada Principal ou Norte de Projeto Revit. O marcador da vista poderá ser declarado com um tipo específco.</t>
  </si>
  <si>
    <t>Símbolo de Elevação de uma Fachada Secundária. Relativa à Fachada Principal ou Norte de Projeto Revit. O marcador da vista poderá ser declarado com um tipo específco.</t>
  </si>
  <si>
    <t>Espaços arquitetônicos com tratamento acústico especializado para eliminar as reflexões sonoras (eco).</t>
  </si>
  <si>
    <t>Espaços arquitetônicos com tratamento acústico especializado para aumentar o tempo de reflexão sonoras.</t>
  </si>
  <si>
    <t>Espaços arquitetônicos dimensionados e equipados para expor obras de arte ou produtos, para museus, exposições, etc.</t>
  </si>
  <si>
    <t>Espaços arquitetônicos dimensionados e equipados para guardar produtos em baixas temperaturas, como Espaços arquitetônicos de frezzers, Espaços arquitetônicos refrigeradas, etc.</t>
  </si>
  <si>
    <t>Espaços arquitetônicos dimensionados e equipados para servidores informáticos de atividades virtuais telemáticas.</t>
  </si>
  <si>
    <t>Espaços arquitetônicos dimensionados e equipados para atividades esportivas, etc.</t>
  </si>
  <si>
    <t>Espaços arquitetônicos dimensionados e equipados para atividades esportivas ao ar livre ou coberta tipo Quadra de esporte.</t>
  </si>
  <si>
    <t>Espaços arquitetônicos dimensionados e equipados para atividades esportivas aquáticas ao ar livre ou coberta tipo Piscina de esporte.</t>
  </si>
  <si>
    <t>Espaços arquitetônicos dimensionados e equipados para o público ver um evento esportivo tipo Arquibancada.</t>
  </si>
  <si>
    <t>Espaços arquitetônicos dimensionados e equipados para Vestiário esportivo.</t>
  </si>
  <si>
    <t>Espaços arquitetônicos dimensionados e equipados com peças sanitárias para uso masculino.</t>
  </si>
  <si>
    <t>Espaços arquitetônicos dimensionados e equipados com peças sanitárias para uso comum feminino e masculino.</t>
  </si>
  <si>
    <t>Espaços arquitetônicos dimensionados e equipados com peças sanitárias para uso por pessoas com necessidades especiais (PNE).</t>
  </si>
  <si>
    <t>Espaços arquitetônicos dimensionados e equipados com peças sanitárias de um banheiro pequenho.</t>
  </si>
  <si>
    <t>Espaços arquitetônicos dimensionados e equipados para trabalho comercial administrativo.</t>
  </si>
  <si>
    <t>Espaços arquitetônicos dimensionados e equipados para função residencial de Estar - Espaços arquitetônicos, Varandas, etc.</t>
  </si>
  <si>
    <t>Espaços arquitetônicos dimensionados e equipados para função residencial íntima - Quartos, Vestidores, etc.</t>
  </si>
  <si>
    <t>Espaços arquitetônicos dimensionados e equipados para função residencial de higiene - Banheiros, WC, etc.</t>
  </si>
  <si>
    <t>Espaços arquitetônicos dimensionados e equipados para função residencial de serviço - Areas, Cozinhas, etc.</t>
  </si>
  <si>
    <t>Espaços arquitetônicos dimensionados e equipados para função residencial de Lazer como Espaços arquitetônicos de TV, jogos, etc.</t>
  </si>
  <si>
    <t>Espaços arquitetônicos dimensionados e equipados para função residencial de atividades profissionais.</t>
  </si>
  <si>
    <t>Espaços arquitetônicos dimensionados e equipados para atividades esportivas de corridas em pistas de esporte.</t>
  </si>
  <si>
    <t>Espaços arquitetônicos dimensionados e equipados para Recepção, Guarda e Distribuição de elementos tipo depósito logístico.</t>
  </si>
  <si>
    <t>Elementos.Englobantes</t>
  </si>
  <si>
    <t>Elementos.de.Implantação</t>
  </si>
  <si>
    <t>Se refere ao local de implantação tipo Campus onde se encontra o projeto. Usada para projetos urbanos implantados em Lotes grandes tipo Campus.</t>
  </si>
  <si>
    <t>Se refere ao local de implantação tipo Lote urbano onde se encontra o projeto.  Usada para projetos urbanos implantados em lotes normais.</t>
  </si>
  <si>
    <t>Espaço exterior de um projeto implantado.</t>
  </si>
  <si>
    <t>Delimitação de espaço construível para implantar o projeto.</t>
  </si>
  <si>
    <t>Construção.Vizinha</t>
  </si>
  <si>
    <t>Lote.Urbano</t>
  </si>
  <si>
    <t>Espaço exterior coberto com água ao redor do edifício implantado.</t>
  </si>
  <si>
    <t>Espaço ocupado por construções vizinhas ao local de implantação.</t>
  </si>
  <si>
    <t>Delimitação de espaço de Área Bruta do Projeto implantado.</t>
  </si>
  <si>
    <t>Espaços arquitetônicos dimensionados e equipados para a preparação de artistas.</t>
  </si>
  <si>
    <t>Espaço Industrial dimensionado e equipado com fornos ou equipamentos pesados para processamento de metais e ligas.</t>
  </si>
  <si>
    <t>Espaço Industrial dimensionado e equipado como uma Linha de Produção de bens em larga escala (automóveis, eletrônicos, têxteis e alimentos, etc.). É uma linha de montagem de máquinas automatizadas</t>
  </si>
  <si>
    <t>Espaço Industrial tipo Galpão.</t>
  </si>
  <si>
    <t>Espaços arquitetônicos dimensionados e equipados para Ensino ou Pesquisa em fabricação robótica, impressão 3D, corte a laser e outras tecnologias de fabricação.</t>
  </si>
  <si>
    <t>Divisas.e.Entorno</t>
  </si>
  <si>
    <t>Espaço Industrial dimensionado e equipado como uma Oficina de Produção de bens em media ou baixa escala (móveis, equipamentos, pequenos veículos etc.). É preparado para montagens.</t>
  </si>
  <si>
    <t>Espaço Industrial dimensionado e equipado como uma Oficina de Pintura de bens em media ou baixa escala (móveis, equipamentos, pequenos veículos etc.). É preparado para montagens.</t>
  </si>
  <si>
    <t>Espaço Industrial tipo Grande Nave Industrial.</t>
  </si>
  <si>
    <t>[ 4A.43.04 ]</t>
  </si>
  <si>
    <t>[ 4A.43.37.61 ]</t>
  </si>
  <si>
    <t>[ 4A.43.37.61 , 4A.43.55.16 ]</t>
  </si>
  <si>
    <t>Zona.de.Biossegurança</t>
  </si>
  <si>
    <t>Zona espacial é usada para representar uma zona de biossegurança, normalmente onde a ventilação é crítica.</t>
  </si>
  <si>
    <t>[ 4A.01.13.04 ]</t>
  </si>
  <si>
    <t>[ 4A.01.13.07 ]</t>
  </si>
  <si>
    <t>[ 4A.04.07 ]</t>
  </si>
  <si>
    <t>[ 4A.01.07 ]</t>
  </si>
  <si>
    <t>Espaço exterior protegido por algum tipo de disposição de preservação ambiental.</t>
  </si>
  <si>
    <t>Analítica.Espacial</t>
  </si>
  <si>
    <t>Heliodom ou Analema solar: sol.</t>
  </si>
  <si>
    <t>Heliodom Analema solar: caminho solar 1.</t>
  </si>
  <si>
    <t>Heliodom Amanhecer: texto de saída do sol.</t>
  </si>
  <si>
    <t>Heliodom Anoitecer: texto de posta do sol.</t>
  </si>
  <si>
    <t>Heliodom de Estudo Solar.</t>
  </si>
  <si>
    <t>Heliodom Superfície do sol.</t>
  </si>
  <si>
    <t>Análise de orientação da Envoltoria. Elementos orientados ao Norte, relativos ao Norte Verdadeiro ou Solar.</t>
  </si>
  <si>
    <t>Análise de orientação da Envoltoria. Elementos orientados ao Sul, relativos ao Norte Verdadeiro ou Solar.</t>
  </si>
  <si>
    <t>Análise de orientação da Envoltoria. Elementos orientados ao Oeste, relativos ao Norte Verdadeiro ou Solar.</t>
  </si>
  <si>
    <t>Análise de orientação da Envoltoria. Elementos orientados ao Leste, relativos ao Norte Verdadeiro ou Solar.</t>
  </si>
  <si>
    <t>Espaços arquitetônicos dimensionados e equipados para guardar produtos culturais como bibliotecas, hemerotecas, mapotecas, discotecas, midiatecas, etc.</t>
  </si>
  <si>
    <t xml:space="preserve">Espaços arquitetônicos que têm função de passagem vertical para sistemas prediais de tubulações e dutos. </t>
  </si>
  <si>
    <t>[ 4A.13.01 ]</t>
  </si>
  <si>
    <t>Delimitação de espaço de Afastamentos do Lote.</t>
  </si>
  <si>
    <t>Delimitação de espaço de Recuo Frontal do Lote.</t>
  </si>
  <si>
    <t>[ 4A.01.01.16 ]</t>
  </si>
  <si>
    <t>[ 4A.01.01.19 ]</t>
  </si>
  <si>
    <t>[ 4A.01.01.10 ]</t>
  </si>
  <si>
    <t>[ 4A.01 ]</t>
  </si>
  <si>
    <t>Recuo</t>
  </si>
  <si>
    <t>Afastamento</t>
  </si>
  <si>
    <t>Espaços arquitetônicos dimensionados e equipados para atividades comerciais como compra, venda ou trocas de produtos com participação de público. Podem ser bilheterias ou espaços de atendimento.</t>
  </si>
  <si>
    <t>Espaços arquitetônicos dimensionados e equipados para atividades de alimentação de atendimento ao público como restaurantes, bares, quiosque, etc.</t>
  </si>
  <si>
    <t>Espaços arquitetônicos dimensionados e equipados para atividades de Limpeza e Manutenção predial, etc.</t>
  </si>
  <si>
    <t>Espaços arquitetônicos dimensionados e equipados para atividades que devam permanecer blindadas pelo uso de explosivos ou emissores de radiação.</t>
  </si>
  <si>
    <t xml:space="preserve">Espaços arquitetônicos dimensionados e equipados para atividades referentes a manipulação animal como biotérios ou espaços de sepultamento como cemitério ou necrotérios. </t>
  </si>
  <si>
    <t>Espaços arquitetônicos dimensionados e equipados para atividades que precisem espaços de quarentena ou controles temporários.</t>
  </si>
  <si>
    <t>Espaços arquitetônicos dimensionados e equipados para atividade hospitalar para realizar atividade Quirúrgica.</t>
  </si>
  <si>
    <t>Espaços arquitetônicos dimensionados e equipados para atividade de Laboratório de Risco Biológico Baixo. Práticas básicas de microbiologia. Sem barreiras especiais.</t>
  </si>
  <si>
    <t>Espaços arquitetônicos dimensionados e equipados para atividade de Laboratório de Risco Biológico Moderado. Com barreiras primárias (EPIs, pia, descontaminação). Acesso restrito.</t>
  </si>
  <si>
    <t>Espaços arquitetônicos dimensionados e equipados para atividade de Laboratório de Risco Biológico Alto. Com contenção avançada (cabines de segurança, ventilação controlada, chuveiros de água). Acesso rigoroso.</t>
  </si>
  <si>
    <t>Espaços arquitetônicos dimensionados e equipados para atividade de Laboratório de Risco  Biológico Muito Alto. Com máxima contenção (macacões com ar filtrado, chuveiro químico, zonas isoladas).</t>
  </si>
  <si>
    <t>Espaços arquitetônicos dimensionados e equipados para atividades de Ensino e Pesquisa Artística relacionadas à plástica, como pintura, escultura, etc.</t>
  </si>
  <si>
    <t>Espaços arquitetônicos dimensionados e equipados para atividades de Ensino e Pesquisa de Ciências.</t>
  </si>
  <si>
    <t>Espaços arquitetônicos dimensionados e equipados para atividade hospitalar de atividades gerais de assistência à saúde.</t>
  </si>
  <si>
    <t>Espaços arquitetônicos dimensionados e equipados para atividades infantis.</t>
  </si>
  <si>
    <t>Espaços arquitetônicos dimensionados e equipados para atividades de Ensino e Pesquisa geral</t>
  </si>
  <si>
    <t>Espaços arquitetônicos dimensionados e equipados para Ensino ou Pesquisa em Informática.</t>
  </si>
  <si>
    <t>Espaços arquitetônicos dimensionados e equipados para Ensino ou Pesquisa em Química.</t>
  </si>
  <si>
    <t>Espaços arquitetônicos dimensionados e equipados para Ensino ou Pesquisa em Física.</t>
  </si>
  <si>
    <t>Espaços arquitetônicos dimensionados e equipados para Ensino ou Pesquisa em Biologia.</t>
  </si>
  <si>
    <t>Espaços arquitetônicos dimensionados e equipados para Ensino ou Pesquisa em Música ou Artes Performáticas.</t>
  </si>
  <si>
    <t>Espaços arquitetônicos dimensionados e equipados para Ensino ou Pesquisa em habilidades técnicas, gráficas, eletrônicas, etc.</t>
  </si>
  <si>
    <t>Espaços arquitetônicos dimensionados e equipados para atividades escolares recreativas.</t>
  </si>
  <si>
    <t>Espaços arquitetônicos com tratamento acústico especializado como estúdios de gravação, radio e TV, etc.</t>
  </si>
  <si>
    <t>Espaços arquitetônicos dimensionados e equipados para atividades ou processos relativos a atos judiciais.</t>
  </si>
  <si>
    <t>HIS</t>
  </si>
  <si>
    <t>Representa uma Unidade Habitacional de Interesse Social.</t>
  </si>
  <si>
    <t>Gabarito que define o nível superior da zona saturada de água subterrânea ou lençol freático.</t>
  </si>
  <si>
    <t>Gabarito de profundidade. Pode ser usado para definir a cota superior de um projeto subterrâneo, como linha de metrô ou instalações especiais urbanas. Usado como limite de referência de penetração em profundidade para novos projetos.</t>
  </si>
  <si>
    <t>Gabarito que define os níveis variáveis de um corpo de água natural, como o mar ou crescentes máximas e mínimas de rios e lagoas. Referência para projetos em zonas litorais ou alagáveis.</t>
  </si>
  <si>
    <t>Espaços arquitetônicos dimensionados como grandes ambientes estruturantes de um projeto, como plateias de cinema, teatro, etc.</t>
  </si>
  <si>
    <t>Ambiente.Esportivo</t>
  </si>
  <si>
    <t>Espaços arquitetônicos dimensionados e equipados para atividade de Paramentação de profissional que trabalha em ambiente de contenção de Biossegurança.</t>
  </si>
  <si>
    <t>Espaços arquitetônicos dimensionados e equipados para atividades de ingresso, estadia e egresso de veículos.</t>
  </si>
  <si>
    <t>Andar</t>
  </si>
  <si>
    <t>Andar de edifício.</t>
  </si>
  <si>
    <t>De.Arquitetura</t>
  </si>
  <si>
    <t>[ OST_MEPZone ]</t>
  </si>
  <si>
    <t>Novo Edifício</t>
  </si>
  <si>
    <t>Edifício existente</t>
  </si>
  <si>
    <t>Campus existente</t>
  </si>
  <si>
    <t>Zonificação existente</t>
  </si>
  <si>
    <t>Compartimento existente</t>
  </si>
  <si>
    <t>Novo Compartimento</t>
  </si>
  <si>
    <t>Andar do prédio existente</t>
  </si>
  <si>
    <t>Novo Campus</t>
  </si>
  <si>
    <t>Nova Zonificação</t>
  </si>
  <si>
    <t>Novo Andar do edifício</t>
  </si>
  <si>
    <t>Novo Bloco Edificado</t>
  </si>
  <si>
    <t>Bloco Edificado existente</t>
  </si>
  <si>
    <t>Layout</t>
  </si>
  <si>
    <t>Zonificação</t>
  </si>
  <si>
    <t>Campus.Existente</t>
  </si>
  <si>
    <t>Edifício.Existente</t>
  </si>
  <si>
    <t>Bloco.Existente</t>
  </si>
  <si>
    <t>Zona.Existente</t>
  </si>
  <si>
    <t>Andar.Existente</t>
  </si>
  <si>
    <t>Compartimento.Existente</t>
  </si>
  <si>
    <t>Campus.Novo</t>
  </si>
  <si>
    <t>Compartimento.Novo</t>
  </si>
  <si>
    <t>Andar.Novo</t>
  </si>
  <si>
    <t>Zona.Novo</t>
  </si>
  <si>
    <t>Bloco.Novo</t>
  </si>
  <si>
    <t>Edifício.Novo</t>
  </si>
  <si>
    <t>Área.Edificável</t>
  </si>
  <si>
    <t>Eixo.de.Estrutura</t>
  </si>
  <si>
    <t>Eixo.de.Simetria</t>
  </si>
  <si>
    <t>Conceitos</t>
  </si>
  <si>
    <t>Indivíduo</t>
  </si>
  <si>
    <t>"Projeto A."</t>
  </si>
  <si>
    <t>"PRJA"</t>
  </si>
  <si>
    <t>"Projeto de atividades educativas."</t>
  </si>
  <si>
    <t>De.Espacialidade</t>
  </si>
  <si>
    <t>Planos.Horizontais</t>
  </si>
  <si>
    <t>Planos.Verticais</t>
  </si>
  <si>
    <t>Plano.de.Andar</t>
  </si>
  <si>
    <t>Plano.de.Fundação</t>
  </si>
  <si>
    <t>Plano.Gabarito</t>
  </si>
  <si>
    <t>Nível.Freático</t>
  </si>
  <si>
    <t>Elevações</t>
  </si>
  <si>
    <t>Fachada.Lateral.Direita</t>
  </si>
  <si>
    <t>Área.Exterior</t>
  </si>
  <si>
    <t>Área.Exterior.Hídrica</t>
  </si>
  <si>
    <t>Área.Exterior.Arborizada</t>
  </si>
  <si>
    <t>Área.de.Preservação</t>
  </si>
  <si>
    <t>Espaços arquitetônicos dimensionados e equipados para atividade hospitalar para realizar exames de diagnóstico por imagens (Tomografias, Ressonâncias, Ecografias, etc.)</t>
  </si>
  <si>
    <t>Espaços arquitetônicos dimensionados e equipados para atividade hospitalar para realizar atividades terapéuticas em água, como piscina, etc.</t>
  </si>
  <si>
    <t>Espaços arquitetônicos dimensionados e equipados para atividade hospitalar para realizar processo de internação.</t>
  </si>
  <si>
    <t>Espaços arquitetônicos dimensionados e equipados para atividade hospitalar para realizar atividades de espera.</t>
  </si>
  <si>
    <t>Espaços arquitetônicos dimensionados e equipados para atividade hospitalar para realizar atividades de enfermagem.</t>
  </si>
  <si>
    <t>Espaços arquitetônicos dimensionados e equipados para atividade hospitalar para realizar atividades de consulta médica.</t>
  </si>
  <si>
    <t>Espaços arquitetônicos dimensionados e equipados para atividade hospitalar para realizar atividade de análise clínica.</t>
  </si>
  <si>
    <t>Espaços arquitetônicos dimensionados e equipados para atividade hospitalar para realizar atendimento de emergências.</t>
  </si>
  <si>
    <t>Espaços arquitetônicos dimensionados e equipados para atividade hospitalar para realizar terapias com pacientes (fisioterapias, respiratórias, etc).</t>
  </si>
  <si>
    <t>Espaços arquitetônicos dimensionados e equipados para atividade hospitalar para realizar triagem de pacientes ou materiais.</t>
  </si>
  <si>
    <t>Espaços arquitetônicos dimensionados e equipados para atividade hospitalar para realizar processo de internação de cuidados intensivos.</t>
  </si>
  <si>
    <t>Espaços arquitetônicos dimensionados e equipados para atividade hospitalar para realizar movimentação veicular.</t>
  </si>
  <si>
    <t>[ 4A. ]</t>
  </si>
  <si>
    <t>[ 4U. ]</t>
  </si>
  <si>
    <t>[ OST_Levels : OST_LevelHeads ]</t>
  </si>
  <si>
    <t>[ OST_Elev : OST_ElevationMarks ]</t>
  </si>
  <si>
    <t>[ OST_Rooms : OST_MEPSpaces ]</t>
  </si>
  <si>
    <t>[ OST_Rooms : OST_MEPSpaces : OST_MEPZone ]</t>
  </si>
  <si>
    <t>[ OST_ZoneEquipment : OST_MEPSystemZone : OST_MEPZone ]</t>
  </si>
  <si>
    <t>Ambientes_Unidades_Zonas</t>
  </si>
  <si>
    <t>Formalizar elementos do projeto BIM. Unidades_Funcionais Zonas e Ambientes.</t>
  </si>
  <si>
    <t>Formalizar elementos del proyecto BIM. Unidades_Funcionales Zonas y Ambientes.</t>
  </si>
  <si>
    <t>Espaço exterior com arborização tipo bosque ou parque urbano de um projeto implantado.</t>
  </si>
  <si>
    <t>Elemento simbólico de referência da posição de cada andar do projeto: o marcador de andar poderá ser declarado com um tipo específco na categoria OST_LevelHeads.</t>
  </si>
  <si>
    <t>Eixos.Estruturantes</t>
  </si>
  <si>
    <t>Eixo.Símbolo</t>
  </si>
  <si>
    <t>Design axes used for column location, symmetries, bodies, etc.</t>
  </si>
  <si>
    <t>Irregularly arranged design axes used for the location of columns, symmetries, bodies, etc.</t>
  </si>
  <si>
    <t>Radially arranged design axes used for location of columns, symmetries, bodies, etc.</t>
  </si>
  <si>
    <t>Regularly arranged design axes used for column location, symmetries, bodies, etc.</t>
  </si>
  <si>
    <t>Design axes arranged in an inclined or triangular manner used to locate columns, symmetries, bodies, etc.</t>
  </si>
  <si>
    <t>Symbolic reference element of the position of the Structural Axis: Axis marker.</t>
  </si>
  <si>
    <t>Symbolic reference element of the position of a Main Axial Symmetry Axis of the Building.</t>
  </si>
  <si>
    <t>Symbolic reference element of the position of a Secondary or Local Axial Symmetry Axis of a Part of the Building.</t>
  </si>
  <si>
    <t>Building floor.</t>
  </si>
  <si>
    <t>Floor of the building.</t>
  </si>
  <si>
    <t>Floor building type.</t>
  </si>
  <si>
    <t>Single floor of the building. Floors that are not typical and are custom-designed.</t>
  </si>
  <si>
    <t>Single floor of the building. Floors that are not typical.</t>
  </si>
  <si>
    <t>Single floor of the building. In buildings that have concert halls, it is the floor that contains the stage or projection screen.</t>
  </si>
  <si>
    <t>Single floor of the building. It identifies the floor that stands out for its double height or some characteristic that makes it unique.</t>
  </si>
  <si>
    <t>Technical floor of the building.</t>
  </si>
  <si>
    <t>Lower partial floor introduced at the ceiling height of one floor, with access only from the interior of the enclosure.</t>
  </si>
  <si>
    <t>Access floor to the building.</t>
  </si>
  <si>
    <t>Basement floor of the building.</t>
  </si>
  <si>
    <t>Symbolic reference element of the position of each floor of the project: the floor marker can be declared with a specific type in the category OST_LevelHeads.</t>
  </si>
  <si>
    <t>Horizontal plane of the building's foundation blocks.</t>
  </si>
  <si>
    <t>Horizontal plane of the foundation piles of the building.</t>
  </si>
  <si>
    <t>Template that defines the upper level of the saturated zone of groundwater or water table.</t>
  </si>
  <si>
    <t>Depth template. It can be used to set the upper elevation of an underground project, such as subway line or urban special installations. Used as a reference limit of penetration at depth for new projects.</t>
  </si>
  <si>
    <t>Height gauge allowed to perform safe flights with UAS (drones). Established by ANAC (National Civil Aviation Agency). Especially in regions close to airports.</t>
  </si>
  <si>
    <t>Template that defines the varying levels of a natural body of water, such as the sea or rising maximums and minimums of rivers and ponds. Reference for projects in coastal or floodable areas.</t>
  </si>
  <si>
    <t>Maximum height gauge allowed for buildings in each urban area. Established by municipal laws of land use and occupation. It cannot be overtaken by the project.</t>
  </si>
  <si>
    <t>Symbol of Elevation of the Main Façade. Relative to the North of the Revit project. The view marker can be declared with a specific type.</t>
  </si>
  <si>
    <t>Symbol of Elevation of the Back Façade. Relating to the Main or North Façade of Revit Project. The view marker can be declared with a specific type.</t>
  </si>
  <si>
    <t>Right Side Facade Elevation Symbol. Relating to the Main or North Façade of Revit Project. The view marker can be declared with a specific type.</t>
  </si>
  <si>
    <t>Symbol of Elevation of the Left Side Façade. Relating to the Main or North Façade of Revit Project. The view marker can be declared with a specific type.</t>
  </si>
  <si>
    <t>Symbol of Elevation of a Secondary Façade. Relating to the Main or North Façade of Revit Project. The view marker can be declared with a specific type.</t>
  </si>
  <si>
    <t>Elevation Symbol of an Interior View defined in the project, for pagination of bathrooms and kitchens, for example: the view marker can be declared with a specific type.</t>
  </si>
  <si>
    <t>It refers to the Campus-type implementation location where the project is located. Used for urban projects implemented in large Campus type Lots.</t>
  </si>
  <si>
    <t>It refers to the place of implementation type Urban lot where the project is located.  Used for urban projects implanted on normal lots.</t>
  </si>
  <si>
    <t>Delimitation of the Gross Area of the Project implemented.</t>
  </si>
  <si>
    <t>Delimitation of buildable space to implement the project.</t>
  </si>
  <si>
    <t>Delimitation of the Frontal Setback of the Lot.</t>
  </si>
  <si>
    <t>Delimitation of the space of Lot Clearances.</t>
  </si>
  <si>
    <t>Space occupied by buildings neighboring the site of implantation.</t>
  </si>
  <si>
    <t>Outdoor space of an implanted project.</t>
  </si>
  <si>
    <t>Outdoor space covered with water around the implanted building.</t>
  </si>
  <si>
    <t>Outdoor space with woodland or urban park of an implanted project.</t>
  </si>
  <si>
    <t>Outdoor space protected by some kind of environmental preservation provision.</t>
  </si>
  <si>
    <t>Dedicated outdoor architectural spaces for Dock-type Loading and Unloading.</t>
  </si>
  <si>
    <t>Dedicated outdoor architectural spaces for temporary storage of patio-type products.</t>
  </si>
  <si>
    <t>Dedicated exterior architectural spaces to use as vehicle parking space, including access.</t>
  </si>
  <si>
    <t>Architectural spaces that have the function of articulating other environments and areas of a project: They can be Circulations, Halls, Stairs, Elevators, Foyers, Emergency Exits, etc...</t>
  </si>
  <si>
    <t>Architectural spaces that have not yet been specified with a defined functionality or that do not yet have a defined class in this Ontology.</t>
  </si>
  <si>
    <t>Architectural spaces that have a vertical passage function for building systems of pipes and ducts.</t>
  </si>
  <si>
    <t>Architectural spaces with specialized acoustic treatment such as recording studios, radio and TV, etc.</t>
  </si>
  <si>
    <t>Architectural spaces with specialized acoustic treatment to eliminate sound reflections (echo).</t>
  </si>
  <si>
    <t>Architectural spaces sized and equipped for activities that must remain shielded by the use of explosives or radiation emitters.</t>
  </si>
  <si>
    <t>Architectural spaces sized and equipped for vehicle entry, stay and exit activities.</t>
  </si>
  <si>
    <t>Architectural spaces sized and equipped to exhibit works of art or products, for museums, exhibitions, etc.</t>
  </si>
  <si>
    <t>Architectural spaces sized and equipped to store products at low temperatures, such as Frezzers Architectural Spaces, Refrigerated Architectural Spaces, etc.</t>
  </si>
  <si>
    <t>Architectural spaces sized and equipped for public service food activities such as restaurants, bars, kiosks, etc.</t>
  </si>
  <si>
    <t>Architectural spaces sized as large structuring environments of a project, such as cinema audiences, theater, etc.</t>
  </si>
  <si>
    <t>Architectural spaces designed and equipped for the reception, storage and distribution of logistic warehouse-type elements.</t>
  </si>
  <si>
    <t>Architectural spaces sized and equipped for Cleaning and Building Maintenance activities, etc.</t>
  </si>
  <si>
    <t>Architectural spaces sized and equipped for activities that require quarantine spaces or temporary controls.</t>
  </si>
  <si>
    <t>Architectural spaces with specialized acoustic treatment to increase sound reflection time.</t>
  </si>
  <si>
    <t>Architectural spaces sized and equipped to store cultural products such as libraries, newspaper libraries, map libraries, discotheques, media libraries, etc.</t>
  </si>
  <si>
    <t>Architectural spaces sized and equipped for computer servers for virtual telematic activities.</t>
  </si>
  <si>
    <t>Architectural spaces sized and equipped for activities related to animal manipulation such as vivariums or burial spaces such as cemetery or morgues.</t>
  </si>
  <si>
    <t>Architectural spaces sized and equipped for activities or processes related to judicial acts.</t>
  </si>
  <si>
    <t>Architectural spaces sized and equipped for the public to see a sporting event like Grandstand.</t>
  </si>
  <si>
    <t>Architectural spaces sized and equipped for sports activities, etc.</t>
  </si>
  <si>
    <t>Architectural spaces designed and equipped for outdoor or indoor water sports activities such as sports pools.</t>
  </si>
  <si>
    <t>Architectural spaces sized and equipped for sports activities of racing on sports tracks.</t>
  </si>
  <si>
    <t>Architectural spaces designed and equipped for outdoor or indoor sports activities such as sports courts.</t>
  </si>
  <si>
    <t>Architectural spaces sized and equipped for sports locker room.</t>
  </si>
  <si>
    <t>Architectural spaces sized and equipped with sanitary parts for male use.</t>
  </si>
  <si>
    <t>Architectural spaces sized and equipped with sanitary parts for common use by women and men.</t>
  </si>
  <si>
    <t>Architectural spaces sized and equipped with sanitary parts for use by people with special needs (PNE).</t>
  </si>
  <si>
    <t>Architectural spaces sized and equipped with sanitary parts of a small bathroom.</t>
  </si>
  <si>
    <t>Architectural spaces sized and equipped for administrative commercial work.</t>
  </si>
  <si>
    <t>Architectural spaces sized and equipped for commercial activities such as buying, selling or exchanging products with public participation. They can be ticket offices or service spaces.</t>
  </si>
  <si>
    <t>Architectural spaces sized and equipped for residential hygiene function - Bathrooms, toilets, etc.</t>
  </si>
  <si>
    <t>Architectural spaces sized and equipped for intimate residential function - Bedrooms, Dressing rooms, etc.</t>
  </si>
  <si>
    <t>Architectural spaces sized and equipped for residential leisure function such as architectural spaces for TV, games, etc.</t>
  </si>
  <si>
    <t>Architectural spaces sized and equipped for residential function of professional activities.</t>
  </si>
  <si>
    <t>Architectural spaces sized and equipped for residential service function - Areas, Kitchens, etc.</t>
  </si>
  <si>
    <t>Architectural spaces sized and equipped for residential function of Living - Architectural spaces, Balconies, etc.</t>
  </si>
  <si>
    <t>Architectural spaces sized and equipped for hospital activity to carry out clinical analysis activity.</t>
  </si>
  <si>
    <t>Architectural spaces sized and equipped for hospital activity to carry out medical consultation activities.</t>
  </si>
  <si>
    <t>Architectural spaces sized and equipped for hospital activity to provide emergency care.</t>
  </si>
  <si>
    <t>Architectural spaces sized and equipped for hospital activity to carry out nursing activities.</t>
  </si>
  <si>
    <t>Architectural spaces sized and equipped for hospital activity to carry out waiting activities.</t>
  </si>
  <si>
    <t>Architectural spaces sized and equipped for hospital activity to perform diagnostic imaging exams (CT scans, MRIs, ultrasounds, etc.)</t>
  </si>
  <si>
    <t>Architectural spaces sized and equipped for hospital activity to carry out therapeutic activities in water, such as swimming pool, etc.</t>
  </si>
  <si>
    <t>Architectural spaces sized and equipped for hospital activity to carry out the hospitalization process.</t>
  </si>
  <si>
    <t>Architectural spaces sized and equipped for hospital activity to carry out surgical activity.</t>
  </si>
  <si>
    <t>Architectural spaces sized and equipped for hospital activity of general health care activities.</t>
  </si>
  <si>
    <t>Architectural spaces sized and equipped for hospital activity to carry out therapies with patients (physiotherapy, respiratory, etc.).</t>
  </si>
  <si>
    <t>Architectural spaces sized and equipped for hospital activity to triage patients or materials.</t>
  </si>
  <si>
    <t>Architectural spaces sized and equipped for hospital activity to carry out the intensive care hospitalization process.</t>
  </si>
  <si>
    <t>Architectural spaces sized and equipped for hospital activity to carry out vehicular movement.</t>
  </si>
  <si>
    <t>Architectural spaces sized and equipped for Low Biological Risk Laboratory activity. Basic microbiology practices. No special barriers.</t>
  </si>
  <si>
    <t>Architectural spaces sized and equipped for the activity of Moderate Biological Risk Laboratory. With primary barriers (PPE, sink, decontamination). Restricted access.</t>
  </si>
  <si>
    <t>Architectural spaces sized and equipped for High Biological Risk Laboratory activity. With advanced containment (safety cabins, controlled ventilation, water showers). Strict access.</t>
  </si>
  <si>
    <t>Architectural spaces sized and equipped for the activity of Very High Biological Risk Laboratory. With maximum containment (overalls with filtered air, chemical shower, isolated areas).</t>
  </si>
  <si>
    <t>Architectural spaces sized and equipped for the activity of Vestment of professionals who work in a Biosafety containment environment.</t>
  </si>
  <si>
    <t>Architectural spaces sized and equipped for children's activities.</t>
  </si>
  <si>
    <t>Architectural spaces sized and equipped for Teaching and General Research activities</t>
  </si>
  <si>
    <t>Architectural spaces sized and equipped for Teaching and Artistic Research activities related to plastics, such as painting, sculpture, etc.</t>
  </si>
  <si>
    <t>Architectural spaces sized and equipped for Science Teaching and Research activities.</t>
  </si>
  <si>
    <t>Architectural spaces sized and equipped for Teaching or Research in technical, graphic, electronic skills, etc.</t>
  </si>
  <si>
    <t>Architectural spaces sized and equipped for Teaching or Research in Informatics.</t>
  </si>
  <si>
    <t>Architectural spaces sized and equipped for Teaching or Research in Chemistry.</t>
  </si>
  <si>
    <t>Architectural spaces sized and equipped for Teaching or Research in Physics.</t>
  </si>
  <si>
    <t>Architectural spaces sized and equipped for Teaching or Research in Biology.</t>
  </si>
  <si>
    <t>Architectural spaces sized and equipped for Teaching or Research in Music or Performing Arts.</t>
  </si>
  <si>
    <t>Architectural spaces sized and equipped for Teaching or Research in robotic fabrication, 3D printing, laser cutting and other fabrication technologies.</t>
  </si>
  <si>
    <t>Architectural spaces sized and equipped for recreational school activities.</t>
  </si>
  <si>
    <t>Architectural spaces sized and equipped for the preparation of artists.</t>
  </si>
  <si>
    <t>Front space of the stage, close to the audience. It integrates architecturally into the scene, fulfilling aesthetic and acoustic functions, also called the stage mouth.</t>
  </si>
  <si>
    <t>Space exposed to spectators, where the actors perform. It can be elevated, flat, swivel, Italian, arena, among other formats.</t>
  </si>
  <si>
    <t>Hidden space and back to the stage, behind the artists' performance area. It can house several scenographic, technical and functional elements to the piece.</t>
  </si>
  <si>
    <t>Space lateral to the stage, used for the entry and exit of the artists.</t>
  </si>
  <si>
    <t>Space between the audience and the stage, usually below the stage, to accommodate the orchestra during a musical or dance performance.</t>
  </si>
  <si>
    <t>Space at stage level, where the audience sits with a view of the front of the stage.</t>
  </si>
  <si>
    <t>Space integrated to the audience, but at an upper level where the audience is accommodated with a frontal view of the stage.</t>
  </si>
  <si>
    <t>Space integrated into the concert hall, usually reserved and with better visibility and comfort.</t>
  </si>
  <si>
    <t>Superior space to accommodate the public with more affordable prices.</t>
  </si>
  <si>
    <t>Industrial Space type Large Industrial Building.</t>
  </si>
  <si>
    <t>Industrial Space type Shed.</t>
  </si>
  <si>
    <t>Industrial space sized and equipped with furnaces or heavy equipment for processing metals and alloys.</t>
  </si>
  <si>
    <t>Industrial space sized and equipped as a Production Line for large-scale goods (automobiles, electronics, textiles and food, etc.). It is an assembly line of automated machines</t>
  </si>
  <si>
    <t>Industrial Space sized and equipped as a Production Workshop for medium or low scale goods (furniture, equipment, small vehicles, etc.). It is prepared for assemblies.</t>
  </si>
  <si>
    <t>Industrial Space sized and equipped as a Painting Workshop for medium or low scale goods (furniture, equipment, small vehicles, etc.). It is prepared for assemblies.</t>
  </si>
  <si>
    <t>It represents a Housing Unit of Social Interest.</t>
  </si>
  <si>
    <t>Represents an Apartment of residential building.</t>
  </si>
  <si>
    <t>Represents an administrative functional department of an institutional building.</t>
  </si>
  <si>
    <t>It represents an administrative functional division of an institutional building.</t>
  </si>
  <si>
    <t>It represents an administrative functional sector of an institutional building.</t>
  </si>
  <si>
    <t>It represents a Built Block that contains other autonomous units without a specific function.</t>
  </si>
  <si>
    <t>It represents a Built Block that is a House or Individual Residential Unit.</t>
  </si>
  <si>
    <t>It represents a Built Block that contains other autonomous units with a residential function.</t>
  </si>
  <si>
    <t>It represents a Built Block of an Educational Unit.</t>
  </si>
  <si>
    <t>It represents a Built Block of a SUS Health Unit.</t>
  </si>
  <si>
    <t>It represents a Built Block of a Health Unit of the Private Network.</t>
  </si>
  <si>
    <t>It represents a Built Block of a Health Unit of the Private Network contracted with the SUS.</t>
  </si>
  <si>
    <t>Spatial zone is a non-hierarchical and potentially overlapping decomposition of the project under some condition.</t>
  </si>
  <si>
    <t>Space zone is used to represent a construction zone for the manufacturing process.</t>
  </si>
  <si>
    <t>Spatial zone is used to define an interference between occurrences of Ifcspatialelement.</t>
  </si>
  <si>
    <t>Spatial zone is used to represent a particular zone of occupation.</t>
  </si>
  <si>
    <t>A spatial zone that represents some type of reserve within the project for future use.</t>
  </si>
  <si>
    <t>Spatial zone is used to represent an area primarily dedicated to the circulation of people or vehicles.</t>
  </si>
  <si>
    <t>Space zone is used to represent a thermal zone with homogeneous characteristics.</t>
  </si>
  <si>
    <t>Spatial zone is used to represent a lighting zone; a natural light zone.</t>
  </si>
  <si>
    <t>Spatial zone is used to represent a ventilation zone.</t>
  </si>
  <si>
    <t>Spatial zone is used to represent a zone for planning safety and work, accesses, etc.</t>
  </si>
  <si>
    <t>Space zone is used to represent a fire safety zone, or compartment.</t>
  </si>
  <si>
    <t>Space zone is used to represent a biosecurity zone, typically where ventilation is critical.</t>
  </si>
  <si>
    <t>Solar Heliodom or Analema: sun.</t>
  </si>
  <si>
    <t>Heliodom Solar Analemma: Solar Path 1.</t>
  </si>
  <si>
    <t>Heliodom Dawn: Text from the exit of the sun.</t>
  </si>
  <si>
    <t>Heliodom Nightfall: text from posta do sol.</t>
  </si>
  <si>
    <t>Solar Study Heliodom.</t>
  </si>
  <si>
    <t>Heliodom Surface of the sun.</t>
  </si>
  <si>
    <t>Orientation analysis of the Envelop. North-oriented elements, relative to True or Solar North.</t>
  </si>
  <si>
    <t>Orientation analysis of the Envelop. South-facing elements, relative to True or Solar North.</t>
  </si>
  <si>
    <t>Orientation analysis of the Envelop. East-oriented elements, relative to True North or Solar.</t>
  </si>
  <si>
    <t>Orientation analysis of the Envelop. Elements oriented to the West, relative to True North or Solar.</t>
  </si>
  <si>
    <t>Symbolic reference element of the True North position: North Symbol marker.</t>
  </si>
  <si>
    <t>Existing campus</t>
  </si>
  <si>
    <t>Existing building</t>
  </si>
  <si>
    <t>Existing Building Block</t>
  </si>
  <si>
    <t>Existing zoning</t>
  </si>
  <si>
    <t>Floor of existing building</t>
  </si>
  <si>
    <t>Existing compartment</t>
  </si>
  <si>
    <t>New Campus</t>
  </si>
  <si>
    <t>New Building</t>
  </si>
  <si>
    <t>New Building Block</t>
  </si>
  <si>
    <t>New Zoning</t>
  </si>
  <si>
    <t>New floor of the building</t>
  </si>
  <si>
    <t>New Compartment</t>
  </si>
  <si>
    <t>Ejes de diseño utilizados para la ubicación de columnas, simetrías, cuerpos, etc.</t>
  </si>
  <si>
    <t>Ejes de diseño dispuestos de manera irregular usados para la ubicación de columnas, simetrías, cuerpos, etc.</t>
  </si>
  <si>
    <t>Ejes de diseño dispuestos radialmente usados para la ubicación de columnas, simetrías, cuerpos, etc.</t>
  </si>
  <si>
    <t>Ejes de diseño dispuestos regularmente usados para la ubicación de columnas, simetrías, cuerpos, etc.</t>
  </si>
  <si>
    <t>Ejes de diseño dispuestos de forma inclinada o triangular usados para localizar columnas, simetrías, cuerpos, etc.</t>
  </si>
  <si>
    <t>Elemento simbólico de referencia de la posición del eje estructural: marcador del eje.</t>
  </si>
  <si>
    <t>Elemento simbólico de referencia de la posición de un eje axial principal de simetría del edificio.</t>
  </si>
  <si>
    <t>Elemento de referencia simbólico de la posición de un eje axial secundario o local de simetría de una parte del edificio.</t>
  </si>
  <si>
    <t>Planta del edificio.</t>
  </si>
  <si>
    <t>Tipo edificio de planta.</t>
  </si>
  <si>
    <t>Una sola planta del edificio. Suelos que no son típicos y están diseñados a medida.</t>
  </si>
  <si>
    <t>Una sola planta del edificio. Suelos que no son típicos.</t>
  </si>
  <si>
    <t>Una sola planta del edificio. En los edificios que tienen salas de conciertos, es el suelo el que contiene el escenario o pantalla de proyección.</t>
  </si>
  <si>
    <t>Una sola planta del edificio. Identifica el suelo que destaca por su doble altura o alguna característica que lo hace único.</t>
  </si>
  <si>
    <t>Planta técnica del edificio.</t>
  </si>
  <si>
    <t>La parte inferior del suelo se introdujo a la altura del techo de una planta, con acceso solo desde el interior del recinto.</t>
  </si>
  <si>
    <t>Acceso a la planta del edificio.</t>
  </si>
  <si>
    <t>Planta baja del edificio.</t>
  </si>
  <si>
    <t>Elemento de referencia simbólico de la posición de cada planta del proyecto: el marcador de suelo puede declararse con un tipo específico en la categoría OST_LevelHeads.</t>
  </si>
  <si>
    <t>Plano horizontal de los bloques de cimentación del edificio.</t>
  </si>
  <si>
    <t>Plano horizontal de los pilotes de cimentación del edificio.</t>
  </si>
  <si>
    <t>Plantilla que define el nivel superior de la zona saturada de aguas subterráneas o nivel freático.</t>
  </si>
  <si>
    <t>Plantilla de profundidad. Puede utilizarse para establecer la elevación superior de un proyecto subterráneo, como líneas de metro o instalaciones especiales urbanas. Se utiliza como límite de referencia de penetración en profundidad para proyectos nuevos.</t>
  </si>
  <si>
    <t>El medidor de altura permite realizar vuelos seguros con UAS (drones). Establecido por ANAC (Agencia Nacional de Aviación Civil). Especialmente en las regiones cercanas a los aeropuertos.</t>
  </si>
  <si>
    <t>Plantilla que define los niveles variables de un cuerpo de agua natural, como el mar o los máximos y mínimos ascendentes de ríos y estanques. Referencia para proyectos en zonas costeras o inundables.</t>
  </si>
  <si>
    <t>El medidor de altura máxima permitía edificios en cada área urbana. Establecido por las leyes municipales de uso y ocupación del suelo. No puede ser superado por el proyecto.</t>
  </si>
  <si>
    <t>Símbolo de elevación de la fachada principal. En relación con el norte del proyecto Revit. El marcador de vista puede declararse con un tipo específico.</t>
  </si>
  <si>
    <t>Símbolo de la elevación de la fachada trasera. Relacionado con la fachada principal o norte del Proyecto Revit. El marcador de vista puede declararse con un tipo específico.</t>
  </si>
  <si>
    <t>Símbolo de elevación de la fachada del lado derecho. Relacionado con la fachada principal o norte del Proyecto Revit. El marcador de vista puede declararse con un tipo específico.</t>
  </si>
  <si>
    <t>Símbolo de elevación de la fachada lateral izquierda. Relacionado con la fachada principal o norte del Proyecto Revit. El marcador de vista puede declararse con un tipo específico.</t>
  </si>
  <si>
    <t>Símbolo de la elevación de una fachada secundaria. Relacionado con la fachada principal o norte del Proyecto Revit. El marcador de vista puede declararse con un tipo específico.</t>
  </si>
  <si>
    <t>Símbolo de elevación de una vista interior definido en el proyecto, para la paginación de baños y cocinas, por ejemplo: el marcador de vista puede declararse con un tipo específico.</t>
  </si>
  <si>
    <t>Se refiere al lugar de implementación tipo campus donde se encuentra el proyecto. Se utiliza para proyectos urbanos implementados en grandes parcelas tipo campus.</t>
  </si>
  <si>
    <t>Se refiere al lugar de implementación tipo parcela urbana donde se encuentra el proyecto.  Se usa para proyectos urbanos implantados en parcelas normales.</t>
  </si>
  <si>
    <t>Se implementó la delimitación del área bruta del proyecto.</t>
  </si>
  <si>
    <t>Delimitación del espacio construible para llevar a cabo el proyecto.</t>
  </si>
  <si>
    <t>Delimitación del retroceso frontal del terreno.</t>
  </si>
  <si>
    <t>Delimitación del espacio de despejamiento de lotes.</t>
  </si>
  <si>
    <t>Espacio ocupado por edificios vecinos al lugar de implantación.</t>
  </si>
  <si>
    <t>Espacio exterior de un proyecto implantado.</t>
  </si>
  <si>
    <t>Espacio exterior cubierto de agua alrededor del edificio implantado.</t>
  </si>
  <si>
    <t>Espacio exterior con bosque o parque urbano de un proyecto implantado.</t>
  </si>
  <si>
    <t>Espacio exterior protegido por algún tipo de protección medioambiental.</t>
  </si>
  <si>
    <t>Espacios arquitectónicos exteriores dedicados para carga y descarga tipo muelle.</t>
  </si>
  <si>
    <t>Espacios arquitectónicos exteriores dedicados para el almacenamiento temporal de productos tipo patio.</t>
  </si>
  <si>
    <t>Espacios arquitectónicos exteriores dedicados para usar como aparcamiento de vehículos, incluyendo acceso.</t>
  </si>
  <si>
    <t>Espacios arquitectónicos que tienen la función de articular otros entornos y áreas de un proyecto: pueden ser circulaciones, vestíbulos, escaleras, ascensores, vestíbulos, salidas de emergencia, etc...</t>
  </si>
  <si>
    <t>Espacios arquitectónicos que aún no han sido especificados con una funcionalidad definida o que aún no tienen una clase definida en esta Ontología.</t>
  </si>
  <si>
    <t>Espacios arquitectónicos que tienen una función de paso vertical para construir sistemas de tuberías y conductos.</t>
  </si>
  <si>
    <t>Espacios arquitectónicos con tratamiento acústico especializado como estudios de grabación, radio y televisión, etc.</t>
  </si>
  <si>
    <t>Espacios arquitectónicos con tratamiento acústico especializado para eliminar reflejos sonoros (eco).</t>
  </si>
  <si>
    <t>Espacios arquitectónicos dimensionados y equipados para actividades que deben permanecer protegidos por el uso de explosivos o emisores de radiación.</t>
  </si>
  <si>
    <t>Espacios arquitectónicos dimensionados y equipados para actividades de entrada, estancia y salida de vehículos.</t>
  </si>
  <si>
    <t>Espacios arquitectónicos dimensionados y equipados para exhibir obras de arte o productos, para museos, exposiciones, etc.</t>
  </si>
  <si>
    <t>Espacios arquitectónicos de tamaño y equipamiento para almacenar productos a bajas temperaturas, como espacios arquitectónicos Frezzers, espacios arquitectónicos refrigerados, etc.</t>
  </si>
  <si>
    <t>Espacios arquitectónicos dimensionados y equipados para actividades de servicio público en la gastronomía como restaurantes, bares, quioscos, etc.</t>
  </si>
  <si>
    <t>Espacios arquitectónicos dimensionados como grandes entornos estructurados de un proyecto, como audiencias de cine, teatro, etc.</t>
  </si>
  <si>
    <t>Espacios arquitectónicos diseñados y equipados para la recepción, almacenamiento y distribución de elementos logísticos tipo almacén.</t>
  </si>
  <si>
    <t>Espacios arquitectónicos dimensionados y equipados para actividades de limpieza y mantenimiento de edificios, etc.</t>
  </si>
  <si>
    <t>Espacios arquitectónicos dimensionados y equipados para actividades que requieren espacios de cuarentena o controles temporales.</t>
  </si>
  <si>
    <t>Espacios arquitectónicos con tratamiento acústico especializado para aumentar el tiempo de reflexión del sonido.</t>
  </si>
  <si>
    <t>Espacios arquitectónicos dimensionados y equipados para almacenar productos culturales como bibliotecas, bibliotecas de periódicos, bibliotecas de mapas, discotecas, bibliotecas de medios, etc.</t>
  </si>
  <si>
    <t>Espacios arquitectónicos dimensionados y equipados para servidores informáticos para actividades telemáticas virtuales.</t>
  </si>
  <si>
    <t>Espacios arquitectónicos de tamaño y equipamiento para actividades relacionadas con la manipulación animal, como vivarios, o espacios funerarios como cementerios o morgues.</t>
  </si>
  <si>
    <t>Espacios arquitectónicos dimensionados y equipados para actividades o procesos relacionados con actos judiciales.</t>
  </si>
  <si>
    <t>Espacios arquitectónicos dimensionados y equipados para que el público pueda ver un evento deportivo como Grandstand.</t>
  </si>
  <si>
    <t>Espacios arquitectónicos dimensionados y equipados para actividades deportivas, etc.</t>
  </si>
  <si>
    <t>Espacios arquitectónicos diseñados y equipados para actividades acuáticas al aire libre o interior, como piscinas deportivas.</t>
  </si>
  <si>
    <t>Espacios arquitectónicos dimensionados y equipados para actividades deportivas de competición en pistas deportivas.</t>
  </si>
  <si>
    <t>Espacios arquitectónicos diseñados y equipados para actividades deportivas al aire libre o interior, como pistas deportivas.</t>
  </si>
  <si>
    <t>Espacios arquitectónicos de tamaño y equipamiento para vestuarios deportivos.</t>
  </si>
  <si>
    <t>Espacios arquitectónicos dimensionados y equipados con partes sanitarias para uso masculino.</t>
  </si>
  <si>
    <t>Espacios arquitectónicos dimensionados y equipados con componentes sanitarios para uso común tanto por mujeres como por hombres.</t>
  </si>
  <si>
    <t>Espacios arquitectónicos dimensionados y equipados con componentes sanitarios para uso de personas con necesidades especiales (PNE).</t>
  </si>
  <si>
    <t>Espacios arquitectónicos de tamaño y equipamiento con partes sanitarias de un pequeño baño.</t>
  </si>
  <si>
    <t>Espacios arquitectónicos dimensionados y equipados para trabajos comerciales administrativos.</t>
  </si>
  <si>
    <t>Espacios arquitectónicos dimensionados y equipados para actividades comerciales como la compra, venta o intercambio de productos con participación pública. Pueden ser taquillas o espacios de servicio.</t>
  </si>
  <si>
    <t>Espacios arquitectónicos dimensionados y equipados para la higiene residencial - baños, aseos, etc.</t>
  </si>
  <si>
    <t>Espacios arquitectónicos dimensionados y equipados para funciones residenciales íntimas: dormitorios, vestidores, etc.</t>
  </si>
  <si>
    <t>Espacios arquitectónicos de tamaño y equipamiento para funciones residenciales de ocio, como espacios arquitectónicos para televisión, juegos, etc.</t>
  </si>
  <si>
    <t>Espacios arquitectónicos dimensionados y equipados para la función residencial de actividades profesionales.</t>
  </si>
  <si>
    <t>Espacios arquitectónicos dimensionados y equipados para funciones de servicio residencial: áreas, cocinas, etc.</t>
  </si>
  <si>
    <t>Espacios arquitectónicos dimensionados y equipados para la función residencial de la vivienda: espacios arquitectónicos, balcones, etc.</t>
  </si>
  <si>
    <t>Espacios arquitectónicos dimensionados y equipados para actividades hospitalarias para realizar análisis clínicos.</t>
  </si>
  <si>
    <t>Espacios arquitectónicos dimensionados y equipados para actividades hospitalarias para llevar a cabo actividades de consulta médica.</t>
  </si>
  <si>
    <t>Espacios arquitectónicos dimensionados y equipados para actividades hospitalarias que proporcionen atención de emergencia.</t>
  </si>
  <si>
    <t>Espacios arquitectónicos dimensionados y equipados para actividades hospitalarias para llevar a cabo actividades de enfermería.</t>
  </si>
  <si>
    <t>Espacios arquitectónicos dimensionados y equipados para actividades hospitalarias que lleven a cabo actividades de espera.</t>
  </si>
  <si>
    <t>Espacios arquitectónicos dimensionados y equipados para actividades hospitalarias para realizar exámenes de imagen diagnóstica (TAC, resonancias magnéticas, ecografías, etc.)</t>
  </si>
  <si>
    <t>Espacios arquitectónicos dimensionados y equipados para actividades hospitalarias para realizar actividades terapéuticas en el agua, como piscinas, etc.</t>
  </si>
  <si>
    <t>Espacios arquitectónicos dimensionados y equipados para actividades hospitalarias que lleven a cabo el proceso de hospitalización.</t>
  </si>
  <si>
    <t>Espacios arquitectónicos dimensionados y equipados para la actividad hospitalaria que lleve a cabo actividades quirúrgicas.</t>
  </si>
  <si>
    <t>Espacios arquitectónicos dimensionados y equipados para actividades hospitalarias o de atención sanitaria general.</t>
  </si>
  <si>
    <t>Espacios arquitectónicos dimensionados y equipados para actividades hospitalarias para realizar terapias con pacientes (fisioterapia, respiratorios, etc.).</t>
  </si>
  <si>
    <t>Espacios arquitectónicos dimensionados y equipados para actividades hospitalarias para triaje de pacientes o materiales.</t>
  </si>
  <si>
    <t>Espacios arquitectónicos dimensionados y equipados para la actividad hospitalaria que lleven a cabo el proceso de hospitalización en cuidados intensivos.</t>
  </si>
  <si>
    <t>Espacios arquitectónicos dimensionados y equipados para actividades hospitalarias que permitan el movimiento vehicular.</t>
  </si>
  <si>
    <t>Espacios arquitectónicos dimensionados y equipados para actividades de Laboratorio de Bajo Riesgo Biológico. Prácticas básicas de microbiología. Sin barreras especiales.</t>
  </si>
  <si>
    <t>Espacios arquitectónicos dimensionados y equipados para la actividad del Laboratorio de Riesgo Biológico Moderado. Con barreras primarias (EPI, sustrador, descontaminación). Acceso restringido.</t>
  </si>
  <si>
    <t>Espacios arquitectónicos dimensionados y equipados para actividades de Laboratorio de Alto Riesgo Biológico. Con contención avanzada (cabinas de seguridad, ventilación controlada, duchas con agua). Acceso estricto.</t>
  </si>
  <si>
    <t>Espacios arquitectónicos dimensionados y equipados para la actividad del Laboratorio de Muy Alto Riesgo Biológico. Con máxima contención (monos con aire filtrado, ducha química, zonas aisladas).</t>
  </si>
  <si>
    <t>Espacios arquitectónicos dimensionados y equipados para la actividad de vestimiento de profesionales que trabajan en un entorno de contención de bioseguridad.</t>
  </si>
  <si>
    <t>Espacios arquitectónicos de tamaño y equipamiento para actividades infantiles.</t>
  </si>
  <si>
    <t>Espacios arquitectónicos dimensionados y equipados para actividades docentes e investigadoras generales</t>
  </si>
  <si>
    <t>Espacios arquitectónicos dimensionados y equipados para actividades de enseñanza e investigación artística relacionadas con los plásticos, como pintura, escultura, etc.</t>
  </si>
  <si>
    <t>Espacios arquitectónicos dimensionados y equipados para actividades de enseñanza e investigación científica.</t>
  </si>
  <si>
    <t>Espacios arquitectónicos dimensionados y equipados para la enseñanza o la investigación en habilidades técnicas, gráficas, electrónicas, etc.</t>
  </si>
  <si>
    <t>Espacios arquitectónicos dimensionados y equipados para la enseñanza o la investigación en informática.</t>
  </si>
  <si>
    <t>Espacios arquitectónicos dimensionados y equipados para la enseñanza o investigación en química.</t>
  </si>
  <si>
    <t>Espacios arquitectónicos dimensionados y equipados para la enseñanza o investigación en física.</t>
  </si>
  <si>
    <t>Espacios arquitectónicos dimensionados y equipados para la enseñanza o investigación en Biología.</t>
  </si>
  <si>
    <t>Espacios arquitectónicos dimensionados y equipados para la enseñanza o investigación en música o artes escénicas.</t>
  </si>
  <si>
    <t>Espacios arquitectónicos dimensionados y equipados para la enseñanza o la investigación en fabricación robótica, impresión 3D, corte láser y otras tecnologías de fabricación.</t>
  </si>
  <si>
    <t>Espacios arquitectónicos de tamaño y equipamiento para actividades escolares recreativas.</t>
  </si>
  <si>
    <t>Espacios arquitectónicos dimensionados y equipados para la preparación de artistas.</t>
  </si>
  <si>
    <t>Espacio frontal del escenario, cerca del público. Se integra arquitectónicamente en la escena, cumpliendo funciones estéticas y acústicas, también llamadas boca del escenario.</t>
  </si>
  <si>
    <t>Espacio expuesto a los espectadores, donde actúan los actores. Puede ser elevado, plano, giratorio, italiano, arena, entre otros formatos.</t>
  </si>
  <si>
    <t>Espacio oculto y de vuelta al escenario, detrás de la zona de actuación de artistas. Puede albergar varios elementos escenográficos, técnicos y funcionales de la pieza.</t>
  </si>
  <si>
    <t>Espacio lateral al escenario, utilizado para la entrada y salida de los artistas.</t>
  </si>
  <si>
    <t>Espacio entre el público y el escenario, normalmente bajo el escenario, para acomodar a la orquesta durante una actuación musical o de danza.</t>
  </si>
  <si>
    <t>Espacio a nivel del escenario, donde el público se sienta con vistas a la parte delantera del escenario.</t>
  </si>
  <si>
    <t>El espacio está integrado al público, pero en un nivel superior donde el público puede acomodarse con una vista frontal del escenario.</t>
  </si>
  <si>
    <t>El espacio integrado en la sala de conciertos, normalmente reservado y con mejor visibilidad y comodidad.</t>
  </si>
  <si>
    <t>Espacio superior para acomodar al público con precios más asequibles.</t>
  </si>
  <si>
    <t>Tipo Espacio Industrial Edificio Industrial Grande.</t>
  </si>
  <si>
    <t>Cobertizo tipo Espacio Industrial.</t>
  </si>
  <si>
    <t>Espacio industrial de tamaño y equipado con hornos o maquinaria pesada para el procesamiento de metales y aleaciones.</t>
  </si>
  <si>
    <t>Espacio industrial dimensionado y equipado como línea de producción para bienes a gran escala (automóviles, electrónica, textiles y alimentos, etc.). Es una línea de montaje de máquinas automatizadas</t>
  </si>
  <si>
    <t>Espacio industrial de tamaño y equipamiento como taller de producción para mercancías de tamaño medio o bajo (muebles, equipos, vehículos pequeños, etc.). Se prepara para las asambleas.</t>
  </si>
  <si>
    <t>Espacio industrial de tamaño y equipamiento como taller de pintura para productos de tamaño medio o bajo (muebles, equipos, vehículos pequeños, etc.). Se prepara para las asambleas.</t>
  </si>
  <si>
    <t>Representa una Unidad de Vivienda de Interés Social.</t>
  </si>
  <si>
    <t>Representa un edificio residencial de apartamentos.</t>
  </si>
  <si>
    <t>Representa un departamento administrativo funcional de un edificio institucional.</t>
  </si>
  <si>
    <t>Representa una división administrativa y funcional de un edificio institucional.</t>
  </si>
  <si>
    <t>Representa un sector administrativo y funcional de un edificio institucional.</t>
  </si>
  <si>
    <t>Representa un Bloque Construido que contiene otras unidades autónomas sin una función específica.</t>
  </si>
  <si>
    <t>Representa un bloque construido que es una casa o unidad residencial individual.</t>
  </si>
  <si>
    <t>Representa un Bloque Construido que contiene otras unidades autónomas con función residencial.</t>
  </si>
  <si>
    <t>Representa un bloque construido de una unidad educativa.</t>
  </si>
  <si>
    <t>Representa un bloque construido de una unidad sanitaria de la SUS.</t>
  </si>
  <si>
    <t>Representa un bloque construido de una unidad sanitaria de la red privada.</t>
  </si>
  <si>
    <t>Representa un bloque construido de una unidad sanitaria de la Red Privada contratada con el SUS.</t>
  </si>
  <si>
    <t>La zona espacial es una descomposición no jerárquica y potencialmente superpuesta del proyecto bajo alguna condición.</t>
  </si>
  <si>
    <t>La zona espacial se utiliza para representar una zona de construcción para el proceso de fabricación.</t>
  </si>
  <si>
    <t>La zona espacial se utiliza para definir una interferencia entre ocurrencias de Ifcspatialelement.</t>
  </si>
  <si>
    <t>La zona espacial se utiliza para representar una zona de ocupación particular.</t>
  </si>
  <si>
    <t>Una zona espacial que representa algún tipo de reserva dentro del proyecto para uso futuro.</t>
  </si>
  <si>
    <t>La zona espacial se utiliza para representar un área dedicada principalmente a la circulación de personas o vehículos.</t>
  </si>
  <si>
    <t>La zona espacial se utiliza para representar una zona térmica con características homogéneas.</t>
  </si>
  <si>
    <t>La zona espacial se utiliza para representar una zona de iluminación; Una zona de luz natural.</t>
  </si>
  <si>
    <t>La zona espacial se utiliza para representar una zona de ventilación.</t>
  </si>
  <si>
    <t>La zona espacial se utiliza para representar una zona para planificar la seguridad y el trabajo, accesos, etc.</t>
  </si>
  <si>
    <t>La zona espacial se utiliza para representar una zona de seguridad contra incendios, o compartimento.</t>
  </si>
  <si>
    <t>La zona espacial se utiliza para representar una zona de bioseguridad, normalmente donde la ventilación es crítica.</t>
  </si>
  <si>
    <t>Heliodomo solar o Analema: sol.</t>
  </si>
  <si>
    <t>Analema Solar Heliodom: Camino Solar 1.</t>
  </si>
  <si>
    <t>Heliodom Dawn: Texto desde la salida del sol.</t>
  </si>
  <si>
    <t>Heliodom Nightfall: mensaje de la posta do sol.</t>
  </si>
  <si>
    <t>Estudio Solar Heliodom.</t>
  </si>
  <si>
    <t>Heliodom Superficie del sol.</t>
  </si>
  <si>
    <t>Análisis de orientación del Envelope. Elementos orientados al norte, en relación con el Norte verdadero o solar.</t>
  </si>
  <si>
    <t>Análisis de orientación del Envelope. Elementos orientados al sur, en relación con el norte verdadero o solar.</t>
  </si>
  <si>
    <t>Análisis de orientación del Envelope. Elementos orientados al este, en relación con el Norte Verdadero o el Solar.</t>
  </si>
  <si>
    <t>Análisis de orientación del Envelope. Elementos orientados hacia el Oeste, en relación con el Norte Verdadero o el Solar.</t>
  </si>
  <si>
    <t>Elemento de referencia simbólico de la posición del Norte Verdadero: marcador del Símbolo Norte.</t>
  </si>
  <si>
    <t>Campus actual</t>
  </si>
  <si>
    <t>Edificio existente</t>
  </si>
  <si>
    <t>Bloque de construcción existente</t>
  </si>
  <si>
    <t>Zonificación existente</t>
  </si>
  <si>
    <t>Planta del edificio existente</t>
  </si>
  <si>
    <t>Nuevo campus</t>
  </si>
  <si>
    <t>Nuevo edificio</t>
  </si>
  <si>
    <t>Nuevo bloque de construcción</t>
  </si>
  <si>
    <t>Nueva zonificación</t>
  </si>
  <si>
    <t>Nueva planta del edificio</t>
  </si>
  <si>
    <t>Nuevo compartimento</t>
  </si>
  <si>
    <t>Parâmetro Rvt</t>
  </si>
  <si>
    <t>Atributo Ifc</t>
  </si>
  <si>
    <t>Código ABNT</t>
  </si>
  <si>
    <t>Função.Auxiliar</t>
  </si>
  <si>
    <t>Define uma Função Auxiliar (helper) numa aplicação</t>
  </si>
  <si>
    <t>Defina un rol de ayudante en una aplicación</t>
  </si>
  <si>
    <t>Define a Helper Role in an application</t>
  </si>
  <si>
    <t>Função.Global</t>
  </si>
  <si>
    <t>Define uma Função Global numa aplicação</t>
  </si>
  <si>
    <t>Defina un rol global en una aplicación</t>
  </si>
  <si>
    <t>Define a Global Role in an application</t>
  </si>
  <si>
    <t>Função.Local</t>
  </si>
  <si>
    <t>Define uma Função Local numa aplicação</t>
  </si>
  <si>
    <t>Defina un rol local en una aplicación</t>
  </si>
  <si>
    <t>Define a Local Role in an application</t>
  </si>
  <si>
    <t>Função.Filtro</t>
  </si>
  <si>
    <t>Define uma Função para filtrar objetos numa aplicação</t>
  </si>
  <si>
    <t>Defina una función para filtrar objetos en una aplicación</t>
  </si>
  <si>
    <t>Define a Function to filter objects in an application</t>
  </si>
  <si>
    <t>Bloco.de.Código</t>
  </si>
  <si>
    <t>Define um Código escrito em sistemas de programação visual</t>
  </si>
  <si>
    <t>Define un código escrito en sistemas de programación visual</t>
  </si>
  <si>
    <t>Defines a Code written in visual programming systems</t>
  </si>
  <si>
    <t>KML</t>
  </si>
  <si>
    <t>API</t>
  </si>
  <si>
    <t>API.Plataforma</t>
  </si>
  <si>
    <t>API.Macros</t>
  </si>
  <si>
    <t>API.Método</t>
  </si>
  <si>
    <t>API Método</t>
  </si>
  <si>
    <t>Função Auxiliar</t>
  </si>
  <si>
    <t>API Plataforma</t>
  </si>
  <si>
    <t>API Macros</t>
  </si>
  <si>
    <t>Função Global</t>
  </si>
  <si>
    <t>Função Local</t>
  </si>
  <si>
    <t>Função Filtro</t>
  </si>
  <si>
    <t>API.Macros.Visuais</t>
  </si>
  <si>
    <t>API.Método.Visual</t>
  </si>
  <si>
    <t>API Método Visual</t>
  </si>
  <si>
    <t>Bloco de Código</t>
  </si>
  <si>
    <t>API Macros Visuais</t>
  </si>
  <si>
    <t>Interop</t>
  </si>
  <si>
    <t>Amb.Articulador</t>
  </si>
  <si>
    <t>Amb.Inespecífico</t>
  </si>
  <si>
    <t>Amb.Shaft</t>
  </si>
  <si>
    <t>Amb.Acústico</t>
  </si>
  <si>
    <t>Amb.Anecóico</t>
  </si>
  <si>
    <t>Amb.Blindado</t>
  </si>
  <si>
    <t>Amb.Estacionamento</t>
  </si>
  <si>
    <t>Amb.Expositivo</t>
  </si>
  <si>
    <t>Amb.Frio</t>
  </si>
  <si>
    <t>Amb.Gastronômico</t>
  </si>
  <si>
    <t>Amb.Grande</t>
  </si>
  <si>
    <t>Amb.Logístico</t>
  </si>
  <si>
    <t>Amb.Manutenção</t>
  </si>
  <si>
    <t>Amb.Quarentena</t>
  </si>
  <si>
    <t>Amb.Reverberante</t>
  </si>
  <si>
    <t>Amb.Teca</t>
  </si>
  <si>
    <t>Amb.Telemático</t>
  </si>
  <si>
    <t>Amb.Tério</t>
  </si>
  <si>
    <t>Amb.Tribunal</t>
  </si>
  <si>
    <t>Amb.Arquibancada</t>
  </si>
  <si>
    <t>Amb.Esportivo</t>
  </si>
  <si>
    <t>Amb.Piscina.Esportiva</t>
  </si>
  <si>
    <t>Amb.Pista.Esportiva</t>
  </si>
  <si>
    <t>Amb.Quadra.Esportiva</t>
  </si>
  <si>
    <t>Amb.Vestiário.Esportivo</t>
  </si>
  <si>
    <t>Amb.Trabalho</t>
  </si>
  <si>
    <t>Amb.Trocas</t>
  </si>
  <si>
    <t>Amb.Higiene</t>
  </si>
  <si>
    <t>Amb.Intimo</t>
  </si>
  <si>
    <t xml:space="preserve">Amb.Lazer </t>
  </si>
  <si>
    <t>Amb.Profissional</t>
  </si>
  <si>
    <t>Amb.Serviço</t>
  </si>
  <si>
    <t>Amb.Social</t>
  </si>
  <si>
    <t>Amb.Análises</t>
  </si>
  <si>
    <t>Amb.Consultório</t>
  </si>
  <si>
    <t>Amb.Emergência</t>
  </si>
  <si>
    <t>Amb.Enfermagem</t>
  </si>
  <si>
    <t>Amb.Espera</t>
  </si>
  <si>
    <t>Amb.Exames</t>
  </si>
  <si>
    <t>Amb.Hidroterapia</t>
  </si>
  <si>
    <t>Amb.Internação</t>
  </si>
  <si>
    <t>Amb.Quirúrgico</t>
  </si>
  <si>
    <t>Amb.Saúde</t>
  </si>
  <si>
    <t>Amb.Terapia</t>
  </si>
  <si>
    <t>Amb.Triagem</t>
  </si>
  <si>
    <t>Amb.UTI</t>
  </si>
  <si>
    <t>Amb.Veicular</t>
  </si>
  <si>
    <t>Amb.Biossegurança.NB1</t>
  </si>
  <si>
    <t>Amb.Biossegurança.NB2</t>
  </si>
  <si>
    <t>Amb.Biossegurança.NB3</t>
  </si>
  <si>
    <t>Amb.Biossegurança.NB4</t>
  </si>
  <si>
    <t>Amb.Paramentação</t>
  </si>
  <si>
    <t>Amb.Infantil</t>
  </si>
  <si>
    <t>Amb.Ensino</t>
  </si>
  <si>
    <t>Amb.Ensino.Artístico</t>
  </si>
  <si>
    <t>Amb.Ensino.Científico</t>
  </si>
  <si>
    <t>Amb.Ensino.Técnico</t>
  </si>
  <si>
    <t>Amb.Ensino.Informática</t>
  </si>
  <si>
    <t>Amb.Ensino.Química</t>
  </si>
  <si>
    <t>Amb.Ensino.Física</t>
  </si>
  <si>
    <t>Amb.Ensino.Biologia</t>
  </si>
  <si>
    <t>Amb.Ensino.Música</t>
  </si>
  <si>
    <t>Amb.Ensino.FabLab</t>
  </si>
  <si>
    <t>Amb.Recreativo</t>
  </si>
  <si>
    <t>Amb.Camarim</t>
  </si>
  <si>
    <t>Amb.Palco</t>
  </si>
  <si>
    <t>Amb.Plateia</t>
  </si>
  <si>
    <t>Amb.Balção</t>
  </si>
  <si>
    <t>Amb.Camarote</t>
  </si>
  <si>
    <t>Amb.Galeria</t>
  </si>
  <si>
    <t>Amb.Nave.Industrial</t>
  </si>
  <si>
    <t>Amb.Galpão.Industrial</t>
  </si>
  <si>
    <t>Amb.Siderúrgico</t>
  </si>
  <si>
    <t>Amb.Manufatura</t>
  </si>
  <si>
    <t>Amb.Oficina</t>
  </si>
  <si>
    <t>Amb.Oficina.de.Pintura</t>
  </si>
  <si>
    <t>[ 4A ]</t>
  </si>
  <si>
    <t>Amb.Sanitário.Feminino</t>
  </si>
  <si>
    <t>Amb.Sanitário.Masculino</t>
  </si>
  <si>
    <t>Amb.Sanitário.Indiferenciado</t>
  </si>
  <si>
    <t>Amb.Sanitário.PNE</t>
  </si>
  <si>
    <t>Amb.Sanitário.WC</t>
  </si>
  <si>
    <t>Ambiente.Sanitário</t>
  </si>
  <si>
    <t>Ambiente.Comercial</t>
  </si>
  <si>
    <t>Ambiente.Habitacional</t>
  </si>
  <si>
    <t>Ambiente.Hospitalar</t>
  </si>
  <si>
    <t>Ambiente.Risco</t>
  </si>
  <si>
    <t>Ambiente.Educacional</t>
  </si>
  <si>
    <t>Ambiente.Cultural</t>
  </si>
  <si>
    <t>Ambiente.Industrial</t>
  </si>
  <si>
    <t>Unidade.Autônoma</t>
  </si>
  <si>
    <t>Bloco.Edilício</t>
  </si>
  <si>
    <t>Zona.Predial</t>
  </si>
  <si>
    <t>Zona.Sistema</t>
  </si>
  <si>
    <t>Zona.Segurança</t>
  </si>
  <si>
    <t>Espaço.Existente</t>
  </si>
  <si>
    <t>Espaço.Novo</t>
  </si>
  <si>
    <t>Projeto_A</t>
  </si>
  <si>
    <t>Amb.Biossegurança.NB1 or Amb.Biossegurança.NB2 or Amb.Biossegurança.NB3 or Amb.Biossegurança.NB4</t>
  </si>
  <si>
    <t>Amb.Palco.Fundo</t>
  </si>
  <si>
    <t>Amb.Palco.Proscênio</t>
  </si>
  <si>
    <t>Amb.Palco.Coxia</t>
  </si>
  <si>
    <t>Amb.Palco.Foso</t>
  </si>
  <si>
    <t>Ambiente.Especializado</t>
  </si>
  <si>
    <t>Ambiente.Articulador</t>
  </si>
  <si>
    <t>Amb.Hall</t>
  </si>
  <si>
    <t>Espacios arquitectónicos que tienen la función de recepción y accesso a un ambiente mayor.</t>
  </si>
  <si>
    <t>Architectural spaces that have the function of receiving access to a larger environment.</t>
  </si>
  <si>
    <t>Amb.Circulação</t>
  </si>
  <si>
    <t>Espaços arquitetônicos que têm função de recepção de acesso a um ambiente maior, podem ser pequenos halls ou foyers.</t>
  </si>
  <si>
    <t xml:space="preserve">Espaços arquitetônicos que têm função de conectar ambientes de um projeto. Podem ser corrredores de circulação, escadas, corredores de emergência, etc... </t>
  </si>
  <si>
    <t xml:space="preserve">Espaços arquitetônicos que têm função de articular outros ambientes e areas de um projeto: Podem ser Circulações, Halls, Escadas, Elevadores, Saídas de Emergência, halls de elevadores etc... </t>
  </si>
  <si>
    <t>Architectural spaces that have the function of connecting environments of a project. They can be circulation runners, stairs, emergency corridors, etc...</t>
  </si>
  <si>
    <t>Espacios arquitectónicos que tienen la función de conectar los entornos de un proyecto. Pueden ser corredores de circulación, escaleras, pasillos de emergencia, etc...</t>
  </si>
  <si>
    <t>Norma-Escopo</t>
  </si>
  <si>
    <t>Norma-Referência-01</t>
  </si>
  <si>
    <t>Norma-Referência-02</t>
  </si>
  <si>
    <t>Norma-Referência-03</t>
  </si>
  <si>
    <t>Fonte-Brasil-01</t>
  </si>
  <si>
    <t>Fonte-Brasil-02</t>
  </si>
  <si>
    <t>Fonte-Brasil-03</t>
  </si>
  <si>
    <t>Fonte-Brasil-04</t>
  </si>
  <si>
    <t>Fonte-Vegetação-01</t>
  </si>
  <si>
    <t>Fonte-Vegetação-02</t>
  </si>
  <si>
    <t>Fonte-Vegetação-03</t>
  </si>
  <si>
    <t>Fonte-Vegetação-04</t>
  </si>
  <si>
    <t>Fonte-Vegetação-05</t>
  </si>
  <si>
    <t>Fonte-Vegetação-06</t>
  </si>
  <si>
    <t>Fonte-Vegetação-07</t>
  </si>
  <si>
    <t>Fonte-Vegetação-08</t>
  </si>
  <si>
    <t>Fonte-SINAPI</t>
  </si>
  <si>
    <t>Fonte-Brasil-Saúde-01</t>
  </si>
  <si>
    <t>Fonte-Brasil-Saúde-02</t>
  </si>
  <si>
    <t>Fonte-Brasil-Saúde-03</t>
  </si>
  <si>
    <t>Fonte-Brasil-Saúde-04</t>
  </si>
  <si>
    <t>Fonte-NBR-01</t>
  </si>
  <si>
    <t>Fonte-NBR-02</t>
  </si>
  <si>
    <t>Fonte-NBR-03</t>
  </si>
  <si>
    <t>Fonte-NBR-04</t>
  </si>
  <si>
    <t>Fonte-NBR-05</t>
  </si>
  <si>
    <t>Fonte-Bombeiros-01</t>
  </si>
  <si>
    <t>https://brasil.un.org/pt-br/sdgs</t>
  </si>
  <si>
    <t>https://eaesp.fgv.br/centros/centro-estudos-sustentabilidade/projetos/programa-brasileiro-ghg-protocol</t>
  </si>
  <si>
    <t>https://www.gov.br/fazenda/pt-br/acesso-a-informacao/acoes-e-programas/transformacao-ecologica/transformacao-ecologica</t>
  </si>
  <si>
    <t>https://www.gov.br/fazenda/pt-br/orgaos/spe/taxonomia-sustentavel-brasileira/cadernos</t>
  </si>
  <si>
    <t>https://museunacional.ufrj.br/hortobotanico</t>
  </si>
  <si>
    <t>https://www.embrapa.br/florestas/publicacoes</t>
  </si>
  <si>
    <t>https://www.arvoresgigantes.org</t>
  </si>
  <si>
    <t>https://www.scielo.br/j/abb</t>
  </si>
  <si>
    <t>https://www.gov.br/inpa/pt-br/Pesquisa/colecoes/botanica</t>
  </si>
  <si>
    <t>https://botanicasaopaulo.org</t>
  </si>
  <si>
    <t>https://pesquisa.in.gov.br/imprensa</t>
  </si>
  <si>
    <t>https://mapas.florestal.gov.br</t>
  </si>
  <si>
    <t>https://www.caixa.gov.br/site/Paginas/downloads.aspx#categoria_888</t>
  </si>
  <si>
    <t>https://somasus.saude.gov.br/sistema/home</t>
  </si>
  <si>
    <t>https://anvisalegis.datalegis.net</t>
  </si>
  <si>
    <t>RDC 611/2022. Radiologia diagnóstica. Blindagem, proteção radiológica.</t>
  </si>
  <si>
    <t>RDC 222/2018. Gerenciamento de resíduos. Plano de gerenciamento obrigatório.</t>
  </si>
  <si>
    <t>NBR 9050. Acessibilidade. Todos os ambientes de uso público.</t>
  </si>
  <si>
    <t>NBR 7256. Climatização em EAS. Obrigatória para CC, CTI, CME, hemodinâmica.</t>
  </si>
  <si>
    <t>NBR 15575. Desempenho de edificações. Conforto térmico, acústico, lumínico.</t>
  </si>
  <si>
    <t>NBR 13534. Instalações elétricas em EAS. Circuitos, aterramento, emergência.</t>
  </si>
  <si>
    <t>NBR 12188. Gases medicinais. Centrais, redes, pontos de uso.</t>
  </si>
  <si>
    <t>Segurança contra incêndio. Varia por estado, consultar regulamento local.</t>
  </si>
  <si>
    <t>Norma-Número</t>
  </si>
  <si>
    <t>Norma-Edição</t>
  </si>
  <si>
    <t>Norma-ISBN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</si>
</sst>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rgb="FF000000"/>
      <name val="Aptos Narrow"/>
      <family val="2"/>
      <charset val="1"/>
    </font>
    <font>
      <sz val="8"/>
      <name val="Aptos Narrow"/>
      <family val="2"/>
      <charset val="1"/>
    </font>
    <font>
      <sz val="6"/>
      <color rgb="FF000000"/>
      <name val="Arial Nova Cond Light"/>
      <family val="2"/>
    </font>
    <font>
      <b/>
      <sz val="6"/>
      <color rgb="FF000000"/>
      <name val="Arial Nova Cond Light"/>
      <family val="2"/>
    </font>
    <font>
      <sz val="6"/>
      <name val="Arial Nova Cond Light"/>
      <family val="2"/>
    </font>
    <font>
      <b/>
      <sz val="6"/>
      <name val="Arial Nova Cond Light"/>
      <family val="2"/>
    </font>
    <font>
      <sz val="6"/>
      <color theme="1"/>
      <name val="Arial Nova Cond Light"/>
      <family val="2"/>
    </font>
    <font>
      <i/>
      <sz val="6"/>
      <name val="Arial Nova Cond Light"/>
      <family val="2"/>
    </font>
    <font>
      <b/>
      <i/>
      <sz val="6"/>
      <name val="Arial Nova Cond Light"/>
      <family val="2"/>
    </font>
    <font>
      <b/>
      <sz val="6"/>
      <color theme="1"/>
      <name val="Arial Nova Cond Light"/>
      <family val="2"/>
    </font>
    <font>
      <sz val="11"/>
      <color theme="1"/>
      <name val="Arial Nova Cond Light"/>
      <family val="2"/>
    </font>
    <font>
      <b/>
      <sz val="5"/>
      <color rgb="FF000000"/>
      <name val="Arial Nova Cond Light"/>
      <family val="2"/>
    </font>
    <font>
      <sz val="8"/>
      <color theme="1"/>
      <name val="Arial Nova Cond Light"/>
      <family val="2"/>
    </font>
    <font>
      <u/>
      <sz val="11"/>
      <color theme="10"/>
      <name val="Aptos Narrow"/>
      <family val="2"/>
      <charset val="1"/>
    </font>
  </fonts>
  <fills count="24">
    <fill>
      <patternFill patternType="none"/>
    </fill>
    <fill>
      <patternFill patternType="gray125"/>
    </fill>
    <fill>
      <patternFill patternType="solid">
        <fgColor rgb="FFFFC000"/>
        <bgColor rgb="FFFF9900"/>
      </patternFill>
    </fill>
    <fill>
      <patternFill patternType="solid">
        <fgColor rgb="FFF2AA84"/>
        <bgColor rgb="FFF6C6AD"/>
      </patternFill>
    </fill>
    <fill>
      <patternFill patternType="solid">
        <fgColor rgb="FFD9D9D9"/>
        <bgColor rgb="FFD1D1D1"/>
      </patternFill>
    </fill>
    <fill>
      <patternFill patternType="solid">
        <fgColor rgb="FFFBE79D"/>
        <bgColor indexed="64"/>
      </patternFill>
    </fill>
    <fill>
      <patternFill patternType="solid">
        <fgColor rgb="FFAEAAAA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1"/>
        <bgColor rgb="FFFEF2CB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4.9989318521683403E-2"/>
        <bgColor rgb="FFD9F2D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rgb="FFFFC7CE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79998168889431442"/>
        <bgColor rgb="FFFFE598"/>
      </patternFill>
    </fill>
    <fill>
      <patternFill patternType="solid">
        <fgColor theme="5" tint="0.79998168889431442"/>
        <bgColor rgb="FFD9F2D0"/>
      </patternFill>
    </fill>
    <fill>
      <patternFill patternType="solid">
        <fgColor theme="5" tint="0.79998168889431442"/>
        <bgColor rgb="FFFEF2CB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3" fillId="0" borderId="0" applyNumberFormat="0" applyFill="0" applyBorder="0" applyAlignment="0" applyProtection="0"/>
  </cellStyleXfs>
  <cellXfs count="76">
    <xf numFmtId="0" fontId="0" fillId="0" borderId="0" xfId="0"/>
    <xf numFmtId="0" fontId="4" fillId="5" borderId="4" xfId="0" applyFont="1" applyFill="1" applyBorder="1" applyAlignment="1">
      <alignment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left"/>
    </xf>
    <xf numFmtId="0" fontId="5" fillId="4" borderId="3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vertical="center"/>
    </xf>
    <xf numFmtId="0" fontId="4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8" fillId="4" borderId="4" xfId="0" applyFont="1" applyFill="1" applyBorder="1" applyAlignment="1">
      <alignment horizontal="center" vertical="center" wrapText="1"/>
    </xf>
    <xf numFmtId="0" fontId="8" fillId="4" borderId="4" xfId="0" applyFont="1" applyFill="1" applyBorder="1" applyAlignment="1">
      <alignment horizontal="left" vertical="center" wrapText="1"/>
    </xf>
    <xf numFmtId="0" fontId="3" fillId="3" borderId="4" xfId="0" applyFont="1" applyFill="1" applyBorder="1" applyAlignment="1">
      <alignment horizontal="left" vertical="center" wrapText="1"/>
    </xf>
    <xf numFmtId="0" fontId="3" fillId="6" borderId="4" xfId="0" applyFont="1" applyFill="1" applyBorder="1" applyAlignment="1">
      <alignment vertical="center"/>
    </xf>
    <xf numFmtId="0" fontId="2" fillId="7" borderId="4" xfId="0" applyFont="1" applyFill="1" applyBorder="1" applyAlignment="1">
      <alignment vertical="center"/>
    </xf>
    <xf numFmtId="0" fontId="6" fillId="0" borderId="4" xfId="0" applyFont="1" applyBorder="1" applyAlignment="1">
      <alignment vertical="center"/>
    </xf>
    <xf numFmtId="22" fontId="6" fillId="0" borderId="4" xfId="0" applyNumberFormat="1" applyFont="1" applyBorder="1" applyAlignment="1">
      <alignment horizontal="left" vertical="center"/>
    </xf>
    <xf numFmtId="0" fontId="6" fillId="0" borderId="4" xfId="0" applyFont="1" applyBorder="1" applyAlignment="1">
      <alignment vertical="center" wrapText="1"/>
    </xf>
    <xf numFmtId="0" fontId="9" fillId="8" borderId="4" xfId="0" applyFont="1" applyFill="1" applyBorder="1" applyAlignment="1">
      <alignment horizontal="left" vertical="center"/>
    </xf>
    <xf numFmtId="0" fontId="4" fillId="10" borderId="4" xfId="0" applyFont="1" applyFill="1" applyBorder="1" applyAlignment="1">
      <alignment horizontal="left" vertical="center"/>
    </xf>
    <xf numFmtId="0" fontId="9" fillId="8" borderId="4" xfId="0" applyFont="1" applyFill="1" applyBorder="1" applyAlignment="1">
      <alignment horizontal="left" vertical="center" wrapText="1"/>
    </xf>
    <xf numFmtId="0" fontId="4" fillId="12" borderId="4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6" fillId="11" borderId="4" xfId="0" applyFont="1" applyFill="1" applyBorder="1" applyAlignment="1">
      <alignment horizontal="left" vertical="center"/>
    </xf>
    <xf numFmtId="0" fontId="3" fillId="3" borderId="7" xfId="0" applyFont="1" applyFill="1" applyBorder="1" applyAlignment="1">
      <alignment horizontal="left" vertical="center" wrapText="1"/>
    </xf>
    <xf numFmtId="0" fontId="2" fillId="5" borderId="4" xfId="0" applyFont="1" applyFill="1" applyBorder="1" applyAlignment="1">
      <alignment horizontal="left" vertical="center"/>
    </xf>
    <xf numFmtId="0" fontId="2" fillId="5" borderId="4" xfId="0" applyFont="1" applyFill="1" applyBorder="1" applyAlignment="1">
      <alignment horizontal="left" vertical="center" wrapText="1"/>
    </xf>
    <xf numFmtId="0" fontId="2" fillId="14" borderId="4" xfId="0" applyFont="1" applyFill="1" applyBorder="1" applyAlignment="1">
      <alignment horizontal="left" vertical="center"/>
    </xf>
    <xf numFmtId="0" fontId="2" fillId="15" borderId="4" xfId="0" applyFont="1" applyFill="1" applyBorder="1" applyAlignment="1">
      <alignment horizontal="left" vertical="center"/>
    </xf>
    <xf numFmtId="0" fontId="6" fillId="5" borderId="4" xfId="0" applyFont="1" applyFill="1" applyBorder="1" applyAlignment="1">
      <alignment horizontal="left" vertical="center" wrapText="1"/>
    </xf>
    <xf numFmtId="0" fontId="6" fillId="16" borderId="4" xfId="0" applyFont="1" applyFill="1" applyBorder="1" applyAlignment="1">
      <alignment horizontal="left" vertical="center" wrapText="1"/>
    </xf>
    <xf numFmtId="0" fontId="6" fillId="17" borderId="4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2" fillId="18" borderId="4" xfId="0" applyFont="1" applyFill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1" fillId="3" borderId="4" xfId="0" applyFont="1" applyFill="1" applyBorder="1" applyAlignment="1">
      <alignment horizontal="left" vertical="center" wrapText="1"/>
    </xf>
    <xf numFmtId="0" fontId="9" fillId="19" borderId="4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2" fillId="15" borderId="4" xfId="0" applyFont="1" applyFill="1" applyBorder="1" applyAlignment="1">
      <alignment horizontal="left" vertical="center" wrapText="1"/>
    </xf>
    <xf numFmtId="0" fontId="5" fillId="2" borderId="4" xfId="0" applyFont="1" applyFill="1" applyBorder="1" applyAlignment="1">
      <alignment horizontal="left" vertical="center" wrapText="1"/>
    </xf>
    <xf numFmtId="0" fontId="3" fillId="2" borderId="6" xfId="0" applyFont="1" applyFill="1" applyBorder="1" applyAlignment="1">
      <alignment horizontal="left" vertical="center" wrapText="1"/>
    </xf>
    <xf numFmtId="0" fontId="4" fillId="2" borderId="4" xfId="0" applyFont="1" applyFill="1" applyBorder="1" applyAlignment="1">
      <alignment horizontal="left" vertical="center"/>
    </xf>
    <xf numFmtId="0" fontId="2" fillId="21" borderId="4" xfId="0" applyFont="1" applyFill="1" applyBorder="1" applyAlignment="1">
      <alignment horizontal="left" vertical="center"/>
    </xf>
    <xf numFmtId="0" fontId="7" fillId="2" borderId="4" xfId="0" applyFont="1" applyFill="1" applyBorder="1" applyAlignment="1">
      <alignment horizontal="left" vertical="center"/>
    </xf>
    <xf numFmtId="0" fontId="4" fillId="5" borderId="4" xfId="0" applyFont="1" applyFill="1" applyBorder="1" applyAlignment="1">
      <alignment horizontal="left" vertical="center"/>
    </xf>
    <xf numFmtId="0" fontId="4" fillId="15" borderId="4" xfId="0" applyFont="1" applyFill="1" applyBorder="1" applyAlignment="1">
      <alignment horizontal="left" vertical="center"/>
    </xf>
    <xf numFmtId="0" fontId="2" fillId="13" borderId="4" xfId="0" applyFont="1" applyFill="1" applyBorder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3" fillId="2" borderId="4" xfId="0" applyFont="1" applyFill="1" applyBorder="1" applyAlignment="1">
      <alignment horizontal="right" vertical="center" wrapText="1"/>
    </xf>
    <xf numFmtId="0" fontId="2" fillId="0" borderId="0" xfId="0" applyFont="1" applyAlignment="1">
      <alignment horizontal="right" vertical="center"/>
    </xf>
    <xf numFmtId="0" fontId="9" fillId="8" borderId="4" xfId="0" applyFont="1" applyFill="1" applyBorder="1" applyAlignment="1">
      <alignment horizontal="right" vertical="center"/>
    </xf>
    <xf numFmtId="0" fontId="4" fillId="9" borderId="4" xfId="0" applyFont="1" applyFill="1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2" fillId="15" borderId="4" xfId="0" applyFont="1" applyFill="1" applyBorder="1" applyAlignment="1">
      <alignment vertical="center"/>
    </xf>
    <xf numFmtId="0" fontId="3" fillId="3" borderId="7" xfId="0" applyFont="1" applyFill="1" applyBorder="1" applyAlignment="1">
      <alignment vertical="center" wrapText="1"/>
    </xf>
    <xf numFmtId="0" fontId="2" fillId="20" borderId="7" xfId="0" applyFont="1" applyFill="1" applyBorder="1" applyAlignment="1">
      <alignment vertical="center" wrapText="1"/>
    </xf>
    <xf numFmtId="0" fontId="10" fillId="0" borderId="0" xfId="0" applyFont="1" applyAlignment="1">
      <alignment vertical="center"/>
    </xf>
    <xf numFmtId="0" fontId="0" fillId="0" borderId="0" xfId="0" applyAlignment="1">
      <alignment vertical="center"/>
    </xf>
    <xf numFmtId="0" fontId="4" fillId="22" borderId="4" xfId="0" applyFont="1" applyFill="1" applyBorder="1" applyAlignment="1">
      <alignment horizontal="left" vertical="center"/>
    </xf>
    <xf numFmtId="0" fontId="6" fillId="5" borderId="4" xfId="0" applyFont="1" applyFill="1" applyBorder="1" applyAlignment="1">
      <alignment horizontal="left" vertical="center"/>
    </xf>
    <xf numFmtId="0" fontId="2" fillId="15" borderId="4" xfId="0" applyFont="1" applyFill="1" applyBorder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3" fillId="3" borderId="4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6" fillId="0" borderId="4" xfId="0" applyFont="1" applyBorder="1" applyAlignment="1">
      <alignment horizontal="left" vertical="center"/>
    </xf>
    <xf numFmtId="0" fontId="4" fillId="0" borderId="4" xfId="1" applyFont="1" applyBorder="1" applyAlignment="1">
      <alignment horizontal="left" vertical="center"/>
    </xf>
    <xf numFmtId="0" fontId="4" fillId="0" borderId="4" xfId="1" applyFont="1" applyFill="1" applyBorder="1" applyAlignment="1">
      <alignment vertical="center"/>
    </xf>
    <xf numFmtId="0" fontId="4" fillId="0" borderId="4" xfId="1" applyFont="1" applyBorder="1" applyAlignment="1">
      <alignment vertical="center" wrapText="1"/>
    </xf>
    <xf numFmtId="0" fontId="4" fillId="0" borderId="4" xfId="0" applyFont="1" applyBorder="1" applyAlignment="1">
      <alignment vertical="center"/>
    </xf>
    <xf numFmtId="0" fontId="4" fillId="23" borderId="4" xfId="0" applyFont="1" applyFill="1" applyBorder="1" applyAlignment="1">
      <alignment vertical="center"/>
    </xf>
    <xf numFmtId="22" fontId="4" fillId="0" borderId="4" xfId="1" applyNumberFormat="1" applyFont="1" applyBorder="1" applyAlignment="1">
      <alignment horizontal="left" vertical="center"/>
    </xf>
    <xf numFmtId="0" fontId="4" fillId="0" borderId="4" xfId="1" applyFont="1" applyBorder="1" applyAlignment="1">
      <alignment vertical="center"/>
    </xf>
    <xf numFmtId="0" fontId="6" fillId="23" borderId="4" xfId="0" applyFont="1" applyFill="1" applyBorder="1" applyAlignment="1">
      <alignment vertical="center" wrapText="1"/>
    </xf>
  </cellXfs>
  <cellStyles count="2">
    <cellStyle name="Hiperlink" xfId="1" builtinId="8"/>
    <cellStyle name="Normal" xfId="0" builtinId="0"/>
  </cellStyles>
  <dxfs count="112">
    <dxf>
      <font>
        <color rgb="FF9C0006"/>
      </font>
      <fill>
        <patternFill>
          <bgColor rgb="FFFFC7CE"/>
        </patternFill>
      </fill>
    </dxf>
    <dxf>
      <font>
        <b val="0"/>
        <i/>
        <strike val="0"/>
        <color rgb="FFFFFFFF"/>
      </font>
    </dxf>
    <dxf>
      <font>
        <b val="0"/>
        <i/>
        <strike val="0"/>
        <color theme="0" tint="-0.499984740745262"/>
      </font>
    </dxf>
    <dxf>
      <font>
        <b val="0"/>
        <i/>
        <strike val="0"/>
        <color theme="0" tint="-0.499984740745262"/>
      </font>
    </dxf>
    <dxf>
      <font>
        <b val="0"/>
        <i/>
        <strike val="0"/>
        <color theme="0" tint="-0.499984740745262"/>
      </font>
    </dxf>
    <dxf>
      <font>
        <b val="0"/>
        <i/>
        <strike val="0"/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/>
        <strike val="0"/>
        <color theme="0" tint="-0.499984740745262"/>
      </font>
    </dxf>
    <dxf>
      <font>
        <b val="0"/>
        <i/>
        <strike val="0"/>
        <color theme="0" tint="-0.499984740745262"/>
      </font>
    </dxf>
    <dxf>
      <font>
        <b val="0"/>
        <i/>
        <strike val="0"/>
        <color theme="0" tint="-0.499984740745262"/>
      </font>
    </dxf>
    <dxf>
      <font>
        <b val="0"/>
        <i/>
        <strike val="0"/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/>
        <strike val="0"/>
        <color theme="0" tint="-0.499984740745262"/>
      </font>
    </dxf>
    <dxf>
      <font>
        <b val="0"/>
        <i/>
        <strike val="0"/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/>
        <strike val="0"/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b val="0"/>
        <i/>
        <strike val="0"/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/>
        <strike val="0"/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/>
        <strike val="0"/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/>
        <strike val="0"/>
        <color theme="0" tint="-0.499984740745262"/>
      </font>
    </dxf>
    <dxf>
      <font>
        <b val="0"/>
        <i/>
        <strike val="0"/>
        <color theme="0" tint="-0.499984740745262"/>
      </font>
    </dxf>
    <dxf>
      <font>
        <b val="0"/>
        <i/>
        <strike val="0"/>
        <color theme="0" tint="-0.499984740745262"/>
      </font>
    </dxf>
    <dxf>
      <font>
        <b val="0"/>
        <i/>
        <strike val="0"/>
        <color theme="0" tint="-0.499984740745262"/>
      </font>
    </dxf>
    <dxf>
      <font>
        <b val="0"/>
        <i/>
        <strike val="0"/>
        <color theme="0" tint="-0.499984740745262"/>
      </font>
    </dxf>
    <dxf>
      <font>
        <b val="0"/>
        <i/>
        <strike val="0"/>
        <color theme="0" tint="-0.499984740745262"/>
      </font>
    </dxf>
    <dxf>
      <font>
        <b val="0"/>
        <i/>
        <strike val="0"/>
        <color theme="0" tint="-0.499984740745262"/>
      </font>
    </dxf>
    <dxf>
      <font>
        <b val="0"/>
        <i/>
        <strike val="0"/>
        <color theme="0" tint="-0.499984740745262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D9D9D9"/>
      <rgbColor rgb="FF747474"/>
      <rgbColor rgb="FF9999FF"/>
      <rgbColor rgb="FF993366"/>
      <rgbColor rgb="FFFFCCCC"/>
      <rgbColor rgb="FFDCEAF7"/>
      <rgbColor rgb="FF660066"/>
      <rgbColor rgb="FFF2AA84"/>
      <rgbColor rgb="FF0066CC"/>
      <rgbColor rgb="FFD1D1D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B4E5A2"/>
      <rgbColor rgb="FFD9F2D0"/>
      <rgbColor rgb="FFF6E896"/>
      <rgbColor rgb="FFA6CAEC"/>
      <rgbColor rgb="FFE59EDD"/>
      <rgbColor rgb="FFFFC7CE"/>
      <rgbColor rgb="FFF6C6AD"/>
      <rgbColor rgb="FF3366FF"/>
      <rgbColor rgb="FF46B1E1"/>
      <rgbColor rgb="FF8ED973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BE79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eaesp.fgv.br/centros/centro-estudos-sustentabilidade/projetos/programa-brasileiro-ghg-protocol" TargetMode="External"/><Relationship Id="rId7" Type="http://schemas.openxmlformats.org/officeDocument/2006/relationships/hyperlink" Target="https://www.gov.br/fazenda/pt-br/orgaos/spe/taxonomia-sustentavel-brasileira/cadernos" TargetMode="External"/><Relationship Id="rId2" Type="http://schemas.openxmlformats.org/officeDocument/2006/relationships/hyperlink" Target="https://www.gov.br/fazenda/pt-br/acesso-a-informacao/acoes-e-programas/transformacao-ecologica/transformacao-ecologica" TargetMode="External"/><Relationship Id="rId1" Type="http://schemas.openxmlformats.org/officeDocument/2006/relationships/hyperlink" Target="https://brasil.un.org/pt-br/sdgs" TargetMode="External"/><Relationship Id="rId6" Type="http://schemas.openxmlformats.org/officeDocument/2006/relationships/hyperlink" Target="https://anvisalegis.datalegis.net/" TargetMode="External"/><Relationship Id="rId5" Type="http://schemas.openxmlformats.org/officeDocument/2006/relationships/hyperlink" Target="https://somasus.saude.gov.br/sistema/home" TargetMode="External"/><Relationship Id="rId4" Type="http://schemas.openxmlformats.org/officeDocument/2006/relationships/hyperlink" Target="https://www.caixa.gov.br/site/Paginas/downloads.aspx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84A63-55AB-497E-9EBD-4681BB9AFAFF}">
  <sheetPr codeName="Planilha1"/>
  <dimension ref="A1:C49"/>
  <sheetViews>
    <sheetView tabSelected="1" zoomScale="160" zoomScaleNormal="160" workbookViewId="0">
      <pane ySplit="1" topLeftCell="A2" activePane="bottomLeft" state="frozen"/>
      <selection pane="bottomLeft"/>
    </sheetView>
  </sheetViews>
  <sheetFormatPr defaultColWidth="9.28515625" defaultRowHeight="9" customHeight="1" x14ac:dyDescent="0.25"/>
  <cols>
    <col min="1" max="1" width="12.85546875" bestFit="1" customWidth="1"/>
    <col min="2" max="2" width="68.85546875" style="60" bestFit="1" customWidth="1"/>
    <col min="3" max="3" width="3.42578125" style="40" bestFit="1" customWidth="1"/>
    <col min="4" max="16384" width="9.28515625" style="60"/>
  </cols>
  <sheetData>
    <row r="1" spans="1:3" ht="14.25" customHeight="1" x14ac:dyDescent="0.25">
      <c r="A1" s="14" t="s">
        <v>45</v>
      </c>
      <c r="B1" s="14" t="s">
        <v>46</v>
      </c>
      <c r="C1" s="38" t="s">
        <v>150</v>
      </c>
    </row>
    <row r="2" spans="1:3" ht="9" customHeight="1" x14ac:dyDescent="0.25">
      <c r="A2" s="15" t="s">
        <v>47</v>
      </c>
      <c r="B2" s="15" t="s">
        <v>48</v>
      </c>
      <c r="C2" s="39" t="s">
        <v>151</v>
      </c>
    </row>
    <row r="3" spans="1:3" ht="9" customHeight="1" x14ac:dyDescent="0.25">
      <c r="A3" s="15" t="s">
        <v>49</v>
      </c>
      <c r="B3" s="15" t="s">
        <v>445</v>
      </c>
      <c r="C3" s="39" t="s">
        <v>151</v>
      </c>
    </row>
    <row r="4" spans="1:3" ht="9" customHeight="1" x14ac:dyDescent="0.25">
      <c r="A4" s="16" t="s">
        <v>50</v>
      </c>
      <c r="B4" s="16" t="s">
        <v>33</v>
      </c>
      <c r="C4" s="39" t="s">
        <v>151</v>
      </c>
    </row>
    <row r="5" spans="1:3" ht="9" customHeight="1" x14ac:dyDescent="0.25">
      <c r="A5" s="16" t="s">
        <v>51</v>
      </c>
      <c r="B5" s="16" t="str">
        <f>_xlfn.CONCAT(B4,"Prop")</f>
        <v>BIMProp</v>
      </c>
      <c r="C5" s="39" t="s">
        <v>151</v>
      </c>
    </row>
    <row r="6" spans="1:3" ht="9" customHeight="1" x14ac:dyDescent="0.25">
      <c r="A6" s="16" t="s">
        <v>52</v>
      </c>
      <c r="B6" s="16" t="str">
        <f>_xlfn.CONCAT(B4,"Data")</f>
        <v>BIMData</v>
      </c>
      <c r="C6" s="39" t="s">
        <v>151</v>
      </c>
    </row>
    <row r="7" spans="1:3" ht="9" customHeight="1" x14ac:dyDescent="0.25">
      <c r="A7" s="16" t="s">
        <v>53</v>
      </c>
      <c r="B7" s="16" t="s">
        <v>54</v>
      </c>
      <c r="C7" s="39" t="s">
        <v>151</v>
      </c>
    </row>
    <row r="8" spans="1:3" ht="9" customHeight="1" x14ac:dyDescent="0.25">
      <c r="A8" s="67" t="s">
        <v>55</v>
      </c>
      <c r="B8" s="16" t="s">
        <v>148</v>
      </c>
      <c r="C8" s="39" t="s">
        <v>151</v>
      </c>
    </row>
    <row r="9" spans="1:3" ht="9" customHeight="1" x14ac:dyDescent="0.25">
      <c r="A9" s="16" t="s">
        <v>56</v>
      </c>
      <c r="B9" s="16" t="s">
        <v>57</v>
      </c>
      <c r="C9" s="39" t="s">
        <v>151</v>
      </c>
    </row>
    <row r="10" spans="1:3" ht="9" customHeight="1" x14ac:dyDescent="0.25">
      <c r="A10" s="16" t="s">
        <v>1011</v>
      </c>
      <c r="B10" s="16" t="s">
        <v>58</v>
      </c>
      <c r="C10" s="39" t="s">
        <v>151</v>
      </c>
    </row>
    <row r="11" spans="1:3" ht="9" customHeight="1" x14ac:dyDescent="0.25">
      <c r="A11" s="16" t="s">
        <v>1012</v>
      </c>
      <c r="B11" s="16" t="s">
        <v>58</v>
      </c>
      <c r="C11" s="39" t="s">
        <v>151</v>
      </c>
    </row>
    <row r="12" spans="1:3" ht="9" customHeight="1" x14ac:dyDescent="0.25">
      <c r="A12" s="16" t="s">
        <v>1013</v>
      </c>
      <c r="B12" s="16" t="s">
        <v>58</v>
      </c>
      <c r="C12" s="39" t="s">
        <v>151</v>
      </c>
    </row>
    <row r="13" spans="1:3" ht="9" customHeight="1" x14ac:dyDescent="0.25">
      <c r="A13" s="16" t="s">
        <v>961</v>
      </c>
      <c r="B13" s="16" t="s">
        <v>58</v>
      </c>
      <c r="C13" s="39" t="s">
        <v>151</v>
      </c>
    </row>
    <row r="14" spans="1:3" ht="9" customHeight="1" x14ac:dyDescent="0.25">
      <c r="A14" s="16" t="s">
        <v>962</v>
      </c>
      <c r="B14" s="16" t="s">
        <v>58</v>
      </c>
      <c r="C14" s="39" t="s">
        <v>151</v>
      </c>
    </row>
    <row r="15" spans="1:3" ht="9" customHeight="1" x14ac:dyDescent="0.25">
      <c r="A15" s="16" t="s">
        <v>963</v>
      </c>
      <c r="B15" s="16" t="s">
        <v>58</v>
      </c>
      <c r="C15" s="39" t="s">
        <v>151</v>
      </c>
    </row>
    <row r="16" spans="1:3" ht="9" customHeight="1" x14ac:dyDescent="0.25">
      <c r="A16" s="16" t="s">
        <v>964</v>
      </c>
      <c r="B16" s="16" t="s">
        <v>58</v>
      </c>
      <c r="C16" s="39" t="s">
        <v>151</v>
      </c>
    </row>
    <row r="17" spans="1:3" ht="9" customHeight="1" x14ac:dyDescent="0.25">
      <c r="A17" s="16" t="s">
        <v>59</v>
      </c>
      <c r="B17" s="16" t="s">
        <v>58</v>
      </c>
      <c r="C17" s="39" t="s">
        <v>151</v>
      </c>
    </row>
    <row r="18" spans="1:3" ht="9" customHeight="1" x14ac:dyDescent="0.25">
      <c r="A18" s="16" t="s">
        <v>60</v>
      </c>
      <c r="B18" s="17">
        <f ca="1">NOW()</f>
        <v>46276.414026851853</v>
      </c>
      <c r="C18" s="39" t="s">
        <v>151</v>
      </c>
    </row>
    <row r="19" spans="1:3" ht="9" customHeight="1" x14ac:dyDescent="0.25">
      <c r="A19" s="16" t="s">
        <v>154</v>
      </c>
      <c r="B19" s="17" t="s">
        <v>157</v>
      </c>
      <c r="C19" s="39" t="s">
        <v>151</v>
      </c>
    </row>
    <row r="20" spans="1:3" ht="9" customHeight="1" x14ac:dyDescent="0.25">
      <c r="A20" s="67" t="s">
        <v>155</v>
      </c>
      <c r="B20" s="17" t="str">
        <f>_xlfn.TRANSLATE(B19,"pt","es")</f>
        <v>Traducciones al español e inglés incorporadas. Las traducciones deben revisarse constantemente</v>
      </c>
      <c r="C20" s="39" t="s">
        <v>152</v>
      </c>
    </row>
    <row r="21" spans="1:3" ht="9" customHeight="1" x14ac:dyDescent="0.25">
      <c r="A21" s="67" t="s">
        <v>156</v>
      </c>
      <c r="B21" s="17" t="str">
        <f>_xlfn.TRANSLATE(B19,"pt","es")</f>
        <v>Traducciones al español e inglés incorporadas. Las traducciones deben revisarse constantemente</v>
      </c>
      <c r="C21" s="39" t="s">
        <v>153</v>
      </c>
    </row>
    <row r="22" spans="1:3" ht="9" customHeight="1" x14ac:dyDescent="0.25">
      <c r="A22" s="16" t="s">
        <v>61</v>
      </c>
      <c r="B22" s="16" t="s">
        <v>58</v>
      </c>
      <c r="C22" s="39" t="s">
        <v>151</v>
      </c>
    </row>
    <row r="23" spans="1:3" ht="9" customHeight="1" x14ac:dyDescent="0.25">
      <c r="A23" s="16" t="s">
        <v>62</v>
      </c>
      <c r="B23" s="16" t="s">
        <v>58</v>
      </c>
      <c r="C23" s="39" t="s">
        <v>151</v>
      </c>
    </row>
    <row r="24" spans="1:3" ht="9" customHeight="1" x14ac:dyDescent="0.25">
      <c r="A24" s="16" t="s">
        <v>63</v>
      </c>
      <c r="B24" s="18" t="s">
        <v>446</v>
      </c>
      <c r="C24" s="39" t="s">
        <v>151</v>
      </c>
    </row>
    <row r="25" spans="1:3" ht="9" customHeight="1" x14ac:dyDescent="0.25">
      <c r="A25" s="16" t="s">
        <v>64</v>
      </c>
      <c r="B25" s="18" t="s">
        <v>447</v>
      </c>
      <c r="C25" s="39" t="s">
        <v>152</v>
      </c>
    </row>
    <row r="26" spans="1:3" ht="9" customHeight="1" x14ac:dyDescent="0.25">
      <c r="A26" s="67" t="s">
        <v>149</v>
      </c>
      <c r="B26" s="18" t="str">
        <f>_xlfn.TRANSLATE(B24,"pt","en")</f>
        <v>Formalize elements of the BIM project. Unidades_Funcionais Zones and Environments.</v>
      </c>
      <c r="C26" s="39" t="s">
        <v>153</v>
      </c>
    </row>
    <row r="27" spans="1:3" ht="9" customHeight="1" x14ac:dyDescent="0.25">
      <c r="A27" s="67" t="s">
        <v>965</v>
      </c>
      <c r="B27" s="68" t="s">
        <v>988</v>
      </c>
      <c r="C27" s="39" t="s">
        <v>151</v>
      </c>
    </row>
    <row r="28" spans="1:3" ht="9" customHeight="1" x14ac:dyDescent="0.25">
      <c r="A28" s="67" t="s">
        <v>966</v>
      </c>
      <c r="B28" s="69" t="s">
        <v>989</v>
      </c>
      <c r="C28" s="39" t="s">
        <v>151</v>
      </c>
    </row>
    <row r="29" spans="1:3" ht="9" customHeight="1" x14ac:dyDescent="0.25">
      <c r="A29" s="67" t="s">
        <v>967</v>
      </c>
      <c r="B29" s="69" t="s">
        <v>990</v>
      </c>
      <c r="C29" s="39" t="s">
        <v>151</v>
      </c>
    </row>
    <row r="30" spans="1:3" ht="9" customHeight="1" x14ac:dyDescent="0.25">
      <c r="A30" s="67" t="s">
        <v>968</v>
      </c>
      <c r="B30" s="70" t="s">
        <v>991</v>
      </c>
      <c r="C30" s="39" t="s">
        <v>151</v>
      </c>
    </row>
    <row r="31" spans="1:3" ht="9" customHeight="1" x14ac:dyDescent="0.25">
      <c r="A31" s="67" t="s">
        <v>969</v>
      </c>
      <c r="B31" s="71" t="s">
        <v>992</v>
      </c>
      <c r="C31" s="39" t="s">
        <v>151</v>
      </c>
    </row>
    <row r="32" spans="1:3" ht="9" customHeight="1" x14ac:dyDescent="0.25">
      <c r="A32" s="67" t="s">
        <v>970</v>
      </c>
      <c r="B32" s="71" t="s">
        <v>993</v>
      </c>
      <c r="C32" s="39" t="s">
        <v>151</v>
      </c>
    </row>
    <row r="33" spans="1:3" ht="9" customHeight="1" x14ac:dyDescent="0.25">
      <c r="A33" s="67" t="s">
        <v>971</v>
      </c>
      <c r="B33" s="71" t="s">
        <v>994</v>
      </c>
      <c r="C33" s="39" t="s">
        <v>151</v>
      </c>
    </row>
    <row r="34" spans="1:3" ht="9" customHeight="1" x14ac:dyDescent="0.25">
      <c r="A34" s="67" t="s">
        <v>972</v>
      </c>
      <c r="B34" s="72" t="s">
        <v>995</v>
      </c>
      <c r="C34" s="39" t="s">
        <v>151</v>
      </c>
    </row>
    <row r="35" spans="1:3" ht="9" customHeight="1" x14ac:dyDescent="0.25">
      <c r="A35" s="67" t="s">
        <v>973</v>
      </c>
      <c r="B35" s="72" t="s">
        <v>996</v>
      </c>
      <c r="C35" s="39" t="s">
        <v>151</v>
      </c>
    </row>
    <row r="36" spans="1:3" ht="9" customHeight="1" x14ac:dyDescent="0.25">
      <c r="A36" s="67" t="s">
        <v>974</v>
      </c>
      <c r="B36" s="71" t="s">
        <v>997</v>
      </c>
      <c r="C36" s="39" t="s">
        <v>151</v>
      </c>
    </row>
    <row r="37" spans="1:3" ht="9" customHeight="1" x14ac:dyDescent="0.25">
      <c r="A37" s="67" t="s">
        <v>975</v>
      </c>
      <c r="B37" s="72" t="s">
        <v>998</v>
      </c>
      <c r="C37" s="39" t="s">
        <v>151</v>
      </c>
    </row>
    <row r="38" spans="1:3" ht="9" customHeight="1" x14ac:dyDescent="0.25">
      <c r="A38" s="67" t="s">
        <v>976</v>
      </c>
      <c r="B38" s="71" t="s">
        <v>999</v>
      </c>
      <c r="C38" s="39" t="s">
        <v>151</v>
      </c>
    </row>
    <row r="39" spans="1:3" ht="9" customHeight="1" x14ac:dyDescent="0.25">
      <c r="A39" s="67" t="s">
        <v>977</v>
      </c>
      <c r="B39" s="73" t="s">
        <v>1000</v>
      </c>
      <c r="C39" s="39" t="s">
        <v>151</v>
      </c>
    </row>
    <row r="40" spans="1:3" ht="9" customHeight="1" x14ac:dyDescent="0.25">
      <c r="A40" s="67" t="s">
        <v>978</v>
      </c>
      <c r="B40" s="73" t="s">
        <v>1001</v>
      </c>
      <c r="C40" s="39" t="s">
        <v>151</v>
      </c>
    </row>
    <row r="41" spans="1:3" ht="9" customHeight="1" x14ac:dyDescent="0.25">
      <c r="A41" s="67" t="s">
        <v>979</v>
      </c>
      <c r="B41" s="74" t="s">
        <v>1002</v>
      </c>
      <c r="C41" s="39" t="s">
        <v>151</v>
      </c>
    </row>
    <row r="42" spans="1:3" ht="9" customHeight="1" x14ac:dyDescent="0.25">
      <c r="A42" s="67" t="s">
        <v>980</v>
      </c>
      <c r="B42" s="75" t="s">
        <v>1003</v>
      </c>
      <c r="C42" s="39" t="s">
        <v>151</v>
      </c>
    </row>
    <row r="43" spans="1:3" ht="9" customHeight="1" x14ac:dyDescent="0.25">
      <c r="A43" s="67" t="s">
        <v>981</v>
      </c>
      <c r="B43" s="75" t="s">
        <v>1004</v>
      </c>
      <c r="C43" s="39" t="s">
        <v>151</v>
      </c>
    </row>
    <row r="44" spans="1:3" ht="9" customHeight="1" x14ac:dyDescent="0.25">
      <c r="A44" s="67" t="s">
        <v>982</v>
      </c>
      <c r="B44" s="75" t="s">
        <v>1005</v>
      </c>
      <c r="C44" s="39" t="s">
        <v>151</v>
      </c>
    </row>
    <row r="45" spans="1:3" ht="9" customHeight="1" x14ac:dyDescent="0.25">
      <c r="A45" s="67" t="s">
        <v>983</v>
      </c>
      <c r="B45" s="75" t="s">
        <v>1006</v>
      </c>
      <c r="C45" s="39" t="s">
        <v>151</v>
      </c>
    </row>
    <row r="46" spans="1:3" ht="9" customHeight="1" x14ac:dyDescent="0.25">
      <c r="A46" s="67" t="s">
        <v>984</v>
      </c>
      <c r="B46" s="75" t="s">
        <v>1007</v>
      </c>
      <c r="C46" s="39" t="s">
        <v>151</v>
      </c>
    </row>
    <row r="47" spans="1:3" ht="9" customHeight="1" x14ac:dyDescent="0.25">
      <c r="A47" s="67" t="s">
        <v>985</v>
      </c>
      <c r="B47" s="75" t="s">
        <v>1008</v>
      </c>
      <c r="C47" s="39" t="s">
        <v>151</v>
      </c>
    </row>
    <row r="48" spans="1:3" ht="9" customHeight="1" x14ac:dyDescent="0.25">
      <c r="A48" s="67" t="s">
        <v>986</v>
      </c>
      <c r="B48" s="75" t="s">
        <v>1009</v>
      </c>
      <c r="C48" s="39" t="s">
        <v>151</v>
      </c>
    </row>
    <row r="49" spans="1:3" ht="9" customHeight="1" x14ac:dyDescent="0.25">
      <c r="A49" s="67" t="s">
        <v>987</v>
      </c>
      <c r="B49" s="75" t="s">
        <v>1010</v>
      </c>
      <c r="C49" s="39" t="s">
        <v>151</v>
      </c>
    </row>
  </sheetData>
  <hyperlinks>
    <hyperlink ref="B27" r:id="rId1" xr:uid="{6E66F689-626F-4F9C-B966-F1AE9FB01137}"/>
    <hyperlink ref="B29" r:id="rId2" xr:uid="{2A57B27E-7166-40F4-98AA-ABA06695AA4C}"/>
    <hyperlink ref="B28" r:id="rId3" xr:uid="{05379DC8-7A11-482C-8F4B-94747B70CDC1}"/>
    <hyperlink ref="B39" r:id="rId4" location="categoria_888" xr:uid="{2E1D56A2-D5DA-41DF-8123-A8F5D2DC6C00}"/>
    <hyperlink ref="B40" r:id="rId5" xr:uid="{E1B910EB-5F60-4AC3-9C47-E6FC6897517D}"/>
    <hyperlink ref="B41" r:id="rId6" xr:uid="{AC6B8BAC-DBB1-4560-80F6-3636B130EB3A}"/>
    <hyperlink ref="B30" r:id="rId7" xr:uid="{EE556413-8B04-47DF-86BC-C6B8B255B1AF}"/>
  </hyperlink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2"/>
  <dimension ref="A1:AD188"/>
  <sheetViews>
    <sheetView zoomScale="175" zoomScaleNormal="175" workbookViewId="0">
      <pane ySplit="1" topLeftCell="A59" activePane="bottomLeft" state="frozen"/>
      <selection pane="bottomLeft" activeCell="A188" sqref="A188"/>
    </sheetView>
  </sheetViews>
  <sheetFormatPr defaultColWidth="9.140625" defaultRowHeight="6.75" customHeight="1" x14ac:dyDescent="0.25"/>
  <cols>
    <col min="1" max="1" width="3.140625" style="52" bestFit="1" customWidth="1"/>
    <col min="2" max="2" width="6.28515625" style="36" bestFit="1" customWidth="1"/>
    <col min="3" max="3" width="9.85546875" style="36" bestFit="1" customWidth="1"/>
    <col min="4" max="4" width="14.42578125" style="36" bestFit="1" customWidth="1"/>
    <col min="5" max="5" width="13.7109375" style="36" bestFit="1" customWidth="1"/>
    <col min="6" max="6" width="14.28515625" style="36" bestFit="1" customWidth="1"/>
    <col min="7" max="10" width="8.5703125" style="36" bestFit="1" customWidth="1"/>
    <col min="11" max="11" width="60.140625" style="36" bestFit="1" customWidth="1"/>
    <col min="12" max="12" width="9.85546875" style="36" bestFit="1" customWidth="1"/>
    <col min="13" max="13" width="14.42578125" style="36" bestFit="1" customWidth="1"/>
    <col min="14" max="14" width="13.7109375" style="36" bestFit="1" customWidth="1"/>
    <col min="15" max="15" width="16.5703125" style="36" bestFit="1" customWidth="1"/>
    <col min="16" max="16" width="127.28515625" style="36" bestFit="1" customWidth="1"/>
    <col min="17" max="17" width="135.28515625" style="36" bestFit="1" customWidth="1"/>
    <col min="18" max="18" width="106.140625" style="36" bestFit="1" customWidth="1"/>
    <col min="19" max="19" width="6" style="66" bestFit="1" customWidth="1"/>
    <col min="20" max="20" width="9.85546875" style="36" bestFit="1" customWidth="1"/>
    <col min="21" max="21" width="14.42578125" style="36" bestFit="1" customWidth="1"/>
    <col min="22" max="22" width="13.7109375" style="36" bestFit="1" customWidth="1"/>
    <col min="23" max="23" width="6.85546875" style="36" bestFit="1" customWidth="1"/>
    <col min="24" max="24" width="8.42578125" style="50" bestFit="1" customWidth="1"/>
    <col min="25" max="25" width="36" style="50" bestFit="1" customWidth="1"/>
    <col min="26" max="26" width="7.85546875" style="50" customWidth="1"/>
    <col min="27" max="27" width="23.7109375" style="50" customWidth="1"/>
    <col min="28" max="28" width="6.85546875" style="50" bestFit="1" customWidth="1"/>
    <col min="29" max="29" width="15.85546875" style="59" bestFit="1" customWidth="1"/>
    <col min="30" max="30" width="6.85546875" style="50" bestFit="1" customWidth="1"/>
    <col min="31" max="16384" width="9.140625" style="36"/>
  </cols>
  <sheetData>
    <row r="1" spans="1:30" s="24" customFormat="1" ht="48" customHeight="1" x14ac:dyDescent="0.25">
      <c r="A1" s="51">
        <v>0</v>
      </c>
      <c r="B1" s="23" t="s">
        <v>43</v>
      </c>
      <c r="C1" s="23" t="s">
        <v>41</v>
      </c>
      <c r="D1" s="23" t="s">
        <v>42</v>
      </c>
      <c r="E1" s="23" t="s">
        <v>40</v>
      </c>
      <c r="F1" s="23" t="s">
        <v>37</v>
      </c>
      <c r="G1" s="42" t="s">
        <v>0</v>
      </c>
      <c r="H1" s="42" t="s">
        <v>1</v>
      </c>
      <c r="I1" s="42" t="s">
        <v>2</v>
      </c>
      <c r="J1" s="42" t="s">
        <v>3</v>
      </c>
      <c r="K1" s="42" t="s">
        <v>4</v>
      </c>
      <c r="L1" s="13" t="s">
        <v>5</v>
      </c>
      <c r="M1" s="13" t="s">
        <v>6</v>
      </c>
      <c r="N1" s="13" t="s">
        <v>7</v>
      </c>
      <c r="O1" s="13" t="s">
        <v>8</v>
      </c>
      <c r="P1" s="13" t="s">
        <v>38</v>
      </c>
      <c r="Q1" s="13" t="s">
        <v>44</v>
      </c>
      <c r="R1" s="37" t="s">
        <v>147</v>
      </c>
      <c r="S1" s="65" t="s">
        <v>846</v>
      </c>
      <c r="T1" s="13" t="s">
        <v>34</v>
      </c>
      <c r="U1" s="13" t="s">
        <v>39</v>
      </c>
      <c r="V1" s="13" t="s">
        <v>36</v>
      </c>
      <c r="W1" s="13" t="s">
        <v>35</v>
      </c>
      <c r="X1" s="43" t="s">
        <v>9</v>
      </c>
      <c r="Y1" s="26" t="s">
        <v>73</v>
      </c>
      <c r="Z1" s="26" t="s">
        <v>806</v>
      </c>
      <c r="AA1" s="26" t="s">
        <v>74</v>
      </c>
      <c r="AB1" s="26" t="s">
        <v>807</v>
      </c>
      <c r="AC1" s="57" t="s">
        <v>808</v>
      </c>
      <c r="AD1" s="26" t="s">
        <v>829</v>
      </c>
    </row>
    <row r="2" spans="1:30" s="34" customFormat="1" ht="6.75" customHeight="1" x14ac:dyDescent="0.25">
      <c r="A2" s="49">
        <v>2</v>
      </c>
      <c r="B2" s="27" t="s">
        <v>408</v>
      </c>
      <c r="C2" s="27" t="s">
        <v>413</v>
      </c>
      <c r="D2" s="27" t="s">
        <v>450</v>
      </c>
      <c r="E2" s="27" t="s">
        <v>406</v>
      </c>
      <c r="F2" s="28" t="s">
        <v>75</v>
      </c>
      <c r="G2" s="44" t="s">
        <v>10</v>
      </c>
      <c r="H2" s="44" t="s">
        <v>10</v>
      </c>
      <c r="I2" s="44" t="s">
        <v>10</v>
      </c>
      <c r="J2" s="44" t="s">
        <v>10</v>
      </c>
      <c r="K2" s="44" t="s">
        <v>10</v>
      </c>
      <c r="L2" s="29" t="str">
        <f t="shared" ref="L2:L9" si="0">CONCATENATE("", C2)</f>
        <v>De.Espacialidade</v>
      </c>
      <c r="M2" s="29" t="str">
        <f t="shared" ref="M2:M9" si="1">CONCATENATE("", D2)</f>
        <v>Eixos.Estruturantes</v>
      </c>
      <c r="N2" s="29" t="str">
        <f t="shared" ref="N2:O9" si="2">(SUBSTITUTE(SUBSTITUTE(CONCATENATE("",E2),"."," ")," De "," de "))</f>
        <v>Eixo de Estrutura</v>
      </c>
      <c r="O2" s="29" t="str">
        <f t="shared" ref="O2:O4" si="3">(SUBSTITUTE(SUBSTITUTE(CONCATENATE("",F2),"."," ")," De "," de "))</f>
        <v>Eixo Estrutural</v>
      </c>
      <c r="P2" s="30" t="s">
        <v>107</v>
      </c>
      <c r="Q2" s="30" t="s">
        <v>630</v>
      </c>
      <c r="R2" s="30" t="s">
        <v>452</v>
      </c>
      <c r="S2" s="63" t="s">
        <v>10</v>
      </c>
      <c r="T2" s="30" t="str">
        <f t="shared" ref="T2:T9" si="4">SUBSTITUTE(C2, ".", " ")</f>
        <v>De Espacialidade</v>
      </c>
      <c r="U2" s="30" t="str">
        <f t="shared" ref="U2:U9" si="5">SUBSTITUTE(D2, ".", " ")</f>
        <v>Eixos Estruturantes</v>
      </c>
      <c r="V2" s="30" t="str">
        <f t="shared" ref="V2:V9" si="6">SUBSTITUTE(E2, ".", " ")</f>
        <v>Eixo de Estrutura</v>
      </c>
      <c r="W2" s="30" t="s">
        <v>78</v>
      </c>
      <c r="X2" s="45" t="str">
        <f t="shared" ref="X2:X9" si="7">CONCATENATE("Key-AMB-",A2)</f>
        <v>Key-AMB-2</v>
      </c>
      <c r="Y2" s="30" t="s">
        <v>193</v>
      </c>
      <c r="Z2" s="61" t="s">
        <v>10</v>
      </c>
      <c r="AA2" s="41" t="s">
        <v>168</v>
      </c>
      <c r="AB2" s="61" t="s">
        <v>10</v>
      </c>
      <c r="AC2" s="56" t="s">
        <v>10</v>
      </c>
      <c r="AD2" s="61" t="s">
        <v>10</v>
      </c>
    </row>
    <row r="3" spans="1:30" s="34" customFormat="1" ht="6.75" customHeight="1" x14ac:dyDescent="0.25">
      <c r="A3" s="49">
        <v>3</v>
      </c>
      <c r="B3" s="27" t="s">
        <v>408</v>
      </c>
      <c r="C3" s="27" t="s">
        <v>413</v>
      </c>
      <c r="D3" s="27" t="s">
        <v>450</v>
      </c>
      <c r="E3" s="27" t="s">
        <v>406</v>
      </c>
      <c r="F3" s="28" t="s">
        <v>108</v>
      </c>
      <c r="G3" s="44" t="s">
        <v>10</v>
      </c>
      <c r="H3" s="44" t="s">
        <v>10</v>
      </c>
      <c r="I3" s="44" t="s">
        <v>10</v>
      </c>
      <c r="J3" s="44" t="s">
        <v>10</v>
      </c>
      <c r="K3" s="44" t="s">
        <v>10</v>
      </c>
      <c r="L3" s="29" t="str">
        <f t="shared" si="0"/>
        <v>De.Espacialidade</v>
      </c>
      <c r="M3" s="29" t="str">
        <f t="shared" si="1"/>
        <v>Eixos.Estruturantes</v>
      </c>
      <c r="N3" s="29" t="str">
        <f t="shared" si="2"/>
        <v>Eixo de Estrutura</v>
      </c>
      <c r="O3" s="29" t="str">
        <f t="shared" si="3"/>
        <v>Eixo Estrutural Irregular</v>
      </c>
      <c r="P3" s="30" t="s">
        <v>109</v>
      </c>
      <c r="Q3" s="30" t="s">
        <v>631</v>
      </c>
      <c r="R3" s="30" t="s">
        <v>453</v>
      </c>
      <c r="S3" s="63" t="s">
        <v>10</v>
      </c>
      <c r="T3" s="30" t="str">
        <f t="shared" si="4"/>
        <v>De Espacialidade</v>
      </c>
      <c r="U3" s="30" t="str">
        <f t="shared" si="5"/>
        <v>Eixos Estruturantes</v>
      </c>
      <c r="V3" s="30" t="str">
        <f t="shared" si="6"/>
        <v>Eixo de Estrutura</v>
      </c>
      <c r="W3" s="30" t="s">
        <v>78</v>
      </c>
      <c r="X3" s="45" t="str">
        <f t="shared" si="7"/>
        <v>Key-AMB-3</v>
      </c>
      <c r="Y3" s="30" t="s">
        <v>193</v>
      </c>
      <c r="Z3" s="61" t="s">
        <v>10</v>
      </c>
      <c r="AA3" s="41" t="s">
        <v>169</v>
      </c>
      <c r="AB3" s="61" t="s">
        <v>10</v>
      </c>
      <c r="AC3" s="56" t="s">
        <v>10</v>
      </c>
      <c r="AD3" s="61" t="s">
        <v>10</v>
      </c>
    </row>
    <row r="4" spans="1:30" s="34" customFormat="1" ht="6.75" customHeight="1" x14ac:dyDescent="0.25">
      <c r="A4" s="49">
        <v>4</v>
      </c>
      <c r="B4" s="27" t="s">
        <v>408</v>
      </c>
      <c r="C4" s="27" t="s">
        <v>413</v>
      </c>
      <c r="D4" s="27" t="s">
        <v>450</v>
      </c>
      <c r="E4" s="27" t="s">
        <v>406</v>
      </c>
      <c r="F4" s="28" t="s">
        <v>110</v>
      </c>
      <c r="G4" s="44" t="s">
        <v>10</v>
      </c>
      <c r="H4" s="44" t="s">
        <v>10</v>
      </c>
      <c r="I4" s="44" t="s">
        <v>10</v>
      </c>
      <c r="J4" s="44" t="s">
        <v>10</v>
      </c>
      <c r="K4" s="44" t="s">
        <v>10</v>
      </c>
      <c r="L4" s="29" t="str">
        <f t="shared" si="0"/>
        <v>De.Espacialidade</v>
      </c>
      <c r="M4" s="29" t="str">
        <f t="shared" si="1"/>
        <v>Eixos.Estruturantes</v>
      </c>
      <c r="N4" s="29" t="str">
        <f t="shared" si="2"/>
        <v>Eixo de Estrutura</v>
      </c>
      <c r="O4" s="29" t="str">
        <f t="shared" si="3"/>
        <v>Eixo Estrutural Radial</v>
      </c>
      <c r="P4" s="30" t="s">
        <v>111</v>
      </c>
      <c r="Q4" s="30" t="s">
        <v>632</v>
      </c>
      <c r="R4" s="30" t="s">
        <v>454</v>
      </c>
      <c r="S4" s="63" t="s">
        <v>10</v>
      </c>
      <c r="T4" s="30" t="str">
        <f t="shared" si="4"/>
        <v>De Espacialidade</v>
      </c>
      <c r="U4" s="30" t="str">
        <f t="shared" si="5"/>
        <v>Eixos Estruturantes</v>
      </c>
      <c r="V4" s="30" t="str">
        <f t="shared" si="6"/>
        <v>Eixo de Estrutura</v>
      </c>
      <c r="W4" s="30" t="s">
        <v>78</v>
      </c>
      <c r="X4" s="45" t="str">
        <f t="shared" si="7"/>
        <v>Key-AMB-4</v>
      </c>
      <c r="Y4" s="30" t="s">
        <v>193</v>
      </c>
      <c r="Z4" s="61" t="s">
        <v>10</v>
      </c>
      <c r="AA4" s="41" t="s">
        <v>170</v>
      </c>
      <c r="AB4" s="61" t="s">
        <v>10</v>
      </c>
      <c r="AC4" s="56" t="s">
        <v>10</v>
      </c>
      <c r="AD4" s="61" t="s">
        <v>10</v>
      </c>
    </row>
    <row r="5" spans="1:30" s="34" customFormat="1" ht="6.75" customHeight="1" x14ac:dyDescent="0.25">
      <c r="A5" s="49">
        <v>5</v>
      </c>
      <c r="B5" s="27" t="s">
        <v>408</v>
      </c>
      <c r="C5" s="27" t="s">
        <v>413</v>
      </c>
      <c r="D5" s="27" t="s">
        <v>450</v>
      </c>
      <c r="E5" s="27" t="s">
        <v>406</v>
      </c>
      <c r="F5" s="28" t="s">
        <v>112</v>
      </c>
      <c r="G5" s="44" t="s">
        <v>10</v>
      </c>
      <c r="H5" s="44" t="s">
        <v>10</v>
      </c>
      <c r="I5" s="44" t="s">
        <v>10</v>
      </c>
      <c r="J5" s="44" t="s">
        <v>10</v>
      </c>
      <c r="K5" s="44" t="s">
        <v>10</v>
      </c>
      <c r="L5" s="29" t="str">
        <f t="shared" si="0"/>
        <v>De.Espacialidade</v>
      </c>
      <c r="M5" s="29" t="str">
        <f t="shared" si="1"/>
        <v>Eixos.Estruturantes</v>
      </c>
      <c r="N5" s="29" t="str">
        <f t="shared" si="2"/>
        <v>Eixo de Estrutura</v>
      </c>
      <c r="O5" s="29" t="str">
        <f t="shared" si="2"/>
        <v>Eixo Estrutural Retangular</v>
      </c>
      <c r="P5" s="30" t="s">
        <v>113</v>
      </c>
      <c r="Q5" s="30" t="s">
        <v>633</v>
      </c>
      <c r="R5" s="30" t="s">
        <v>455</v>
      </c>
      <c r="S5" s="63" t="s">
        <v>10</v>
      </c>
      <c r="T5" s="30" t="str">
        <f t="shared" si="4"/>
        <v>De Espacialidade</v>
      </c>
      <c r="U5" s="30" t="str">
        <f t="shared" si="5"/>
        <v>Eixos Estruturantes</v>
      </c>
      <c r="V5" s="30" t="str">
        <f t="shared" si="6"/>
        <v>Eixo de Estrutura</v>
      </c>
      <c r="W5" s="30" t="s">
        <v>78</v>
      </c>
      <c r="X5" s="45" t="str">
        <f t="shared" si="7"/>
        <v>Key-AMB-5</v>
      </c>
      <c r="Y5" s="30" t="s">
        <v>193</v>
      </c>
      <c r="Z5" s="61" t="s">
        <v>10</v>
      </c>
      <c r="AA5" s="41" t="s">
        <v>171</v>
      </c>
      <c r="AB5" s="61" t="s">
        <v>10</v>
      </c>
      <c r="AC5" s="56" t="s">
        <v>10</v>
      </c>
      <c r="AD5" s="61" t="s">
        <v>10</v>
      </c>
    </row>
    <row r="6" spans="1:30" s="34" customFormat="1" ht="6.75" customHeight="1" x14ac:dyDescent="0.25">
      <c r="A6" s="49">
        <v>6</v>
      </c>
      <c r="B6" s="27" t="s">
        <v>408</v>
      </c>
      <c r="C6" s="27" t="s">
        <v>413</v>
      </c>
      <c r="D6" s="27" t="s">
        <v>450</v>
      </c>
      <c r="E6" s="27" t="s">
        <v>406</v>
      </c>
      <c r="F6" s="28" t="s">
        <v>114</v>
      </c>
      <c r="G6" s="44" t="s">
        <v>10</v>
      </c>
      <c r="H6" s="44" t="s">
        <v>10</v>
      </c>
      <c r="I6" s="44" t="s">
        <v>10</v>
      </c>
      <c r="J6" s="44" t="s">
        <v>10</v>
      </c>
      <c r="K6" s="44" t="s">
        <v>10</v>
      </c>
      <c r="L6" s="29" t="str">
        <f t="shared" si="0"/>
        <v>De.Espacialidade</v>
      </c>
      <c r="M6" s="29" t="str">
        <f t="shared" si="1"/>
        <v>Eixos.Estruturantes</v>
      </c>
      <c r="N6" s="29" t="str">
        <f t="shared" si="2"/>
        <v>Eixo de Estrutura</v>
      </c>
      <c r="O6" s="29" t="str">
        <f t="shared" si="2"/>
        <v>Eixo Estrutural Triangular</v>
      </c>
      <c r="P6" s="30" t="s">
        <v>115</v>
      </c>
      <c r="Q6" s="30" t="s">
        <v>634</v>
      </c>
      <c r="R6" s="30" t="s">
        <v>456</v>
      </c>
      <c r="S6" s="63" t="s">
        <v>10</v>
      </c>
      <c r="T6" s="30" t="str">
        <f t="shared" si="4"/>
        <v>De Espacialidade</v>
      </c>
      <c r="U6" s="30" t="str">
        <f t="shared" si="5"/>
        <v>Eixos Estruturantes</v>
      </c>
      <c r="V6" s="30" t="str">
        <f t="shared" si="6"/>
        <v>Eixo de Estrutura</v>
      </c>
      <c r="W6" s="30" t="s">
        <v>78</v>
      </c>
      <c r="X6" s="45" t="str">
        <f t="shared" si="7"/>
        <v>Key-AMB-6</v>
      </c>
      <c r="Y6" s="30" t="s">
        <v>193</v>
      </c>
      <c r="Z6" s="61" t="s">
        <v>10</v>
      </c>
      <c r="AA6" s="41" t="s">
        <v>172</v>
      </c>
      <c r="AB6" s="61" t="s">
        <v>10</v>
      </c>
      <c r="AC6" s="56" t="s">
        <v>10</v>
      </c>
      <c r="AD6" s="61" t="s">
        <v>10</v>
      </c>
    </row>
    <row r="7" spans="1:30" s="34" customFormat="1" ht="6.75" customHeight="1" x14ac:dyDescent="0.25">
      <c r="A7" s="49">
        <v>7</v>
      </c>
      <c r="B7" s="27" t="s">
        <v>408</v>
      </c>
      <c r="C7" s="27" t="s">
        <v>413</v>
      </c>
      <c r="D7" s="27" t="s">
        <v>450</v>
      </c>
      <c r="E7" s="27" t="s">
        <v>406</v>
      </c>
      <c r="F7" s="28" t="s">
        <v>451</v>
      </c>
      <c r="G7" s="44" t="s">
        <v>10</v>
      </c>
      <c r="H7" s="44" t="s">
        <v>10</v>
      </c>
      <c r="I7" s="44" t="s">
        <v>10</v>
      </c>
      <c r="J7" s="44" t="s">
        <v>10</v>
      </c>
      <c r="K7" s="44" t="s">
        <v>10</v>
      </c>
      <c r="L7" s="29" t="str">
        <f t="shared" si="0"/>
        <v>De.Espacialidade</v>
      </c>
      <c r="M7" s="29" t="str">
        <f t="shared" si="1"/>
        <v>Eixos.Estruturantes</v>
      </c>
      <c r="N7" s="29" t="str">
        <f t="shared" si="2"/>
        <v>Eixo de Estrutura</v>
      </c>
      <c r="O7" s="29" t="str">
        <f t="shared" si="2"/>
        <v>Eixo Símbolo</v>
      </c>
      <c r="P7" s="30" t="s">
        <v>166</v>
      </c>
      <c r="Q7" s="30" t="s">
        <v>635</v>
      </c>
      <c r="R7" s="30" t="s">
        <v>457</v>
      </c>
      <c r="S7" s="63" t="s">
        <v>10</v>
      </c>
      <c r="T7" s="30" t="str">
        <f t="shared" si="4"/>
        <v>De Espacialidade</v>
      </c>
      <c r="U7" s="30" t="str">
        <f t="shared" si="5"/>
        <v>Eixos Estruturantes</v>
      </c>
      <c r="V7" s="30" t="str">
        <f t="shared" si="6"/>
        <v>Eixo de Estrutura</v>
      </c>
      <c r="W7" s="30" t="s">
        <v>78</v>
      </c>
      <c r="X7" s="45" t="str">
        <f t="shared" si="7"/>
        <v>Key-AMB-7</v>
      </c>
      <c r="Y7" s="30" t="s">
        <v>193</v>
      </c>
      <c r="Z7" s="61" t="s">
        <v>10</v>
      </c>
      <c r="AA7" s="41" t="s">
        <v>172</v>
      </c>
      <c r="AB7" s="61" t="s">
        <v>10</v>
      </c>
      <c r="AC7" s="56" t="s">
        <v>10</v>
      </c>
      <c r="AD7" s="61" t="s">
        <v>10</v>
      </c>
    </row>
    <row r="8" spans="1:30" s="34" customFormat="1" ht="6.75" customHeight="1" x14ac:dyDescent="0.25">
      <c r="A8" s="49">
        <v>8</v>
      </c>
      <c r="B8" s="27" t="s">
        <v>408</v>
      </c>
      <c r="C8" s="27" t="s">
        <v>413</v>
      </c>
      <c r="D8" s="27" t="s">
        <v>450</v>
      </c>
      <c r="E8" s="27" t="s">
        <v>407</v>
      </c>
      <c r="F8" s="28" t="s">
        <v>221</v>
      </c>
      <c r="G8" s="44" t="s">
        <v>10</v>
      </c>
      <c r="H8" s="44" t="s">
        <v>10</v>
      </c>
      <c r="I8" s="44" t="s">
        <v>10</v>
      </c>
      <c r="J8" s="44" t="s">
        <v>10</v>
      </c>
      <c r="K8" s="44" t="s">
        <v>10</v>
      </c>
      <c r="L8" s="29" t="str">
        <f t="shared" si="0"/>
        <v>De.Espacialidade</v>
      </c>
      <c r="M8" s="29" t="str">
        <f t="shared" si="1"/>
        <v>Eixos.Estruturantes</v>
      </c>
      <c r="N8" s="29" t="str">
        <f t="shared" si="2"/>
        <v>Eixo de Simetria</v>
      </c>
      <c r="O8" s="29" t="str">
        <f t="shared" si="2"/>
        <v>Eixo Simetria Principal</v>
      </c>
      <c r="P8" s="30" t="s">
        <v>222</v>
      </c>
      <c r="Q8" s="30" t="s">
        <v>636</v>
      </c>
      <c r="R8" s="30" t="s">
        <v>458</v>
      </c>
      <c r="S8" s="63" t="s">
        <v>10</v>
      </c>
      <c r="T8" s="30" t="str">
        <f t="shared" si="4"/>
        <v>De Espacialidade</v>
      </c>
      <c r="U8" s="30" t="str">
        <f t="shared" si="5"/>
        <v>Eixos Estruturantes</v>
      </c>
      <c r="V8" s="30" t="str">
        <f t="shared" si="6"/>
        <v>Eixo de Simetria</v>
      </c>
      <c r="W8" s="30" t="s">
        <v>78</v>
      </c>
      <c r="X8" s="45" t="str">
        <f t="shared" si="7"/>
        <v>Key-AMB-8</v>
      </c>
      <c r="Y8" s="30" t="s">
        <v>193</v>
      </c>
      <c r="Z8" s="61" t="s">
        <v>10</v>
      </c>
      <c r="AA8" s="41" t="s">
        <v>168</v>
      </c>
      <c r="AB8" s="61" t="s">
        <v>10</v>
      </c>
      <c r="AC8" s="56" t="s">
        <v>10</v>
      </c>
      <c r="AD8" s="61" t="s">
        <v>10</v>
      </c>
    </row>
    <row r="9" spans="1:30" s="34" customFormat="1" ht="6.75" customHeight="1" x14ac:dyDescent="0.25">
      <c r="A9" s="49">
        <v>9</v>
      </c>
      <c r="B9" s="27" t="s">
        <v>408</v>
      </c>
      <c r="C9" s="27" t="s">
        <v>413</v>
      </c>
      <c r="D9" s="27" t="s">
        <v>450</v>
      </c>
      <c r="E9" s="27" t="s">
        <v>407</v>
      </c>
      <c r="F9" s="28" t="s">
        <v>220</v>
      </c>
      <c r="G9" s="44" t="s">
        <v>10</v>
      </c>
      <c r="H9" s="44" t="s">
        <v>10</v>
      </c>
      <c r="I9" s="44" t="s">
        <v>10</v>
      </c>
      <c r="J9" s="44" t="s">
        <v>10</v>
      </c>
      <c r="K9" s="44" t="s">
        <v>10</v>
      </c>
      <c r="L9" s="29" t="str">
        <f t="shared" si="0"/>
        <v>De.Espacialidade</v>
      </c>
      <c r="M9" s="29" t="str">
        <f t="shared" si="1"/>
        <v>Eixos.Estruturantes</v>
      </c>
      <c r="N9" s="29" t="str">
        <f t="shared" si="2"/>
        <v>Eixo de Simetria</v>
      </c>
      <c r="O9" s="29" t="str">
        <f t="shared" si="2"/>
        <v>Eixo Simetria Local</v>
      </c>
      <c r="P9" s="30" t="s">
        <v>223</v>
      </c>
      <c r="Q9" s="30" t="s">
        <v>637</v>
      </c>
      <c r="R9" s="30" t="s">
        <v>459</v>
      </c>
      <c r="S9" s="63" t="s">
        <v>10</v>
      </c>
      <c r="T9" s="30" t="str">
        <f t="shared" si="4"/>
        <v>De Espacialidade</v>
      </c>
      <c r="U9" s="30" t="str">
        <f t="shared" si="5"/>
        <v>Eixos Estruturantes</v>
      </c>
      <c r="V9" s="30" t="str">
        <f t="shared" si="6"/>
        <v>Eixo de Simetria</v>
      </c>
      <c r="W9" s="30" t="s">
        <v>78</v>
      </c>
      <c r="X9" s="45" t="str">
        <f t="shared" si="7"/>
        <v>Key-AMB-9</v>
      </c>
      <c r="Y9" s="30" t="s">
        <v>193</v>
      </c>
      <c r="Z9" s="61" t="s">
        <v>10</v>
      </c>
      <c r="AA9" s="41" t="s">
        <v>168</v>
      </c>
      <c r="AB9" s="61" t="s">
        <v>10</v>
      </c>
      <c r="AC9" s="56" t="s">
        <v>10</v>
      </c>
      <c r="AD9" s="61" t="s">
        <v>10</v>
      </c>
    </row>
    <row r="10" spans="1:30" s="34" customFormat="1" ht="6.75" customHeight="1" x14ac:dyDescent="0.25">
      <c r="A10" s="49">
        <v>10</v>
      </c>
      <c r="B10" s="27" t="s">
        <v>408</v>
      </c>
      <c r="C10" s="27" t="s">
        <v>413</v>
      </c>
      <c r="D10" s="27" t="s">
        <v>414</v>
      </c>
      <c r="E10" s="27" t="s">
        <v>416</v>
      </c>
      <c r="F10" s="28" t="s">
        <v>375</v>
      </c>
      <c r="G10" s="44" t="s">
        <v>10</v>
      </c>
      <c r="H10" s="44" t="s">
        <v>10</v>
      </c>
      <c r="I10" s="44" t="s">
        <v>10</v>
      </c>
      <c r="J10" s="44" t="s">
        <v>10</v>
      </c>
      <c r="K10" s="44" t="s">
        <v>10</v>
      </c>
      <c r="L10" s="29" t="str">
        <f t="shared" ref="L10:M20" si="8">CONCATENATE("", C10)</f>
        <v>De.Espacialidade</v>
      </c>
      <c r="M10" s="29" t="str">
        <f t="shared" si="8"/>
        <v>Planos.Horizontais</v>
      </c>
      <c r="N10" s="29" t="str">
        <f t="shared" ref="N10:O20" si="9">(SUBSTITUTE(SUBSTITUTE(CONCATENATE("",E10),"."," ")," De "," de "))</f>
        <v>Plano de Andar</v>
      </c>
      <c r="O10" s="29" t="str">
        <f t="shared" si="9"/>
        <v>Andar</v>
      </c>
      <c r="P10" s="30" t="s">
        <v>376</v>
      </c>
      <c r="Q10" s="30" t="s">
        <v>638</v>
      </c>
      <c r="R10" s="30" t="s">
        <v>460</v>
      </c>
      <c r="S10" s="63" t="s">
        <v>10</v>
      </c>
      <c r="T10" s="30" t="str">
        <f t="shared" ref="T10:V20" si="10">SUBSTITUTE(C10, ".", " ")</f>
        <v>De Espacialidade</v>
      </c>
      <c r="U10" s="30" t="str">
        <f t="shared" si="10"/>
        <v>Planos Horizontais</v>
      </c>
      <c r="V10" s="30" t="str">
        <f t="shared" si="10"/>
        <v>Plano de Andar</v>
      </c>
      <c r="W10" s="30" t="s">
        <v>78</v>
      </c>
      <c r="X10" s="45" t="str">
        <f t="shared" ref="X10:X75" si="11">CONCATENATE("Key-AMB-",A10)</f>
        <v>Key-AMB-10</v>
      </c>
      <c r="Y10" s="30" t="s">
        <v>440</v>
      </c>
      <c r="Z10" s="61" t="s">
        <v>10</v>
      </c>
      <c r="AA10" s="41" t="s">
        <v>167</v>
      </c>
      <c r="AB10" s="61" t="s">
        <v>10</v>
      </c>
      <c r="AC10" s="56" t="s">
        <v>201</v>
      </c>
      <c r="AD10" s="61" t="s">
        <v>10</v>
      </c>
    </row>
    <row r="11" spans="1:30" s="34" customFormat="1" ht="6.75" customHeight="1" x14ac:dyDescent="0.25">
      <c r="A11" s="49">
        <v>11</v>
      </c>
      <c r="B11" s="27" t="s">
        <v>408</v>
      </c>
      <c r="C11" s="27" t="s">
        <v>413</v>
      </c>
      <c r="D11" s="27" t="s">
        <v>414</v>
      </c>
      <c r="E11" s="27" t="s">
        <v>416</v>
      </c>
      <c r="F11" s="28" t="s">
        <v>76</v>
      </c>
      <c r="G11" s="44" t="s">
        <v>10</v>
      </c>
      <c r="H11" s="44" t="s">
        <v>10</v>
      </c>
      <c r="I11" s="44" t="s">
        <v>10</v>
      </c>
      <c r="J11" s="44" t="s">
        <v>10</v>
      </c>
      <c r="K11" s="44" t="s">
        <v>10</v>
      </c>
      <c r="L11" s="29" t="str">
        <f t="shared" si="8"/>
        <v>De.Espacialidade</v>
      </c>
      <c r="M11" s="29" t="str">
        <f t="shared" si="8"/>
        <v>Planos.Horizontais</v>
      </c>
      <c r="N11" s="29" t="str">
        <f t="shared" si="9"/>
        <v>Plano de Andar</v>
      </c>
      <c r="O11" s="29" t="str">
        <f t="shared" si="9"/>
        <v>Andar Cobertura</v>
      </c>
      <c r="P11" s="30" t="s">
        <v>77</v>
      </c>
      <c r="Q11" s="30" t="s">
        <v>638</v>
      </c>
      <c r="R11" s="30" t="s">
        <v>461</v>
      </c>
      <c r="S11" s="63" t="s">
        <v>10</v>
      </c>
      <c r="T11" s="30" t="str">
        <f t="shared" si="10"/>
        <v>De Espacialidade</v>
      </c>
      <c r="U11" s="30" t="str">
        <f t="shared" si="10"/>
        <v>Planos Horizontais</v>
      </c>
      <c r="V11" s="30" t="str">
        <f t="shared" si="10"/>
        <v>Plano de Andar</v>
      </c>
      <c r="W11" s="30" t="s">
        <v>78</v>
      </c>
      <c r="X11" s="45" t="str">
        <f t="shared" si="11"/>
        <v>Key-AMB-11</v>
      </c>
      <c r="Y11" s="30" t="s">
        <v>440</v>
      </c>
      <c r="Z11" s="61" t="s">
        <v>10</v>
      </c>
      <c r="AA11" s="41" t="s">
        <v>167</v>
      </c>
      <c r="AB11" s="61" t="s">
        <v>10</v>
      </c>
      <c r="AC11" s="56" t="s">
        <v>201</v>
      </c>
      <c r="AD11" s="61" t="s">
        <v>10</v>
      </c>
    </row>
    <row r="12" spans="1:30" s="34" customFormat="1" ht="6.75" customHeight="1" x14ac:dyDescent="0.25">
      <c r="A12" s="49">
        <v>12</v>
      </c>
      <c r="B12" s="27" t="s">
        <v>408</v>
      </c>
      <c r="C12" s="27" t="s">
        <v>413</v>
      </c>
      <c r="D12" s="27" t="s">
        <v>414</v>
      </c>
      <c r="E12" s="27" t="s">
        <v>416</v>
      </c>
      <c r="F12" s="28" t="s">
        <v>79</v>
      </c>
      <c r="G12" s="44" t="s">
        <v>10</v>
      </c>
      <c r="H12" s="44" t="s">
        <v>10</v>
      </c>
      <c r="I12" s="44" t="s">
        <v>10</v>
      </c>
      <c r="J12" s="44" t="s">
        <v>10</v>
      </c>
      <c r="K12" s="44" t="s">
        <v>10</v>
      </c>
      <c r="L12" s="29" t="str">
        <f t="shared" si="8"/>
        <v>De.Espacialidade</v>
      </c>
      <c r="M12" s="29" t="str">
        <f t="shared" si="8"/>
        <v>Planos.Horizontais</v>
      </c>
      <c r="N12" s="29" t="str">
        <f t="shared" si="9"/>
        <v>Plano de Andar</v>
      </c>
      <c r="O12" s="29" t="str">
        <f t="shared" si="9"/>
        <v>Andar Tipo</v>
      </c>
      <c r="P12" s="30" t="s">
        <v>80</v>
      </c>
      <c r="Q12" s="30" t="s">
        <v>639</v>
      </c>
      <c r="R12" s="30" t="s">
        <v>462</v>
      </c>
      <c r="S12" s="63" t="s">
        <v>10</v>
      </c>
      <c r="T12" s="30" t="str">
        <f t="shared" si="10"/>
        <v>De Espacialidade</v>
      </c>
      <c r="U12" s="30" t="str">
        <f t="shared" si="10"/>
        <v>Planos Horizontais</v>
      </c>
      <c r="V12" s="30" t="str">
        <f t="shared" si="10"/>
        <v>Plano de Andar</v>
      </c>
      <c r="W12" s="30" t="s">
        <v>78</v>
      </c>
      <c r="X12" s="45" t="str">
        <f t="shared" si="11"/>
        <v>Key-AMB-12</v>
      </c>
      <c r="Y12" s="30" t="s">
        <v>440</v>
      </c>
      <c r="Z12" s="61" t="s">
        <v>10</v>
      </c>
      <c r="AA12" s="41" t="s">
        <v>167</v>
      </c>
      <c r="AB12" s="61" t="s">
        <v>10</v>
      </c>
      <c r="AC12" s="56" t="s">
        <v>201</v>
      </c>
      <c r="AD12" s="61" t="s">
        <v>10</v>
      </c>
    </row>
    <row r="13" spans="1:30" s="34" customFormat="1" ht="6.75" customHeight="1" x14ac:dyDescent="0.25">
      <c r="A13" s="49">
        <v>13</v>
      </c>
      <c r="B13" s="27" t="s">
        <v>408</v>
      </c>
      <c r="C13" s="27" t="s">
        <v>413</v>
      </c>
      <c r="D13" s="27" t="s">
        <v>414</v>
      </c>
      <c r="E13" s="27" t="s">
        <v>416</v>
      </c>
      <c r="F13" s="28" t="s">
        <v>81</v>
      </c>
      <c r="G13" s="44" t="s">
        <v>10</v>
      </c>
      <c r="H13" s="44" t="s">
        <v>10</v>
      </c>
      <c r="I13" s="44" t="s">
        <v>10</v>
      </c>
      <c r="J13" s="44" t="s">
        <v>10</v>
      </c>
      <c r="K13" s="44" t="s">
        <v>10</v>
      </c>
      <c r="L13" s="29" t="str">
        <f t="shared" si="8"/>
        <v>De.Espacialidade</v>
      </c>
      <c r="M13" s="29" t="str">
        <f t="shared" si="8"/>
        <v>Planos.Horizontais</v>
      </c>
      <c r="N13" s="29" t="str">
        <f t="shared" si="9"/>
        <v>Plano de Andar</v>
      </c>
      <c r="O13" s="29" t="str">
        <f t="shared" si="9"/>
        <v>Andar Customizado</v>
      </c>
      <c r="P13" s="30" t="s">
        <v>82</v>
      </c>
      <c r="Q13" s="30" t="s">
        <v>640</v>
      </c>
      <c r="R13" s="30" t="s">
        <v>463</v>
      </c>
      <c r="S13" s="63" t="s">
        <v>10</v>
      </c>
      <c r="T13" s="30" t="str">
        <f t="shared" si="10"/>
        <v>De Espacialidade</v>
      </c>
      <c r="U13" s="30" t="str">
        <f t="shared" si="10"/>
        <v>Planos Horizontais</v>
      </c>
      <c r="V13" s="30" t="str">
        <f t="shared" si="10"/>
        <v>Plano de Andar</v>
      </c>
      <c r="W13" s="30" t="s">
        <v>78</v>
      </c>
      <c r="X13" s="45" t="str">
        <f t="shared" si="11"/>
        <v>Key-AMB-13</v>
      </c>
      <c r="Y13" s="30" t="s">
        <v>440</v>
      </c>
      <c r="Z13" s="61" t="s">
        <v>10</v>
      </c>
      <c r="AA13" s="41" t="s">
        <v>167</v>
      </c>
      <c r="AB13" s="61" t="s">
        <v>10</v>
      </c>
      <c r="AC13" s="56" t="s">
        <v>201</v>
      </c>
      <c r="AD13" s="61" t="s">
        <v>10</v>
      </c>
    </row>
    <row r="14" spans="1:30" s="34" customFormat="1" ht="6.75" customHeight="1" x14ac:dyDescent="0.25">
      <c r="A14" s="49">
        <v>14</v>
      </c>
      <c r="B14" s="27" t="s">
        <v>408</v>
      </c>
      <c r="C14" s="27" t="s">
        <v>413</v>
      </c>
      <c r="D14" s="27" t="s">
        <v>414</v>
      </c>
      <c r="E14" s="27" t="s">
        <v>416</v>
      </c>
      <c r="F14" s="28" t="s">
        <v>83</v>
      </c>
      <c r="G14" s="44" t="s">
        <v>10</v>
      </c>
      <c r="H14" s="44" t="s">
        <v>10</v>
      </c>
      <c r="I14" s="44" t="s">
        <v>10</v>
      </c>
      <c r="J14" s="44" t="s">
        <v>10</v>
      </c>
      <c r="K14" s="44" t="s">
        <v>10</v>
      </c>
      <c r="L14" s="29" t="str">
        <f t="shared" si="8"/>
        <v>De.Espacialidade</v>
      </c>
      <c r="M14" s="29" t="str">
        <f t="shared" si="8"/>
        <v>Planos.Horizontais</v>
      </c>
      <c r="N14" s="29" t="str">
        <f t="shared" si="9"/>
        <v>Plano de Andar</v>
      </c>
      <c r="O14" s="29" t="str">
        <f t="shared" si="9"/>
        <v>Andar Variável</v>
      </c>
      <c r="P14" s="30" t="s">
        <v>84</v>
      </c>
      <c r="Q14" s="30" t="s">
        <v>641</v>
      </c>
      <c r="R14" s="30" t="s">
        <v>464</v>
      </c>
      <c r="S14" s="63" t="s">
        <v>10</v>
      </c>
      <c r="T14" s="30" t="str">
        <f t="shared" si="10"/>
        <v>De Espacialidade</v>
      </c>
      <c r="U14" s="30" t="str">
        <f t="shared" si="10"/>
        <v>Planos Horizontais</v>
      </c>
      <c r="V14" s="30" t="str">
        <f t="shared" si="10"/>
        <v>Plano de Andar</v>
      </c>
      <c r="W14" s="30" t="s">
        <v>78</v>
      </c>
      <c r="X14" s="45" t="str">
        <f t="shared" si="11"/>
        <v>Key-AMB-14</v>
      </c>
      <c r="Y14" s="30" t="s">
        <v>440</v>
      </c>
      <c r="Z14" s="61" t="s">
        <v>10</v>
      </c>
      <c r="AA14" s="41" t="s">
        <v>167</v>
      </c>
      <c r="AB14" s="61" t="s">
        <v>10</v>
      </c>
      <c r="AC14" s="56" t="s">
        <v>201</v>
      </c>
      <c r="AD14" s="61" t="s">
        <v>10</v>
      </c>
    </row>
    <row r="15" spans="1:30" s="34" customFormat="1" ht="6.75" customHeight="1" x14ac:dyDescent="0.25">
      <c r="A15" s="49">
        <v>15</v>
      </c>
      <c r="B15" s="27" t="s">
        <v>408</v>
      </c>
      <c r="C15" s="27" t="s">
        <v>413</v>
      </c>
      <c r="D15" s="27" t="s">
        <v>414</v>
      </c>
      <c r="E15" s="27" t="s">
        <v>416</v>
      </c>
      <c r="F15" s="28" t="s">
        <v>85</v>
      </c>
      <c r="G15" s="44" t="s">
        <v>10</v>
      </c>
      <c r="H15" s="44" t="s">
        <v>10</v>
      </c>
      <c r="I15" s="44" t="s">
        <v>10</v>
      </c>
      <c r="J15" s="44" t="s">
        <v>10</v>
      </c>
      <c r="K15" s="44" t="s">
        <v>10</v>
      </c>
      <c r="L15" s="29" t="str">
        <f t="shared" si="8"/>
        <v>De.Espacialidade</v>
      </c>
      <c r="M15" s="29" t="str">
        <f t="shared" si="8"/>
        <v>Planos.Horizontais</v>
      </c>
      <c r="N15" s="29" t="str">
        <f t="shared" si="9"/>
        <v>Plano de Andar</v>
      </c>
      <c r="O15" s="29" t="str">
        <f t="shared" si="9"/>
        <v>Andar Palco</v>
      </c>
      <c r="P15" s="30" t="s">
        <v>86</v>
      </c>
      <c r="Q15" s="30" t="s">
        <v>642</v>
      </c>
      <c r="R15" s="30" t="s">
        <v>465</v>
      </c>
      <c r="S15" s="63" t="s">
        <v>10</v>
      </c>
      <c r="T15" s="30" t="str">
        <f t="shared" si="10"/>
        <v>De Espacialidade</v>
      </c>
      <c r="U15" s="30" t="str">
        <f t="shared" si="10"/>
        <v>Planos Horizontais</v>
      </c>
      <c r="V15" s="30" t="str">
        <f t="shared" si="10"/>
        <v>Plano de Andar</v>
      </c>
      <c r="W15" s="30" t="s">
        <v>78</v>
      </c>
      <c r="X15" s="45" t="str">
        <f t="shared" si="11"/>
        <v>Key-AMB-15</v>
      </c>
      <c r="Y15" s="30" t="s">
        <v>440</v>
      </c>
      <c r="Z15" s="61" t="s">
        <v>10</v>
      </c>
      <c r="AA15" s="41" t="s">
        <v>167</v>
      </c>
      <c r="AB15" s="61" t="s">
        <v>10</v>
      </c>
      <c r="AC15" s="56" t="s">
        <v>201</v>
      </c>
      <c r="AD15" s="61" t="s">
        <v>10</v>
      </c>
    </row>
    <row r="16" spans="1:30" s="34" customFormat="1" ht="6.75" customHeight="1" x14ac:dyDescent="0.25">
      <c r="A16" s="49">
        <v>16</v>
      </c>
      <c r="B16" s="27" t="s">
        <v>408</v>
      </c>
      <c r="C16" s="27" t="s">
        <v>413</v>
      </c>
      <c r="D16" s="27" t="s">
        <v>414</v>
      </c>
      <c r="E16" s="27" t="s">
        <v>416</v>
      </c>
      <c r="F16" s="28" t="s">
        <v>87</v>
      </c>
      <c r="G16" s="44" t="s">
        <v>10</v>
      </c>
      <c r="H16" s="44" t="s">
        <v>10</v>
      </c>
      <c r="I16" s="44" t="s">
        <v>10</v>
      </c>
      <c r="J16" s="44" t="s">
        <v>10</v>
      </c>
      <c r="K16" s="44" t="s">
        <v>10</v>
      </c>
      <c r="L16" s="29" t="str">
        <f t="shared" si="8"/>
        <v>De.Espacialidade</v>
      </c>
      <c r="M16" s="29" t="str">
        <f t="shared" si="8"/>
        <v>Planos.Horizontais</v>
      </c>
      <c r="N16" s="29" t="str">
        <f t="shared" si="9"/>
        <v>Plano de Andar</v>
      </c>
      <c r="O16" s="29" t="str">
        <f t="shared" si="9"/>
        <v>Andar Especial</v>
      </c>
      <c r="P16" s="30" t="s">
        <v>88</v>
      </c>
      <c r="Q16" s="30" t="s">
        <v>643</v>
      </c>
      <c r="R16" s="30" t="s">
        <v>466</v>
      </c>
      <c r="S16" s="63" t="s">
        <v>10</v>
      </c>
      <c r="T16" s="30" t="str">
        <f t="shared" si="10"/>
        <v>De Espacialidade</v>
      </c>
      <c r="U16" s="30" t="str">
        <f t="shared" si="10"/>
        <v>Planos Horizontais</v>
      </c>
      <c r="V16" s="30" t="str">
        <f t="shared" si="10"/>
        <v>Plano de Andar</v>
      </c>
      <c r="W16" s="30" t="s">
        <v>78</v>
      </c>
      <c r="X16" s="45" t="str">
        <f t="shared" si="11"/>
        <v>Key-AMB-16</v>
      </c>
      <c r="Y16" s="30" t="s">
        <v>440</v>
      </c>
      <c r="Z16" s="61" t="s">
        <v>10</v>
      </c>
      <c r="AA16" s="41" t="s">
        <v>167</v>
      </c>
      <c r="AB16" s="61" t="s">
        <v>10</v>
      </c>
      <c r="AC16" s="56" t="s">
        <v>201</v>
      </c>
      <c r="AD16" s="61" t="s">
        <v>10</v>
      </c>
    </row>
    <row r="17" spans="1:30" s="34" customFormat="1" ht="6.75" customHeight="1" x14ac:dyDescent="0.25">
      <c r="A17" s="49">
        <v>17</v>
      </c>
      <c r="B17" s="27" t="s">
        <v>408</v>
      </c>
      <c r="C17" s="27" t="s">
        <v>413</v>
      </c>
      <c r="D17" s="27" t="s">
        <v>414</v>
      </c>
      <c r="E17" s="27" t="s">
        <v>416</v>
      </c>
      <c r="F17" s="28" t="s">
        <v>89</v>
      </c>
      <c r="G17" s="44" t="s">
        <v>10</v>
      </c>
      <c r="H17" s="44" t="s">
        <v>10</v>
      </c>
      <c r="I17" s="44" t="s">
        <v>10</v>
      </c>
      <c r="J17" s="44" t="s">
        <v>10</v>
      </c>
      <c r="K17" s="44" t="s">
        <v>10</v>
      </c>
      <c r="L17" s="29" t="str">
        <f t="shared" si="8"/>
        <v>De.Espacialidade</v>
      </c>
      <c r="M17" s="29" t="str">
        <f t="shared" si="8"/>
        <v>Planos.Horizontais</v>
      </c>
      <c r="N17" s="29" t="str">
        <f t="shared" si="9"/>
        <v>Plano de Andar</v>
      </c>
      <c r="O17" s="29" t="str">
        <f t="shared" si="9"/>
        <v>Andar Técnico</v>
      </c>
      <c r="P17" s="30" t="s">
        <v>90</v>
      </c>
      <c r="Q17" s="30" t="s">
        <v>644</v>
      </c>
      <c r="R17" s="30" t="s">
        <v>467</v>
      </c>
      <c r="S17" s="63" t="s">
        <v>10</v>
      </c>
      <c r="T17" s="30" t="str">
        <f t="shared" si="10"/>
        <v>De Espacialidade</v>
      </c>
      <c r="U17" s="30" t="str">
        <f t="shared" si="10"/>
        <v>Planos Horizontais</v>
      </c>
      <c r="V17" s="30" t="str">
        <f t="shared" si="10"/>
        <v>Plano de Andar</v>
      </c>
      <c r="W17" s="30" t="s">
        <v>78</v>
      </c>
      <c r="X17" s="45" t="str">
        <f t="shared" si="11"/>
        <v>Key-AMB-17</v>
      </c>
      <c r="Y17" s="30" t="s">
        <v>440</v>
      </c>
      <c r="Z17" s="61" t="s">
        <v>10</v>
      </c>
      <c r="AA17" s="41" t="s">
        <v>167</v>
      </c>
      <c r="AB17" s="61" t="s">
        <v>10</v>
      </c>
      <c r="AC17" s="56" t="s">
        <v>201</v>
      </c>
      <c r="AD17" s="61" t="s">
        <v>10</v>
      </c>
    </row>
    <row r="18" spans="1:30" s="34" customFormat="1" ht="6.75" customHeight="1" x14ac:dyDescent="0.25">
      <c r="A18" s="49">
        <v>18</v>
      </c>
      <c r="B18" s="27" t="s">
        <v>408</v>
      </c>
      <c r="C18" s="27" t="s">
        <v>413</v>
      </c>
      <c r="D18" s="27" t="s">
        <v>414</v>
      </c>
      <c r="E18" s="27" t="s">
        <v>416</v>
      </c>
      <c r="F18" s="28" t="s">
        <v>91</v>
      </c>
      <c r="G18" s="44" t="s">
        <v>10</v>
      </c>
      <c r="H18" s="44" t="s">
        <v>10</v>
      </c>
      <c r="I18" s="44" t="s">
        <v>10</v>
      </c>
      <c r="J18" s="44" t="s">
        <v>10</v>
      </c>
      <c r="K18" s="44" t="s">
        <v>10</v>
      </c>
      <c r="L18" s="29" t="str">
        <f t="shared" si="8"/>
        <v>De.Espacialidade</v>
      </c>
      <c r="M18" s="29" t="str">
        <f t="shared" si="8"/>
        <v>Planos.Horizontais</v>
      </c>
      <c r="N18" s="29" t="str">
        <f t="shared" si="9"/>
        <v>Plano de Andar</v>
      </c>
      <c r="O18" s="29" t="str">
        <f t="shared" si="9"/>
        <v>Andar Mezanino</v>
      </c>
      <c r="P18" s="30" t="s">
        <v>92</v>
      </c>
      <c r="Q18" s="30" t="s">
        <v>645</v>
      </c>
      <c r="R18" s="30" t="s">
        <v>468</v>
      </c>
      <c r="S18" s="63" t="s">
        <v>10</v>
      </c>
      <c r="T18" s="30" t="str">
        <f t="shared" si="10"/>
        <v>De Espacialidade</v>
      </c>
      <c r="U18" s="30" t="str">
        <f t="shared" si="10"/>
        <v>Planos Horizontais</v>
      </c>
      <c r="V18" s="30" t="str">
        <f t="shared" si="10"/>
        <v>Plano de Andar</v>
      </c>
      <c r="W18" s="30" t="s">
        <v>78</v>
      </c>
      <c r="X18" s="45" t="str">
        <f t="shared" si="11"/>
        <v>Key-AMB-18</v>
      </c>
      <c r="Y18" s="30" t="s">
        <v>440</v>
      </c>
      <c r="Z18" s="61" t="s">
        <v>10</v>
      </c>
      <c r="AA18" s="41" t="s">
        <v>167</v>
      </c>
      <c r="AB18" s="61" t="s">
        <v>10</v>
      </c>
      <c r="AC18" s="56" t="s">
        <v>201</v>
      </c>
      <c r="AD18" s="61" t="s">
        <v>10</v>
      </c>
    </row>
    <row r="19" spans="1:30" s="34" customFormat="1" ht="6.75" customHeight="1" x14ac:dyDescent="0.25">
      <c r="A19" s="49">
        <v>19</v>
      </c>
      <c r="B19" s="27" t="s">
        <v>408</v>
      </c>
      <c r="C19" s="27" t="s">
        <v>413</v>
      </c>
      <c r="D19" s="27" t="s">
        <v>414</v>
      </c>
      <c r="E19" s="27" t="s">
        <v>416</v>
      </c>
      <c r="F19" s="28" t="s">
        <v>93</v>
      </c>
      <c r="G19" s="44" t="s">
        <v>10</v>
      </c>
      <c r="H19" s="44" t="s">
        <v>10</v>
      </c>
      <c r="I19" s="44" t="s">
        <v>10</v>
      </c>
      <c r="J19" s="44" t="s">
        <v>10</v>
      </c>
      <c r="K19" s="44" t="s">
        <v>10</v>
      </c>
      <c r="L19" s="29" t="str">
        <f t="shared" si="8"/>
        <v>De.Espacialidade</v>
      </c>
      <c r="M19" s="29" t="str">
        <f t="shared" si="8"/>
        <v>Planos.Horizontais</v>
      </c>
      <c r="N19" s="29" t="str">
        <f t="shared" si="9"/>
        <v>Plano de Andar</v>
      </c>
      <c r="O19" s="29" t="str">
        <f t="shared" si="9"/>
        <v>Andar Acesso</v>
      </c>
      <c r="P19" s="30" t="s">
        <v>94</v>
      </c>
      <c r="Q19" s="30" t="s">
        <v>646</v>
      </c>
      <c r="R19" s="30" t="s">
        <v>469</v>
      </c>
      <c r="S19" s="63" t="s">
        <v>10</v>
      </c>
      <c r="T19" s="30" t="str">
        <f t="shared" si="10"/>
        <v>De Espacialidade</v>
      </c>
      <c r="U19" s="30" t="str">
        <f t="shared" si="10"/>
        <v>Planos Horizontais</v>
      </c>
      <c r="V19" s="30" t="str">
        <f t="shared" si="10"/>
        <v>Plano de Andar</v>
      </c>
      <c r="W19" s="30" t="s">
        <v>78</v>
      </c>
      <c r="X19" s="45" t="str">
        <f t="shared" si="11"/>
        <v>Key-AMB-19</v>
      </c>
      <c r="Y19" s="30" t="s">
        <v>440</v>
      </c>
      <c r="Z19" s="61" t="s">
        <v>10</v>
      </c>
      <c r="AA19" s="41" t="s">
        <v>167</v>
      </c>
      <c r="AB19" s="61" t="s">
        <v>10</v>
      </c>
      <c r="AC19" s="56" t="s">
        <v>201</v>
      </c>
      <c r="AD19" s="61" t="s">
        <v>10</v>
      </c>
    </row>
    <row r="20" spans="1:30" s="34" customFormat="1" ht="6.75" customHeight="1" x14ac:dyDescent="0.25">
      <c r="A20" s="49">
        <v>20</v>
      </c>
      <c r="B20" s="27" t="s">
        <v>408</v>
      </c>
      <c r="C20" s="27" t="s">
        <v>413</v>
      </c>
      <c r="D20" s="27" t="s">
        <v>414</v>
      </c>
      <c r="E20" s="27" t="s">
        <v>416</v>
      </c>
      <c r="F20" s="28" t="s">
        <v>95</v>
      </c>
      <c r="G20" s="44" t="s">
        <v>10</v>
      </c>
      <c r="H20" s="44" t="s">
        <v>10</v>
      </c>
      <c r="I20" s="44" t="s">
        <v>10</v>
      </c>
      <c r="J20" s="44" t="s">
        <v>10</v>
      </c>
      <c r="K20" s="44" t="s">
        <v>10</v>
      </c>
      <c r="L20" s="29" t="str">
        <f t="shared" si="8"/>
        <v>De.Espacialidade</v>
      </c>
      <c r="M20" s="29" t="str">
        <f t="shared" si="8"/>
        <v>Planos.Horizontais</v>
      </c>
      <c r="N20" s="29" t="str">
        <f t="shared" si="9"/>
        <v>Plano de Andar</v>
      </c>
      <c r="O20" s="29" t="str">
        <f t="shared" si="9"/>
        <v>Andar Subsolo</v>
      </c>
      <c r="P20" s="30" t="s">
        <v>96</v>
      </c>
      <c r="Q20" s="30" t="s">
        <v>647</v>
      </c>
      <c r="R20" s="30" t="s">
        <v>470</v>
      </c>
      <c r="S20" s="63" t="s">
        <v>10</v>
      </c>
      <c r="T20" s="30" t="str">
        <f t="shared" si="10"/>
        <v>De Espacialidade</v>
      </c>
      <c r="U20" s="30" t="str">
        <f t="shared" si="10"/>
        <v>Planos Horizontais</v>
      </c>
      <c r="V20" s="30" t="str">
        <f t="shared" si="10"/>
        <v>Plano de Andar</v>
      </c>
      <c r="W20" s="30" t="s">
        <v>78</v>
      </c>
      <c r="X20" s="45" t="str">
        <f t="shared" si="11"/>
        <v>Key-AMB-20</v>
      </c>
      <c r="Y20" s="30" t="s">
        <v>440</v>
      </c>
      <c r="Z20" s="61" t="s">
        <v>10</v>
      </c>
      <c r="AA20" s="41" t="s">
        <v>167</v>
      </c>
      <c r="AB20" s="61" t="s">
        <v>10</v>
      </c>
      <c r="AC20" s="56" t="s">
        <v>201</v>
      </c>
      <c r="AD20" s="61" t="s">
        <v>10</v>
      </c>
    </row>
    <row r="21" spans="1:30" s="34" customFormat="1" ht="6.75" customHeight="1" x14ac:dyDescent="0.25">
      <c r="A21" s="49">
        <v>21</v>
      </c>
      <c r="B21" s="27" t="s">
        <v>408</v>
      </c>
      <c r="C21" s="27" t="s">
        <v>413</v>
      </c>
      <c r="D21" s="27" t="s">
        <v>414</v>
      </c>
      <c r="E21" s="27" t="s">
        <v>416</v>
      </c>
      <c r="F21" s="28" t="s">
        <v>227</v>
      </c>
      <c r="G21" s="44" t="s">
        <v>10</v>
      </c>
      <c r="H21" s="44" t="s">
        <v>10</v>
      </c>
      <c r="I21" s="44" t="s">
        <v>10</v>
      </c>
      <c r="J21" s="44" t="s">
        <v>10</v>
      </c>
      <c r="K21" s="44" t="s">
        <v>10</v>
      </c>
      <c r="L21" s="29" t="str">
        <f t="shared" ref="L21:M82" si="12">CONCATENATE("", C21)</f>
        <v>De.Espacialidade</v>
      </c>
      <c r="M21" s="29" t="str">
        <f t="shared" si="12"/>
        <v>Planos.Horizontais</v>
      </c>
      <c r="N21" s="29" t="str">
        <f t="shared" ref="N21:O34" si="13">(SUBSTITUTE(SUBSTITUTE(CONCATENATE("",E21),"."," ")," De "," de "))</f>
        <v>Plano de Andar</v>
      </c>
      <c r="O21" s="29" t="str">
        <f t="shared" si="13"/>
        <v>Símbolo de Andar</v>
      </c>
      <c r="P21" s="30" t="s">
        <v>449</v>
      </c>
      <c r="Q21" s="30" t="s">
        <v>648</v>
      </c>
      <c r="R21" s="30" t="s">
        <v>471</v>
      </c>
      <c r="S21" s="63" t="s">
        <v>10</v>
      </c>
      <c r="T21" s="30" t="str">
        <f t="shared" ref="T21:V48" si="14">SUBSTITUTE(C21, ".", " ")</f>
        <v>De Espacialidade</v>
      </c>
      <c r="U21" s="30" t="str">
        <f t="shared" si="14"/>
        <v>Planos Horizontais</v>
      </c>
      <c r="V21" s="30" t="str">
        <f t="shared" si="14"/>
        <v>Plano de Andar</v>
      </c>
      <c r="W21" s="30" t="s">
        <v>78</v>
      </c>
      <c r="X21" s="45" t="str">
        <f t="shared" si="11"/>
        <v>Key-AMB-21</v>
      </c>
      <c r="Y21" s="30" t="s">
        <v>440</v>
      </c>
      <c r="Z21" s="61" t="s">
        <v>10</v>
      </c>
      <c r="AA21" s="30" t="s">
        <v>219</v>
      </c>
      <c r="AB21" s="61" t="s">
        <v>10</v>
      </c>
      <c r="AC21" s="56" t="s">
        <v>201</v>
      </c>
      <c r="AD21" s="61" t="s">
        <v>10</v>
      </c>
    </row>
    <row r="22" spans="1:30" s="34" customFormat="1" ht="6.75" customHeight="1" x14ac:dyDescent="0.25">
      <c r="A22" s="49">
        <v>22</v>
      </c>
      <c r="B22" s="27" t="s">
        <v>408</v>
      </c>
      <c r="C22" s="27" t="s">
        <v>413</v>
      </c>
      <c r="D22" s="27" t="s">
        <v>414</v>
      </c>
      <c r="E22" s="27" t="s">
        <v>417</v>
      </c>
      <c r="F22" s="28" t="s">
        <v>97</v>
      </c>
      <c r="G22" s="44" t="s">
        <v>10</v>
      </c>
      <c r="H22" s="44" t="s">
        <v>10</v>
      </c>
      <c r="I22" s="44" t="s">
        <v>10</v>
      </c>
      <c r="J22" s="44" t="s">
        <v>10</v>
      </c>
      <c r="K22" s="44" t="s">
        <v>10</v>
      </c>
      <c r="L22" s="29" t="str">
        <f t="shared" si="12"/>
        <v>De.Espacialidade</v>
      </c>
      <c r="M22" s="29" t="str">
        <f t="shared" si="12"/>
        <v>Planos.Horizontais</v>
      </c>
      <c r="N22" s="29" t="str">
        <f t="shared" si="13"/>
        <v>Plano de Fundação</v>
      </c>
      <c r="O22" s="29" t="str">
        <f t="shared" si="13"/>
        <v>Plano de Bloco Fundação</v>
      </c>
      <c r="P22" s="30" t="s">
        <v>98</v>
      </c>
      <c r="Q22" s="30" t="s">
        <v>649</v>
      </c>
      <c r="R22" s="30" t="s">
        <v>472</v>
      </c>
      <c r="S22" s="63" t="s">
        <v>10</v>
      </c>
      <c r="T22" s="30" t="str">
        <f t="shared" si="14"/>
        <v>De Espacialidade</v>
      </c>
      <c r="U22" s="30" t="str">
        <f t="shared" si="14"/>
        <v>Planos Horizontais</v>
      </c>
      <c r="V22" s="30" t="str">
        <f t="shared" si="14"/>
        <v>Plano de Fundação</v>
      </c>
      <c r="W22" s="30" t="s">
        <v>78</v>
      </c>
      <c r="X22" s="45" t="str">
        <f t="shared" si="11"/>
        <v>Key-AMB-22</v>
      </c>
      <c r="Y22" s="30" t="s">
        <v>440</v>
      </c>
      <c r="Z22" s="61" t="s">
        <v>10</v>
      </c>
      <c r="AA22" s="41" t="s">
        <v>167</v>
      </c>
      <c r="AB22" s="61" t="s">
        <v>10</v>
      </c>
      <c r="AC22" s="56" t="s">
        <v>201</v>
      </c>
      <c r="AD22" s="61" t="s">
        <v>10</v>
      </c>
    </row>
    <row r="23" spans="1:30" s="34" customFormat="1" ht="6.75" customHeight="1" x14ac:dyDescent="0.25">
      <c r="A23" s="49">
        <v>23</v>
      </c>
      <c r="B23" s="27" t="s">
        <v>408</v>
      </c>
      <c r="C23" s="27" t="s">
        <v>413</v>
      </c>
      <c r="D23" s="27" t="s">
        <v>414</v>
      </c>
      <c r="E23" s="27" t="s">
        <v>417</v>
      </c>
      <c r="F23" s="28" t="s">
        <v>99</v>
      </c>
      <c r="G23" s="44" t="s">
        <v>10</v>
      </c>
      <c r="H23" s="44" t="s">
        <v>10</v>
      </c>
      <c r="I23" s="44" t="s">
        <v>10</v>
      </c>
      <c r="J23" s="44" t="s">
        <v>10</v>
      </c>
      <c r="K23" s="44" t="s">
        <v>10</v>
      </c>
      <c r="L23" s="29" t="str">
        <f t="shared" si="12"/>
        <v>De.Espacialidade</v>
      </c>
      <c r="M23" s="29" t="str">
        <f t="shared" si="12"/>
        <v>Planos.Horizontais</v>
      </c>
      <c r="N23" s="29" t="str">
        <f t="shared" si="13"/>
        <v>Plano de Fundação</v>
      </c>
      <c r="O23" s="29" t="str">
        <f t="shared" si="13"/>
        <v>Plano de Estacas</v>
      </c>
      <c r="P23" s="30" t="s">
        <v>100</v>
      </c>
      <c r="Q23" s="30" t="s">
        <v>650</v>
      </c>
      <c r="R23" s="30" t="s">
        <v>473</v>
      </c>
      <c r="S23" s="63" t="s">
        <v>10</v>
      </c>
      <c r="T23" s="30" t="str">
        <f t="shared" si="14"/>
        <v>De Espacialidade</v>
      </c>
      <c r="U23" s="30" t="str">
        <f t="shared" si="14"/>
        <v>Planos Horizontais</v>
      </c>
      <c r="V23" s="30" t="str">
        <f t="shared" si="14"/>
        <v>Plano de Fundação</v>
      </c>
      <c r="W23" s="30" t="s">
        <v>78</v>
      </c>
      <c r="X23" s="45" t="str">
        <f t="shared" si="11"/>
        <v>Key-AMB-23</v>
      </c>
      <c r="Y23" s="30" t="s">
        <v>440</v>
      </c>
      <c r="Z23" s="61" t="s">
        <v>10</v>
      </c>
      <c r="AA23" s="41" t="s">
        <v>167</v>
      </c>
      <c r="AB23" s="61" t="s">
        <v>10</v>
      </c>
      <c r="AC23" s="56" t="s">
        <v>201</v>
      </c>
      <c r="AD23" s="61" t="s">
        <v>10</v>
      </c>
    </row>
    <row r="24" spans="1:30" s="34" customFormat="1" ht="6.75" customHeight="1" x14ac:dyDescent="0.25">
      <c r="A24" s="49">
        <v>24</v>
      </c>
      <c r="B24" s="27" t="s">
        <v>408</v>
      </c>
      <c r="C24" s="27" t="s">
        <v>413</v>
      </c>
      <c r="D24" s="27" t="s">
        <v>414</v>
      </c>
      <c r="E24" s="27" t="s">
        <v>418</v>
      </c>
      <c r="F24" s="28" t="s">
        <v>419</v>
      </c>
      <c r="G24" s="44" t="s">
        <v>10</v>
      </c>
      <c r="H24" s="44" t="s">
        <v>10</v>
      </c>
      <c r="I24" s="44" t="s">
        <v>10</v>
      </c>
      <c r="J24" s="44" t="s">
        <v>10</v>
      </c>
      <c r="K24" s="44" t="s">
        <v>10</v>
      </c>
      <c r="L24" s="29" t="str">
        <f t="shared" si="12"/>
        <v>De.Espacialidade</v>
      </c>
      <c r="M24" s="29" t="str">
        <f t="shared" si="12"/>
        <v>Planos.Horizontais</v>
      </c>
      <c r="N24" s="29" t="str">
        <f t="shared" si="13"/>
        <v>Plano Gabarito</v>
      </c>
      <c r="O24" s="29" t="str">
        <f t="shared" si="13"/>
        <v>Nível Freático</v>
      </c>
      <c r="P24" s="30" t="s">
        <v>368</v>
      </c>
      <c r="Q24" s="30" t="s">
        <v>651</v>
      </c>
      <c r="R24" s="30" t="s">
        <v>474</v>
      </c>
      <c r="S24" s="63" t="s">
        <v>10</v>
      </c>
      <c r="T24" s="30" t="str">
        <f t="shared" si="14"/>
        <v>De Espacialidade</v>
      </c>
      <c r="U24" s="30" t="str">
        <f t="shared" si="14"/>
        <v>Planos Horizontais</v>
      </c>
      <c r="V24" s="30" t="str">
        <f t="shared" si="14"/>
        <v>Plano Gabarito</v>
      </c>
      <c r="W24" s="30" t="s">
        <v>78</v>
      </c>
      <c r="X24" s="45" t="str">
        <f t="shared" si="11"/>
        <v>Key-AMB-24</v>
      </c>
      <c r="Y24" s="30" t="s">
        <v>440</v>
      </c>
      <c r="Z24" s="61" t="s">
        <v>10</v>
      </c>
      <c r="AA24" s="41" t="s">
        <v>167</v>
      </c>
      <c r="AB24" s="61" t="s">
        <v>10</v>
      </c>
      <c r="AC24" s="56" t="s">
        <v>201</v>
      </c>
      <c r="AD24" s="61" t="s">
        <v>10</v>
      </c>
    </row>
    <row r="25" spans="1:30" s="34" customFormat="1" ht="6.75" customHeight="1" x14ac:dyDescent="0.25">
      <c r="A25" s="49">
        <v>25</v>
      </c>
      <c r="B25" s="27" t="s">
        <v>408</v>
      </c>
      <c r="C25" s="27" t="s">
        <v>413</v>
      </c>
      <c r="D25" s="27" t="s">
        <v>414</v>
      </c>
      <c r="E25" s="27" t="s">
        <v>418</v>
      </c>
      <c r="F25" s="28" t="s">
        <v>101</v>
      </c>
      <c r="G25" s="44" t="s">
        <v>10</v>
      </c>
      <c r="H25" s="44" t="s">
        <v>10</v>
      </c>
      <c r="I25" s="44" t="s">
        <v>10</v>
      </c>
      <c r="J25" s="44" t="s">
        <v>10</v>
      </c>
      <c r="K25" s="44" t="s">
        <v>10</v>
      </c>
      <c r="L25" s="29" t="str">
        <f t="shared" si="12"/>
        <v>De.Espacialidade</v>
      </c>
      <c r="M25" s="29" t="str">
        <f t="shared" si="12"/>
        <v>Planos.Horizontais</v>
      </c>
      <c r="N25" s="29" t="str">
        <f t="shared" si="13"/>
        <v>Plano Gabarito</v>
      </c>
      <c r="O25" s="29" t="str">
        <f t="shared" si="13"/>
        <v>Gabarito Subterrâneo</v>
      </c>
      <c r="P25" s="30" t="s">
        <v>369</v>
      </c>
      <c r="Q25" s="30" t="s">
        <v>652</v>
      </c>
      <c r="R25" s="30" t="s">
        <v>475</v>
      </c>
      <c r="S25" s="63" t="s">
        <v>10</v>
      </c>
      <c r="T25" s="30" t="str">
        <f t="shared" si="14"/>
        <v>De Espacialidade</v>
      </c>
      <c r="U25" s="30" t="str">
        <f t="shared" si="14"/>
        <v>Planos Horizontais</v>
      </c>
      <c r="V25" s="30" t="str">
        <f t="shared" si="14"/>
        <v>Plano Gabarito</v>
      </c>
      <c r="W25" s="30" t="s">
        <v>78</v>
      </c>
      <c r="X25" s="45" t="str">
        <f t="shared" si="11"/>
        <v>Key-AMB-25</v>
      </c>
      <c r="Y25" s="30" t="s">
        <v>440</v>
      </c>
      <c r="Z25" s="61" t="s">
        <v>10</v>
      </c>
      <c r="AA25" s="41" t="s">
        <v>167</v>
      </c>
      <c r="AB25" s="61" t="s">
        <v>10</v>
      </c>
      <c r="AC25" s="56" t="s">
        <v>201</v>
      </c>
      <c r="AD25" s="61" t="s">
        <v>10</v>
      </c>
    </row>
    <row r="26" spans="1:30" s="34" customFormat="1" ht="6.75" customHeight="1" x14ac:dyDescent="0.25">
      <c r="A26" s="49">
        <v>26</v>
      </c>
      <c r="B26" s="27" t="s">
        <v>408</v>
      </c>
      <c r="C26" s="27" t="s">
        <v>413</v>
      </c>
      <c r="D26" s="27" t="s">
        <v>414</v>
      </c>
      <c r="E26" s="27" t="s">
        <v>418</v>
      </c>
      <c r="F26" s="28" t="s">
        <v>102</v>
      </c>
      <c r="G26" s="44" t="s">
        <v>10</v>
      </c>
      <c r="H26" s="44" t="s">
        <v>10</v>
      </c>
      <c r="I26" s="44" t="s">
        <v>10</v>
      </c>
      <c r="J26" s="44" t="s">
        <v>10</v>
      </c>
      <c r="K26" s="44" t="s">
        <v>10</v>
      </c>
      <c r="L26" s="29" t="str">
        <f t="shared" si="12"/>
        <v>De.Espacialidade</v>
      </c>
      <c r="M26" s="29" t="str">
        <f t="shared" si="12"/>
        <v>Planos.Horizontais</v>
      </c>
      <c r="N26" s="29" t="str">
        <f t="shared" si="13"/>
        <v>Plano Gabarito</v>
      </c>
      <c r="O26" s="29" t="str">
        <f t="shared" si="13"/>
        <v>Gabarito Aéreo</v>
      </c>
      <c r="P26" s="30" t="s">
        <v>103</v>
      </c>
      <c r="Q26" s="30" t="s">
        <v>653</v>
      </c>
      <c r="R26" s="30" t="s">
        <v>476</v>
      </c>
      <c r="S26" s="63" t="s">
        <v>10</v>
      </c>
      <c r="T26" s="30" t="str">
        <f t="shared" si="14"/>
        <v>De Espacialidade</v>
      </c>
      <c r="U26" s="30" t="str">
        <f t="shared" si="14"/>
        <v>Planos Horizontais</v>
      </c>
      <c r="V26" s="30" t="str">
        <f t="shared" si="14"/>
        <v>Plano Gabarito</v>
      </c>
      <c r="W26" s="30" t="s">
        <v>78</v>
      </c>
      <c r="X26" s="45" t="str">
        <f t="shared" si="11"/>
        <v>Key-AMB-26</v>
      </c>
      <c r="Y26" s="30" t="s">
        <v>440</v>
      </c>
      <c r="Z26" s="61" t="s">
        <v>10</v>
      </c>
      <c r="AA26" s="41" t="s">
        <v>167</v>
      </c>
      <c r="AB26" s="61" t="s">
        <v>10</v>
      </c>
      <c r="AC26" s="56" t="s">
        <v>201</v>
      </c>
      <c r="AD26" s="61" t="s">
        <v>10</v>
      </c>
    </row>
    <row r="27" spans="1:30" s="34" customFormat="1" ht="6.75" customHeight="1" x14ac:dyDescent="0.25">
      <c r="A27" s="49">
        <v>27</v>
      </c>
      <c r="B27" s="27" t="s">
        <v>408</v>
      </c>
      <c r="C27" s="27" t="s">
        <v>413</v>
      </c>
      <c r="D27" s="27" t="s">
        <v>414</v>
      </c>
      <c r="E27" s="27" t="s">
        <v>418</v>
      </c>
      <c r="F27" s="28" t="s">
        <v>104</v>
      </c>
      <c r="G27" s="44" t="s">
        <v>10</v>
      </c>
      <c r="H27" s="44" t="s">
        <v>10</v>
      </c>
      <c r="I27" s="44" t="s">
        <v>10</v>
      </c>
      <c r="J27" s="44" t="s">
        <v>10</v>
      </c>
      <c r="K27" s="44" t="s">
        <v>10</v>
      </c>
      <c r="L27" s="29" t="str">
        <f t="shared" si="12"/>
        <v>De.Espacialidade</v>
      </c>
      <c r="M27" s="29" t="str">
        <f t="shared" si="12"/>
        <v>Planos.Horizontais</v>
      </c>
      <c r="N27" s="29" t="str">
        <f t="shared" si="13"/>
        <v>Plano Gabarito</v>
      </c>
      <c r="O27" s="29" t="str">
        <f t="shared" si="13"/>
        <v>Gabarito Hídrico</v>
      </c>
      <c r="P27" s="30" t="s">
        <v>370</v>
      </c>
      <c r="Q27" s="30" t="s">
        <v>654</v>
      </c>
      <c r="R27" s="30" t="s">
        <v>477</v>
      </c>
      <c r="S27" s="63" t="s">
        <v>10</v>
      </c>
      <c r="T27" s="30" t="str">
        <f t="shared" si="14"/>
        <v>De Espacialidade</v>
      </c>
      <c r="U27" s="30" t="str">
        <f t="shared" si="14"/>
        <v>Planos Horizontais</v>
      </c>
      <c r="V27" s="30" t="str">
        <f t="shared" si="14"/>
        <v>Plano Gabarito</v>
      </c>
      <c r="W27" s="30" t="s">
        <v>78</v>
      </c>
      <c r="X27" s="45" t="str">
        <f t="shared" si="11"/>
        <v>Key-AMB-27</v>
      </c>
      <c r="Y27" s="30" t="s">
        <v>440</v>
      </c>
      <c r="Z27" s="61" t="s">
        <v>10</v>
      </c>
      <c r="AA27" s="41" t="s">
        <v>167</v>
      </c>
      <c r="AB27" s="61" t="s">
        <v>10</v>
      </c>
      <c r="AC27" s="56" t="s">
        <v>201</v>
      </c>
      <c r="AD27" s="61" t="s">
        <v>10</v>
      </c>
    </row>
    <row r="28" spans="1:30" s="34" customFormat="1" ht="6.75" customHeight="1" x14ac:dyDescent="0.25">
      <c r="A28" s="49">
        <v>28</v>
      </c>
      <c r="B28" s="27" t="s">
        <v>408</v>
      </c>
      <c r="C28" s="27" t="s">
        <v>413</v>
      </c>
      <c r="D28" s="27" t="s">
        <v>414</v>
      </c>
      <c r="E28" s="27" t="s">
        <v>418</v>
      </c>
      <c r="F28" s="28" t="s">
        <v>105</v>
      </c>
      <c r="G28" s="44" t="s">
        <v>10</v>
      </c>
      <c r="H28" s="44" t="s">
        <v>10</v>
      </c>
      <c r="I28" s="44" t="s">
        <v>10</v>
      </c>
      <c r="J28" s="44" t="s">
        <v>10</v>
      </c>
      <c r="K28" s="44" t="s">
        <v>10</v>
      </c>
      <c r="L28" s="29" t="str">
        <f t="shared" si="12"/>
        <v>De.Espacialidade</v>
      </c>
      <c r="M28" s="29" t="str">
        <f t="shared" si="12"/>
        <v>Planos.Horizontais</v>
      </c>
      <c r="N28" s="29" t="str">
        <f t="shared" si="13"/>
        <v>Plano Gabarito</v>
      </c>
      <c r="O28" s="29" t="str">
        <f t="shared" si="13"/>
        <v>Gabarito Municipal</v>
      </c>
      <c r="P28" s="30" t="s">
        <v>106</v>
      </c>
      <c r="Q28" s="30" t="s">
        <v>655</v>
      </c>
      <c r="R28" s="30" t="s">
        <v>478</v>
      </c>
      <c r="S28" s="63" t="s">
        <v>10</v>
      </c>
      <c r="T28" s="30" t="str">
        <f t="shared" si="14"/>
        <v>De Espacialidade</v>
      </c>
      <c r="U28" s="30" t="str">
        <f t="shared" si="14"/>
        <v>Planos Horizontais</v>
      </c>
      <c r="V28" s="30" t="str">
        <f t="shared" si="14"/>
        <v>Plano Gabarito</v>
      </c>
      <c r="W28" s="30" t="s">
        <v>78</v>
      </c>
      <c r="X28" s="45" t="str">
        <f t="shared" si="11"/>
        <v>Key-AMB-28</v>
      </c>
      <c r="Y28" s="30" t="s">
        <v>440</v>
      </c>
      <c r="Z28" s="61" t="s">
        <v>10</v>
      </c>
      <c r="AA28" s="41" t="s">
        <v>167</v>
      </c>
      <c r="AB28" s="61" t="s">
        <v>10</v>
      </c>
      <c r="AC28" s="56" t="s">
        <v>201</v>
      </c>
      <c r="AD28" s="61" t="s">
        <v>10</v>
      </c>
    </row>
    <row r="29" spans="1:30" s="34" customFormat="1" ht="6.75" customHeight="1" x14ac:dyDescent="0.25">
      <c r="A29" s="49">
        <v>29</v>
      </c>
      <c r="B29" s="27" t="s">
        <v>408</v>
      </c>
      <c r="C29" s="27" t="s">
        <v>413</v>
      </c>
      <c r="D29" s="27" t="s">
        <v>415</v>
      </c>
      <c r="E29" s="27" t="s">
        <v>420</v>
      </c>
      <c r="F29" s="27" t="s">
        <v>116</v>
      </c>
      <c r="G29" s="44" t="s">
        <v>10</v>
      </c>
      <c r="H29" s="44" t="s">
        <v>10</v>
      </c>
      <c r="I29" s="44" t="s">
        <v>10</v>
      </c>
      <c r="J29" s="44" t="s">
        <v>10</v>
      </c>
      <c r="K29" s="44" t="s">
        <v>10</v>
      </c>
      <c r="L29" s="29" t="str">
        <f t="shared" si="12"/>
        <v>De.Espacialidade</v>
      </c>
      <c r="M29" s="29" t="str">
        <f t="shared" si="12"/>
        <v>Planos.Verticais</v>
      </c>
      <c r="N29" s="29" t="str">
        <f t="shared" si="13"/>
        <v>Elevações</v>
      </c>
      <c r="O29" s="29" t="str">
        <f t="shared" si="13"/>
        <v>Fachada Principal</v>
      </c>
      <c r="P29" s="30" t="s">
        <v>261</v>
      </c>
      <c r="Q29" s="30" t="s">
        <v>656</v>
      </c>
      <c r="R29" s="30" t="s">
        <v>479</v>
      </c>
      <c r="S29" s="63" t="s">
        <v>10</v>
      </c>
      <c r="T29" s="30" t="str">
        <f t="shared" si="14"/>
        <v>De Espacialidade</v>
      </c>
      <c r="U29" s="30" t="str">
        <f t="shared" si="14"/>
        <v>Planos Verticais</v>
      </c>
      <c r="V29" s="30" t="str">
        <f t="shared" si="14"/>
        <v>Elevações</v>
      </c>
      <c r="W29" s="30" t="s">
        <v>78</v>
      </c>
      <c r="X29" s="45" t="str">
        <f t="shared" si="11"/>
        <v>Key-AMB-29</v>
      </c>
      <c r="Y29" s="30" t="s">
        <v>441</v>
      </c>
      <c r="Z29" s="61" t="s">
        <v>10</v>
      </c>
      <c r="AA29" s="30" t="s">
        <v>219</v>
      </c>
      <c r="AB29" s="61" t="s">
        <v>10</v>
      </c>
      <c r="AC29" s="56" t="s">
        <v>10</v>
      </c>
      <c r="AD29" s="61" t="s">
        <v>10</v>
      </c>
    </row>
    <row r="30" spans="1:30" s="34" customFormat="1" ht="6.75" customHeight="1" x14ac:dyDescent="0.25">
      <c r="A30" s="49">
        <v>30</v>
      </c>
      <c r="B30" s="27" t="s">
        <v>408</v>
      </c>
      <c r="C30" s="27" t="s">
        <v>413</v>
      </c>
      <c r="D30" s="27" t="s">
        <v>415</v>
      </c>
      <c r="E30" s="27" t="s">
        <v>420</v>
      </c>
      <c r="F30" s="27" t="s">
        <v>117</v>
      </c>
      <c r="G30" s="44" t="s">
        <v>10</v>
      </c>
      <c r="H30" s="44" t="s">
        <v>10</v>
      </c>
      <c r="I30" s="44" t="s">
        <v>10</v>
      </c>
      <c r="J30" s="44" t="s">
        <v>10</v>
      </c>
      <c r="K30" s="44" t="s">
        <v>10</v>
      </c>
      <c r="L30" s="29" t="str">
        <f t="shared" si="12"/>
        <v>De.Espacialidade</v>
      </c>
      <c r="M30" s="29" t="str">
        <f t="shared" si="12"/>
        <v>Planos.Verticais</v>
      </c>
      <c r="N30" s="29" t="str">
        <f t="shared" si="13"/>
        <v>Elevações</v>
      </c>
      <c r="O30" s="29" t="str">
        <f t="shared" si="13"/>
        <v>Fachada Fundos</v>
      </c>
      <c r="P30" s="30" t="s">
        <v>262</v>
      </c>
      <c r="Q30" s="30" t="s">
        <v>657</v>
      </c>
      <c r="R30" s="30" t="s">
        <v>480</v>
      </c>
      <c r="S30" s="63" t="s">
        <v>10</v>
      </c>
      <c r="T30" s="30" t="str">
        <f t="shared" si="14"/>
        <v>De Espacialidade</v>
      </c>
      <c r="U30" s="30" t="str">
        <f t="shared" si="14"/>
        <v>Planos Verticais</v>
      </c>
      <c r="V30" s="30" t="str">
        <f t="shared" si="14"/>
        <v>Elevações</v>
      </c>
      <c r="W30" s="30" t="s">
        <v>78</v>
      </c>
      <c r="X30" s="45" t="str">
        <f t="shared" si="11"/>
        <v>Key-AMB-30</v>
      </c>
      <c r="Y30" s="30" t="s">
        <v>441</v>
      </c>
      <c r="Z30" s="61" t="s">
        <v>10</v>
      </c>
      <c r="AA30" s="30" t="s">
        <v>219</v>
      </c>
      <c r="AB30" s="61" t="s">
        <v>10</v>
      </c>
      <c r="AC30" s="56" t="s">
        <v>10</v>
      </c>
      <c r="AD30" s="61" t="s">
        <v>10</v>
      </c>
    </row>
    <row r="31" spans="1:30" s="34" customFormat="1" ht="6.75" customHeight="1" x14ac:dyDescent="0.25">
      <c r="A31" s="49">
        <v>31</v>
      </c>
      <c r="B31" s="27" t="s">
        <v>408</v>
      </c>
      <c r="C31" s="27" t="s">
        <v>413</v>
      </c>
      <c r="D31" s="27" t="s">
        <v>415</v>
      </c>
      <c r="E31" s="27" t="s">
        <v>420</v>
      </c>
      <c r="F31" s="27" t="s">
        <v>421</v>
      </c>
      <c r="G31" s="44" t="s">
        <v>10</v>
      </c>
      <c r="H31" s="44" t="s">
        <v>10</v>
      </c>
      <c r="I31" s="44" t="s">
        <v>10</v>
      </c>
      <c r="J31" s="44" t="s">
        <v>10</v>
      </c>
      <c r="K31" s="44" t="s">
        <v>10</v>
      </c>
      <c r="L31" s="29" t="str">
        <f t="shared" si="12"/>
        <v>De.Espacialidade</v>
      </c>
      <c r="M31" s="29" t="str">
        <f t="shared" si="12"/>
        <v>Planos.Verticais</v>
      </c>
      <c r="N31" s="29" t="str">
        <f t="shared" si="13"/>
        <v>Elevações</v>
      </c>
      <c r="O31" s="29" t="str">
        <f t="shared" si="13"/>
        <v>Fachada Lateral Direita</v>
      </c>
      <c r="P31" s="30" t="s">
        <v>263</v>
      </c>
      <c r="Q31" s="30" t="s">
        <v>658</v>
      </c>
      <c r="R31" s="30" t="s">
        <v>481</v>
      </c>
      <c r="S31" s="63" t="s">
        <v>10</v>
      </c>
      <c r="T31" s="30" t="str">
        <f t="shared" si="14"/>
        <v>De Espacialidade</v>
      </c>
      <c r="U31" s="30" t="str">
        <f t="shared" si="14"/>
        <v>Planos Verticais</v>
      </c>
      <c r="V31" s="30" t="str">
        <f t="shared" si="14"/>
        <v>Elevações</v>
      </c>
      <c r="W31" s="30" t="s">
        <v>78</v>
      </c>
      <c r="X31" s="45" t="str">
        <f t="shared" si="11"/>
        <v>Key-AMB-31</v>
      </c>
      <c r="Y31" s="30" t="s">
        <v>441</v>
      </c>
      <c r="Z31" s="61" t="s">
        <v>10</v>
      </c>
      <c r="AA31" s="30" t="s">
        <v>219</v>
      </c>
      <c r="AB31" s="61" t="s">
        <v>10</v>
      </c>
      <c r="AC31" s="56" t="s">
        <v>10</v>
      </c>
      <c r="AD31" s="61" t="s">
        <v>10</v>
      </c>
    </row>
    <row r="32" spans="1:30" s="34" customFormat="1" ht="6.75" customHeight="1" x14ac:dyDescent="0.25">
      <c r="A32" s="49">
        <v>32</v>
      </c>
      <c r="B32" s="27" t="s">
        <v>408</v>
      </c>
      <c r="C32" s="27" t="s">
        <v>413</v>
      </c>
      <c r="D32" s="27" t="s">
        <v>415</v>
      </c>
      <c r="E32" s="27" t="s">
        <v>420</v>
      </c>
      <c r="F32" s="27" t="s">
        <v>260</v>
      </c>
      <c r="G32" s="44" t="s">
        <v>10</v>
      </c>
      <c r="H32" s="44" t="s">
        <v>10</v>
      </c>
      <c r="I32" s="44" t="s">
        <v>10</v>
      </c>
      <c r="J32" s="44" t="s">
        <v>10</v>
      </c>
      <c r="K32" s="44" t="s">
        <v>10</v>
      </c>
      <c r="L32" s="29" t="str">
        <f t="shared" si="12"/>
        <v>De.Espacialidade</v>
      </c>
      <c r="M32" s="29" t="str">
        <f t="shared" si="12"/>
        <v>Planos.Verticais</v>
      </c>
      <c r="N32" s="29" t="str">
        <f t="shared" si="13"/>
        <v>Elevações</v>
      </c>
      <c r="O32" s="29" t="str">
        <f t="shared" si="13"/>
        <v>Fachada Lateral Esquerda</v>
      </c>
      <c r="P32" s="30" t="s">
        <v>264</v>
      </c>
      <c r="Q32" s="30" t="s">
        <v>659</v>
      </c>
      <c r="R32" s="30" t="s">
        <v>482</v>
      </c>
      <c r="S32" s="63" t="s">
        <v>10</v>
      </c>
      <c r="T32" s="30" t="str">
        <f t="shared" si="14"/>
        <v>De Espacialidade</v>
      </c>
      <c r="U32" s="30" t="str">
        <f t="shared" si="14"/>
        <v>Planos Verticais</v>
      </c>
      <c r="V32" s="30" t="str">
        <f t="shared" si="14"/>
        <v>Elevações</v>
      </c>
      <c r="W32" s="30" t="s">
        <v>78</v>
      </c>
      <c r="X32" s="45" t="str">
        <f t="shared" si="11"/>
        <v>Key-AMB-32</v>
      </c>
      <c r="Y32" s="30" t="s">
        <v>441</v>
      </c>
      <c r="Z32" s="61" t="s">
        <v>10</v>
      </c>
      <c r="AA32" s="30" t="s">
        <v>219</v>
      </c>
      <c r="AB32" s="61" t="s">
        <v>10</v>
      </c>
      <c r="AC32" s="56" t="s">
        <v>10</v>
      </c>
      <c r="AD32" s="61" t="s">
        <v>10</v>
      </c>
    </row>
    <row r="33" spans="1:30" s="34" customFormat="1" ht="6.75" customHeight="1" x14ac:dyDescent="0.25">
      <c r="A33" s="49">
        <v>33</v>
      </c>
      <c r="B33" s="27" t="s">
        <v>408</v>
      </c>
      <c r="C33" s="27" t="s">
        <v>413</v>
      </c>
      <c r="D33" s="27" t="s">
        <v>415</v>
      </c>
      <c r="E33" s="27" t="s">
        <v>420</v>
      </c>
      <c r="F33" s="27" t="s">
        <v>226</v>
      </c>
      <c r="G33" s="44" t="s">
        <v>10</v>
      </c>
      <c r="H33" s="44" t="s">
        <v>10</v>
      </c>
      <c r="I33" s="44" t="s">
        <v>10</v>
      </c>
      <c r="J33" s="44" t="s">
        <v>10</v>
      </c>
      <c r="K33" s="44" t="s">
        <v>10</v>
      </c>
      <c r="L33" s="29" t="str">
        <f t="shared" si="12"/>
        <v>De.Espacialidade</v>
      </c>
      <c r="M33" s="29" t="str">
        <f t="shared" si="12"/>
        <v>Planos.Verticais</v>
      </c>
      <c r="N33" s="29" t="str">
        <f t="shared" si="13"/>
        <v>Elevações</v>
      </c>
      <c r="O33" s="29" t="str">
        <f t="shared" si="13"/>
        <v>Fachada Inespecífica</v>
      </c>
      <c r="P33" s="30" t="s">
        <v>265</v>
      </c>
      <c r="Q33" s="30" t="s">
        <v>660</v>
      </c>
      <c r="R33" s="30" t="s">
        <v>483</v>
      </c>
      <c r="S33" s="63" t="s">
        <v>10</v>
      </c>
      <c r="T33" s="30" t="str">
        <f t="shared" si="14"/>
        <v>De Espacialidade</v>
      </c>
      <c r="U33" s="30" t="str">
        <f t="shared" si="14"/>
        <v>Planos Verticais</v>
      </c>
      <c r="V33" s="30" t="str">
        <f t="shared" si="14"/>
        <v>Elevações</v>
      </c>
      <c r="W33" s="30" t="s">
        <v>78</v>
      </c>
      <c r="X33" s="45" t="str">
        <f t="shared" si="11"/>
        <v>Key-AMB-33</v>
      </c>
      <c r="Y33" s="30" t="s">
        <v>441</v>
      </c>
      <c r="Z33" s="61" t="s">
        <v>10</v>
      </c>
      <c r="AA33" s="30" t="s">
        <v>219</v>
      </c>
      <c r="AB33" s="61" t="s">
        <v>10</v>
      </c>
      <c r="AC33" s="56" t="s">
        <v>10</v>
      </c>
      <c r="AD33" s="61" t="s">
        <v>10</v>
      </c>
    </row>
    <row r="34" spans="1:30" s="34" customFormat="1" ht="6.75" customHeight="1" x14ac:dyDescent="0.25">
      <c r="A34" s="49">
        <v>34</v>
      </c>
      <c r="B34" s="27" t="s">
        <v>408</v>
      </c>
      <c r="C34" s="27" t="s">
        <v>413</v>
      </c>
      <c r="D34" s="27" t="s">
        <v>415</v>
      </c>
      <c r="E34" s="27" t="s">
        <v>420</v>
      </c>
      <c r="F34" s="27" t="s">
        <v>225</v>
      </c>
      <c r="G34" s="44" t="s">
        <v>10</v>
      </c>
      <c r="H34" s="44" t="s">
        <v>10</v>
      </c>
      <c r="I34" s="44" t="s">
        <v>10</v>
      </c>
      <c r="J34" s="44" t="s">
        <v>10</v>
      </c>
      <c r="K34" s="44" t="s">
        <v>10</v>
      </c>
      <c r="L34" s="29" t="str">
        <f t="shared" si="12"/>
        <v>De.Espacialidade</v>
      </c>
      <c r="M34" s="29" t="str">
        <f t="shared" si="12"/>
        <v>Planos.Verticais</v>
      </c>
      <c r="N34" s="29" t="str">
        <f t="shared" si="13"/>
        <v>Elevações</v>
      </c>
      <c r="O34" s="29" t="str">
        <f t="shared" si="13"/>
        <v>Vista Interna</v>
      </c>
      <c r="P34" s="30" t="s">
        <v>228</v>
      </c>
      <c r="Q34" s="30" t="s">
        <v>661</v>
      </c>
      <c r="R34" s="30" t="s">
        <v>484</v>
      </c>
      <c r="S34" s="63" t="s">
        <v>10</v>
      </c>
      <c r="T34" s="30" t="str">
        <f t="shared" si="14"/>
        <v>De Espacialidade</v>
      </c>
      <c r="U34" s="30" t="str">
        <f t="shared" si="14"/>
        <v>Planos Verticais</v>
      </c>
      <c r="V34" s="30" t="str">
        <f t="shared" si="14"/>
        <v>Elevações</v>
      </c>
      <c r="W34" s="30" t="s">
        <v>78</v>
      </c>
      <c r="X34" s="45" t="str">
        <f t="shared" si="11"/>
        <v>Key-AMB-34</v>
      </c>
      <c r="Y34" s="30" t="s">
        <v>192</v>
      </c>
      <c r="Z34" s="61" t="s">
        <v>10</v>
      </c>
      <c r="AA34" s="30" t="s">
        <v>219</v>
      </c>
      <c r="AB34" s="61" t="s">
        <v>10</v>
      </c>
      <c r="AC34" s="56" t="s">
        <v>10</v>
      </c>
      <c r="AD34" s="61" t="s">
        <v>10</v>
      </c>
    </row>
    <row r="35" spans="1:30" s="34" customFormat="1" ht="6.75" customHeight="1" x14ac:dyDescent="0.25">
      <c r="A35" s="49">
        <v>35</v>
      </c>
      <c r="B35" s="27" t="s">
        <v>408</v>
      </c>
      <c r="C35" s="27" t="s">
        <v>413</v>
      </c>
      <c r="D35" s="27" t="s">
        <v>290</v>
      </c>
      <c r="E35" s="27" t="s">
        <v>305</v>
      </c>
      <c r="F35" s="28" t="s">
        <v>196</v>
      </c>
      <c r="G35" s="44" t="s">
        <v>10</v>
      </c>
      <c r="H35" s="44" t="s">
        <v>10</v>
      </c>
      <c r="I35" s="44" t="s">
        <v>10</v>
      </c>
      <c r="J35" s="44" t="s">
        <v>10</v>
      </c>
      <c r="K35" s="44" t="s">
        <v>10</v>
      </c>
      <c r="L35" s="29" t="str">
        <f t="shared" si="12"/>
        <v>De.Espacialidade</v>
      </c>
      <c r="M35" s="29" t="str">
        <f t="shared" si="12"/>
        <v>Elementos.de.Implantação</v>
      </c>
      <c r="N35" s="29" t="str">
        <f t="shared" ref="N35:O159" si="15">(SUBSTITUTE(SUBSTITUTE(CONCATENATE("",E35),"."," ")," De "," de "))</f>
        <v>Divisas e Entorno</v>
      </c>
      <c r="O35" s="29" t="str">
        <f t="shared" si="15"/>
        <v>Campus</v>
      </c>
      <c r="P35" s="30" t="s">
        <v>291</v>
      </c>
      <c r="Q35" s="30" t="s">
        <v>662</v>
      </c>
      <c r="R35" s="30" t="s">
        <v>485</v>
      </c>
      <c r="S35" s="63" t="s">
        <v>10</v>
      </c>
      <c r="T35" s="30" t="str">
        <f t="shared" si="14"/>
        <v>De Espacialidade</v>
      </c>
      <c r="U35" s="30" t="str">
        <f t="shared" si="14"/>
        <v>Elementos de Implantação</v>
      </c>
      <c r="V35" s="30" t="str">
        <f t="shared" si="14"/>
        <v>Divisas e Entorno</v>
      </c>
      <c r="W35" s="30" t="s">
        <v>78</v>
      </c>
      <c r="X35" s="45" t="str">
        <f t="shared" si="11"/>
        <v>Key-AMB-35</v>
      </c>
      <c r="Y35" s="30" t="s">
        <v>194</v>
      </c>
      <c r="Z35" s="61" t="s">
        <v>10</v>
      </c>
      <c r="AA35" s="41" t="s">
        <v>173</v>
      </c>
      <c r="AB35" s="61" t="s">
        <v>10</v>
      </c>
      <c r="AC35" s="56" t="s">
        <v>315</v>
      </c>
      <c r="AD35" s="61" t="s">
        <v>10</v>
      </c>
    </row>
    <row r="36" spans="1:30" s="34" customFormat="1" ht="6.75" customHeight="1" x14ac:dyDescent="0.25">
      <c r="A36" s="49">
        <v>36</v>
      </c>
      <c r="B36" s="27" t="s">
        <v>408</v>
      </c>
      <c r="C36" s="27" t="s">
        <v>413</v>
      </c>
      <c r="D36" s="27" t="s">
        <v>290</v>
      </c>
      <c r="E36" s="27" t="s">
        <v>305</v>
      </c>
      <c r="F36" s="28" t="s">
        <v>296</v>
      </c>
      <c r="G36" s="44" t="s">
        <v>10</v>
      </c>
      <c r="H36" s="44" t="s">
        <v>10</v>
      </c>
      <c r="I36" s="44" t="s">
        <v>10</v>
      </c>
      <c r="J36" s="44" t="s">
        <v>10</v>
      </c>
      <c r="K36" s="44" t="s">
        <v>10</v>
      </c>
      <c r="L36" s="29" t="str">
        <f t="shared" si="12"/>
        <v>De.Espacialidade</v>
      </c>
      <c r="M36" s="29" t="str">
        <f t="shared" si="12"/>
        <v>Elementos.de.Implantação</v>
      </c>
      <c r="N36" s="29" t="str">
        <f t="shared" si="15"/>
        <v>Divisas e Entorno</v>
      </c>
      <c r="O36" s="29" t="str">
        <f t="shared" si="15"/>
        <v>Lote Urbano</v>
      </c>
      <c r="P36" s="30" t="s">
        <v>292</v>
      </c>
      <c r="Q36" s="30" t="s">
        <v>663</v>
      </c>
      <c r="R36" s="30" t="s">
        <v>486</v>
      </c>
      <c r="S36" s="63" t="s">
        <v>10</v>
      </c>
      <c r="T36" s="30" t="str">
        <f t="shared" si="14"/>
        <v>De Espacialidade</v>
      </c>
      <c r="U36" s="30" t="str">
        <f t="shared" si="14"/>
        <v>Elementos de Implantação</v>
      </c>
      <c r="V36" s="30" t="str">
        <f t="shared" si="14"/>
        <v>Divisas e Entorno</v>
      </c>
      <c r="W36" s="30" t="s">
        <v>78</v>
      </c>
      <c r="X36" s="45" t="str">
        <f t="shared" si="11"/>
        <v>Key-AMB-36</v>
      </c>
      <c r="Y36" s="30" t="s">
        <v>194</v>
      </c>
      <c r="Z36" s="61" t="s">
        <v>10</v>
      </c>
      <c r="AA36" s="41" t="s">
        <v>173</v>
      </c>
      <c r="AB36" s="61" t="s">
        <v>10</v>
      </c>
      <c r="AC36" s="56" t="s">
        <v>338</v>
      </c>
      <c r="AD36" s="61" t="s">
        <v>10</v>
      </c>
    </row>
    <row r="37" spans="1:30" s="34" customFormat="1" ht="6.75" customHeight="1" x14ac:dyDescent="0.25">
      <c r="A37" s="49">
        <v>37</v>
      </c>
      <c r="B37" s="27" t="s">
        <v>408</v>
      </c>
      <c r="C37" s="27" t="s">
        <v>413</v>
      </c>
      <c r="D37" s="27" t="s">
        <v>290</v>
      </c>
      <c r="E37" s="27" t="s">
        <v>305</v>
      </c>
      <c r="F37" s="28" t="s">
        <v>118</v>
      </c>
      <c r="G37" s="44" t="s">
        <v>10</v>
      </c>
      <c r="H37" s="44" t="s">
        <v>10</v>
      </c>
      <c r="I37" s="44" t="s">
        <v>10</v>
      </c>
      <c r="J37" s="44" t="s">
        <v>10</v>
      </c>
      <c r="K37" s="44" t="s">
        <v>10</v>
      </c>
      <c r="L37" s="29" t="str">
        <f t="shared" si="12"/>
        <v>De.Espacialidade</v>
      </c>
      <c r="M37" s="29" t="str">
        <f t="shared" si="12"/>
        <v>Elementos.de.Implantação</v>
      </c>
      <c r="N37" s="29" t="str">
        <f t="shared" si="15"/>
        <v>Divisas e Entorno</v>
      </c>
      <c r="O37" s="29" t="str">
        <f t="shared" si="15"/>
        <v>Área Bruta</v>
      </c>
      <c r="P37" s="30" t="s">
        <v>299</v>
      </c>
      <c r="Q37" s="30" t="s">
        <v>664</v>
      </c>
      <c r="R37" s="30" t="s">
        <v>487</v>
      </c>
      <c r="S37" s="63" t="s">
        <v>10</v>
      </c>
      <c r="T37" s="30" t="str">
        <f t="shared" si="14"/>
        <v>De Espacialidade</v>
      </c>
      <c r="U37" s="30" t="str">
        <f t="shared" si="14"/>
        <v>Elementos de Implantação</v>
      </c>
      <c r="V37" s="30" t="str">
        <f t="shared" si="14"/>
        <v>Divisas e Entorno</v>
      </c>
      <c r="W37" s="30" t="s">
        <v>78</v>
      </c>
      <c r="X37" s="45" t="str">
        <f t="shared" si="11"/>
        <v>Key-AMB-37</v>
      </c>
      <c r="Y37" s="30" t="s">
        <v>194</v>
      </c>
      <c r="Z37" s="61" t="s">
        <v>10</v>
      </c>
      <c r="AA37" s="41" t="s">
        <v>173</v>
      </c>
      <c r="AB37" s="61" t="s">
        <v>10</v>
      </c>
      <c r="AC37" s="56" t="s">
        <v>337</v>
      </c>
      <c r="AD37" s="61" t="s">
        <v>10</v>
      </c>
    </row>
    <row r="38" spans="1:30" s="34" customFormat="1" ht="6.75" customHeight="1" x14ac:dyDescent="0.25">
      <c r="A38" s="49">
        <v>38</v>
      </c>
      <c r="B38" s="27" t="s">
        <v>408</v>
      </c>
      <c r="C38" s="27" t="s">
        <v>413</v>
      </c>
      <c r="D38" s="27" t="s">
        <v>290</v>
      </c>
      <c r="E38" s="27" t="s">
        <v>305</v>
      </c>
      <c r="F38" s="28" t="s">
        <v>405</v>
      </c>
      <c r="G38" s="44" t="s">
        <v>10</v>
      </c>
      <c r="H38" s="44" t="s">
        <v>10</v>
      </c>
      <c r="I38" s="44" t="s">
        <v>10</v>
      </c>
      <c r="J38" s="44" t="s">
        <v>10</v>
      </c>
      <c r="K38" s="44" t="s">
        <v>10</v>
      </c>
      <c r="L38" s="29" t="str">
        <f t="shared" si="12"/>
        <v>De.Espacialidade</v>
      </c>
      <c r="M38" s="29" t="str">
        <f t="shared" si="12"/>
        <v>Elementos.de.Implantação</v>
      </c>
      <c r="N38" s="29" t="str">
        <f t="shared" si="15"/>
        <v>Divisas e Entorno</v>
      </c>
      <c r="O38" s="29" t="str">
        <f t="shared" si="15"/>
        <v>Área Edificável</v>
      </c>
      <c r="P38" s="30" t="s">
        <v>294</v>
      </c>
      <c r="Q38" s="30" t="s">
        <v>665</v>
      </c>
      <c r="R38" s="30" t="s">
        <v>488</v>
      </c>
      <c r="S38" s="63" t="s">
        <v>10</v>
      </c>
      <c r="T38" s="30" t="str">
        <f t="shared" si="14"/>
        <v>De Espacialidade</v>
      </c>
      <c r="U38" s="30" t="str">
        <f t="shared" si="14"/>
        <v>Elementos de Implantação</v>
      </c>
      <c r="V38" s="30" t="str">
        <f t="shared" si="14"/>
        <v>Divisas e Entorno</v>
      </c>
      <c r="W38" s="30" t="s">
        <v>78</v>
      </c>
      <c r="X38" s="45" t="str">
        <f t="shared" si="11"/>
        <v>Key-AMB-38</v>
      </c>
      <c r="Y38" s="30" t="s">
        <v>194</v>
      </c>
      <c r="Z38" s="61" t="s">
        <v>10</v>
      </c>
      <c r="AA38" s="41" t="s">
        <v>174</v>
      </c>
      <c r="AB38" s="61" t="s">
        <v>10</v>
      </c>
      <c r="AC38" s="56" t="s">
        <v>337</v>
      </c>
      <c r="AD38" s="61" t="s">
        <v>10</v>
      </c>
    </row>
    <row r="39" spans="1:30" s="34" customFormat="1" ht="6.75" customHeight="1" x14ac:dyDescent="0.25">
      <c r="A39" s="49">
        <v>39</v>
      </c>
      <c r="B39" s="27" t="s">
        <v>408</v>
      </c>
      <c r="C39" s="27" t="s">
        <v>413</v>
      </c>
      <c r="D39" s="27" t="s">
        <v>290</v>
      </c>
      <c r="E39" s="27" t="s">
        <v>305</v>
      </c>
      <c r="F39" s="28" t="s">
        <v>339</v>
      </c>
      <c r="G39" s="44" t="s">
        <v>10</v>
      </c>
      <c r="H39" s="44" t="s">
        <v>10</v>
      </c>
      <c r="I39" s="44" t="s">
        <v>10</v>
      </c>
      <c r="J39" s="44" t="s">
        <v>10</v>
      </c>
      <c r="K39" s="44" t="s">
        <v>10</v>
      </c>
      <c r="L39" s="29" t="str">
        <f t="shared" si="12"/>
        <v>De.Espacialidade</v>
      </c>
      <c r="M39" s="29" t="str">
        <f t="shared" si="12"/>
        <v>Elementos.de.Implantação</v>
      </c>
      <c r="N39" s="29" t="str">
        <f t="shared" si="15"/>
        <v>Divisas e Entorno</v>
      </c>
      <c r="O39" s="29" t="str">
        <f t="shared" si="15"/>
        <v>Recuo</v>
      </c>
      <c r="P39" s="30" t="s">
        <v>334</v>
      </c>
      <c r="Q39" s="30" t="s">
        <v>666</v>
      </c>
      <c r="R39" s="30" t="s">
        <v>489</v>
      </c>
      <c r="S39" s="63" t="s">
        <v>10</v>
      </c>
      <c r="T39" s="30" t="str">
        <f t="shared" si="14"/>
        <v>De Espacialidade</v>
      </c>
      <c r="U39" s="30" t="str">
        <f t="shared" si="14"/>
        <v>Elementos de Implantação</v>
      </c>
      <c r="V39" s="30" t="str">
        <f t="shared" si="14"/>
        <v>Divisas e Entorno</v>
      </c>
      <c r="W39" s="30" t="s">
        <v>78</v>
      </c>
      <c r="X39" s="45" t="str">
        <f t="shared" si="11"/>
        <v>Key-AMB-39</v>
      </c>
      <c r="Y39" s="30" t="s">
        <v>194</v>
      </c>
      <c r="Z39" s="61" t="s">
        <v>10</v>
      </c>
      <c r="AA39" s="41" t="s">
        <v>173</v>
      </c>
      <c r="AB39" s="61" t="s">
        <v>10</v>
      </c>
      <c r="AC39" s="58" t="s">
        <v>335</v>
      </c>
      <c r="AD39" s="61" t="s">
        <v>10</v>
      </c>
    </row>
    <row r="40" spans="1:30" s="34" customFormat="1" ht="6.75" customHeight="1" x14ac:dyDescent="0.25">
      <c r="A40" s="49">
        <v>40</v>
      </c>
      <c r="B40" s="27" t="s">
        <v>408</v>
      </c>
      <c r="C40" s="27" t="s">
        <v>413</v>
      </c>
      <c r="D40" s="27" t="s">
        <v>290</v>
      </c>
      <c r="E40" s="27" t="s">
        <v>305</v>
      </c>
      <c r="F40" s="28" t="s">
        <v>340</v>
      </c>
      <c r="G40" s="44" t="s">
        <v>10</v>
      </c>
      <c r="H40" s="44" t="s">
        <v>10</v>
      </c>
      <c r="I40" s="44" t="s">
        <v>10</v>
      </c>
      <c r="J40" s="44" t="s">
        <v>10</v>
      </c>
      <c r="K40" s="44" t="s">
        <v>10</v>
      </c>
      <c r="L40" s="29" t="str">
        <f t="shared" si="12"/>
        <v>De.Espacialidade</v>
      </c>
      <c r="M40" s="29" t="str">
        <f t="shared" si="12"/>
        <v>Elementos.de.Implantação</v>
      </c>
      <c r="N40" s="29" t="str">
        <f t="shared" si="15"/>
        <v>Divisas e Entorno</v>
      </c>
      <c r="O40" s="29" t="str">
        <f t="shared" si="15"/>
        <v>Afastamento</v>
      </c>
      <c r="P40" s="30" t="s">
        <v>333</v>
      </c>
      <c r="Q40" s="30" t="s">
        <v>667</v>
      </c>
      <c r="R40" s="30" t="s">
        <v>490</v>
      </c>
      <c r="S40" s="63" t="s">
        <v>10</v>
      </c>
      <c r="T40" s="30" t="str">
        <f t="shared" si="14"/>
        <v>De Espacialidade</v>
      </c>
      <c r="U40" s="30" t="str">
        <f t="shared" si="14"/>
        <v>Elementos de Implantação</v>
      </c>
      <c r="V40" s="30" t="str">
        <f t="shared" si="14"/>
        <v>Divisas e Entorno</v>
      </c>
      <c r="W40" s="30" t="s">
        <v>78</v>
      </c>
      <c r="X40" s="45" t="str">
        <f t="shared" si="11"/>
        <v>Key-AMB-40</v>
      </c>
      <c r="Y40" s="30" t="s">
        <v>194</v>
      </c>
      <c r="Z40" s="61" t="s">
        <v>10</v>
      </c>
      <c r="AA40" s="41" t="s">
        <v>173</v>
      </c>
      <c r="AB40" s="61" t="s">
        <v>10</v>
      </c>
      <c r="AC40" s="58" t="s">
        <v>336</v>
      </c>
      <c r="AD40" s="61" t="s">
        <v>10</v>
      </c>
    </row>
    <row r="41" spans="1:30" s="34" customFormat="1" ht="6.75" customHeight="1" x14ac:dyDescent="0.25">
      <c r="A41" s="49">
        <v>41</v>
      </c>
      <c r="B41" s="27" t="s">
        <v>408</v>
      </c>
      <c r="C41" s="27" t="s">
        <v>413</v>
      </c>
      <c r="D41" s="27" t="s">
        <v>290</v>
      </c>
      <c r="E41" s="27" t="s">
        <v>305</v>
      </c>
      <c r="F41" s="28" t="s">
        <v>295</v>
      </c>
      <c r="G41" s="44" t="s">
        <v>10</v>
      </c>
      <c r="H41" s="44" t="s">
        <v>10</v>
      </c>
      <c r="I41" s="44" t="s">
        <v>10</v>
      </c>
      <c r="J41" s="44" t="s">
        <v>10</v>
      </c>
      <c r="K41" s="44" t="s">
        <v>10</v>
      </c>
      <c r="L41" s="29" t="str">
        <f t="shared" si="12"/>
        <v>De.Espacialidade</v>
      </c>
      <c r="M41" s="29" t="str">
        <f t="shared" si="12"/>
        <v>Elementos.de.Implantação</v>
      </c>
      <c r="N41" s="29" t="str">
        <f t="shared" si="15"/>
        <v>Divisas e Entorno</v>
      </c>
      <c r="O41" s="29" t="str">
        <f t="shared" si="15"/>
        <v>Construção Vizinha</v>
      </c>
      <c r="P41" s="30" t="s">
        <v>298</v>
      </c>
      <c r="Q41" s="30" t="s">
        <v>668</v>
      </c>
      <c r="R41" s="30" t="s">
        <v>491</v>
      </c>
      <c r="S41" s="63" t="s">
        <v>10</v>
      </c>
      <c r="T41" s="30" t="str">
        <f t="shared" si="14"/>
        <v>De Espacialidade</v>
      </c>
      <c r="U41" s="30" t="str">
        <f t="shared" si="14"/>
        <v>Elementos de Implantação</v>
      </c>
      <c r="V41" s="30" t="str">
        <f t="shared" si="14"/>
        <v>Divisas e Entorno</v>
      </c>
      <c r="W41" s="30" t="s">
        <v>78</v>
      </c>
      <c r="X41" s="45" t="str">
        <f t="shared" si="11"/>
        <v>Key-AMB-41</v>
      </c>
      <c r="Y41" s="30" t="s">
        <v>194</v>
      </c>
      <c r="Z41" s="61" t="s">
        <v>10</v>
      </c>
      <c r="AA41" s="41" t="s">
        <v>175</v>
      </c>
      <c r="AB41" s="61" t="s">
        <v>10</v>
      </c>
      <c r="AC41" s="56" t="s">
        <v>314</v>
      </c>
      <c r="AD41" s="61" t="s">
        <v>10</v>
      </c>
    </row>
    <row r="42" spans="1:30" s="34" customFormat="1" ht="6.75" customHeight="1" x14ac:dyDescent="0.25">
      <c r="A42" s="49">
        <v>42</v>
      </c>
      <c r="B42" s="27" t="s">
        <v>408</v>
      </c>
      <c r="C42" s="27" t="s">
        <v>413</v>
      </c>
      <c r="D42" s="27" t="s">
        <v>290</v>
      </c>
      <c r="E42" s="27" t="s">
        <v>305</v>
      </c>
      <c r="F42" s="28" t="s">
        <v>422</v>
      </c>
      <c r="G42" s="44" t="s">
        <v>10</v>
      </c>
      <c r="H42" s="44" t="s">
        <v>10</v>
      </c>
      <c r="I42" s="44" t="s">
        <v>10</v>
      </c>
      <c r="J42" s="44" t="s">
        <v>10</v>
      </c>
      <c r="K42" s="44" t="s">
        <v>10</v>
      </c>
      <c r="L42" s="29" t="str">
        <f t="shared" si="12"/>
        <v>De.Espacialidade</v>
      </c>
      <c r="M42" s="29" t="str">
        <f t="shared" si="12"/>
        <v>Elementos.de.Implantação</v>
      </c>
      <c r="N42" s="29" t="str">
        <f t="shared" si="15"/>
        <v>Divisas e Entorno</v>
      </c>
      <c r="O42" s="29" t="str">
        <f t="shared" si="15"/>
        <v>Área Exterior</v>
      </c>
      <c r="P42" s="30" t="s">
        <v>293</v>
      </c>
      <c r="Q42" s="30" t="s">
        <v>669</v>
      </c>
      <c r="R42" s="30" t="s">
        <v>492</v>
      </c>
      <c r="S42" s="63" t="s">
        <v>10</v>
      </c>
      <c r="T42" s="30" t="str">
        <f t="shared" si="14"/>
        <v>De Espacialidade</v>
      </c>
      <c r="U42" s="30" t="str">
        <f t="shared" si="14"/>
        <v>Elementos de Implantação</v>
      </c>
      <c r="V42" s="30" t="str">
        <f t="shared" si="14"/>
        <v>Divisas e Entorno</v>
      </c>
      <c r="W42" s="30" t="s">
        <v>78</v>
      </c>
      <c r="X42" s="45" t="str">
        <f t="shared" si="11"/>
        <v>Key-AMB-42</v>
      </c>
      <c r="Y42" s="30" t="s">
        <v>194</v>
      </c>
      <c r="Z42" s="61" t="s">
        <v>10</v>
      </c>
      <c r="AA42" s="41" t="s">
        <v>177</v>
      </c>
      <c r="AB42" s="61" t="s">
        <v>10</v>
      </c>
      <c r="AC42" s="56" t="s">
        <v>438</v>
      </c>
      <c r="AD42" s="61" t="s">
        <v>10</v>
      </c>
    </row>
    <row r="43" spans="1:30" s="34" customFormat="1" ht="6.75" customHeight="1" x14ac:dyDescent="0.25">
      <c r="A43" s="49">
        <v>43</v>
      </c>
      <c r="B43" s="27" t="s">
        <v>408</v>
      </c>
      <c r="C43" s="27" t="s">
        <v>413</v>
      </c>
      <c r="D43" s="27" t="s">
        <v>290</v>
      </c>
      <c r="E43" s="27" t="s">
        <v>305</v>
      </c>
      <c r="F43" s="28" t="s">
        <v>423</v>
      </c>
      <c r="G43" s="44" t="s">
        <v>10</v>
      </c>
      <c r="H43" s="44" t="s">
        <v>10</v>
      </c>
      <c r="I43" s="44" t="s">
        <v>10</v>
      </c>
      <c r="J43" s="44" t="s">
        <v>10</v>
      </c>
      <c r="K43" s="44" t="s">
        <v>10</v>
      </c>
      <c r="L43" s="29" t="str">
        <f t="shared" si="12"/>
        <v>De.Espacialidade</v>
      </c>
      <c r="M43" s="29" t="str">
        <f t="shared" si="12"/>
        <v>Elementos.de.Implantação</v>
      </c>
      <c r="N43" s="29" t="str">
        <f t="shared" si="15"/>
        <v>Divisas e Entorno</v>
      </c>
      <c r="O43" s="29" t="str">
        <f t="shared" si="15"/>
        <v>Área Exterior Hídrica</v>
      </c>
      <c r="P43" s="30" t="s">
        <v>297</v>
      </c>
      <c r="Q43" s="30" t="s">
        <v>670</v>
      </c>
      <c r="R43" s="30" t="s">
        <v>493</v>
      </c>
      <c r="S43" s="63" t="s">
        <v>10</v>
      </c>
      <c r="T43" s="30" t="str">
        <f t="shared" si="14"/>
        <v>De Espacialidade</v>
      </c>
      <c r="U43" s="30" t="str">
        <f t="shared" si="14"/>
        <v>Elementos de Implantação</v>
      </c>
      <c r="V43" s="30" t="str">
        <f t="shared" si="14"/>
        <v>Divisas e Entorno</v>
      </c>
      <c r="W43" s="30" t="s">
        <v>78</v>
      </c>
      <c r="X43" s="45" t="str">
        <f t="shared" si="11"/>
        <v>Key-AMB-43</v>
      </c>
      <c r="Y43" s="30" t="s">
        <v>194</v>
      </c>
      <c r="Z43" s="61" t="s">
        <v>10</v>
      </c>
      <c r="AA43" s="41" t="s">
        <v>176</v>
      </c>
      <c r="AB43" s="61" t="s">
        <v>10</v>
      </c>
      <c r="AC43" s="56" t="s">
        <v>316</v>
      </c>
      <c r="AD43" s="61" t="s">
        <v>10</v>
      </c>
    </row>
    <row r="44" spans="1:30" s="34" customFormat="1" ht="6.75" customHeight="1" x14ac:dyDescent="0.25">
      <c r="A44" s="49">
        <v>44</v>
      </c>
      <c r="B44" s="27" t="s">
        <v>408</v>
      </c>
      <c r="C44" s="27" t="s">
        <v>413</v>
      </c>
      <c r="D44" s="27" t="s">
        <v>290</v>
      </c>
      <c r="E44" s="27" t="s">
        <v>305</v>
      </c>
      <c r="F44" s="28" t="s">
        <v>424</v>
      </c>
      <c r="G44" s="44" t="s">
        <v>10</v>
      </c>
      <c r="H44" s="44" t="s">
        <v>10</v>
      </c>
      <c r="I44" s="44" t="s">
        <v>10</v>
      </c>
      <c r="J44" s="44" t="s">
        <v>10</v>
      </c>
      <c r="K44" s="44" t="s">
        <v>10</v>
      </c>
      <c r="L44" s="29" t="str">
        <f t="shared" si="12"/>
        <v>De.Espacialidade</v>
      </c>
      <c r="M44" s="29" t="str">
        <f t="shared" si="12"/>
        <v>Elementos.de.Implantação</v>
      </c>
      <c r="N44" s="29" t="str">
        <f t="shared" si="15"/>
        <v>Divisas e Entorno</v>
      </c>
      <c r="O44" s="29" t="str">
        <f t="shared" si="15"/>
        <v>Área Exterior Arborizada</v>
      </c>
      <c r="P44" s="30" t="s">
        <v>448</v>
      </c>
      <c r="Q44" s="30" t="s">
        <v>671</v>
      </c>
      <c r="R44" s="30" t="s">
        <v>494</v>
      </c>
      <c r="S44" s="63" t="s">
        <v>10</v>
      </c>
      <c r="T44" s="30" t="str">
        <f t="shared" si="14"/>
        <v>De Espacialidade</v>
      </c>
      <c r="U44" s="30" t="str">
        <f t="shared" si="14"/>
        <v>Elementos de Implantação</v>
      </c>
      <c r="V44" s="30" t="str">
        <f t="shared" si="14"/>
        <v>Divisas e Entorno</v>
      </c>
      <c r="W44" s="30" t="s">
        <v>78</v>
      </c>
      <c r="X44" s="45" t="str">
        <f t="shared" si="11"/>
        <v>Key-AMB-44</v>
      </c>
      <c r="Y44" s="30" t="s">
        <v>194</v>
      </c>
      <c r="Z44" s="61" t="s">
        <v>10</v>
      </c>
      <c r="AA44" s="41" t="s">
        <v>177</v>
      </c>
      <c r="AB44" s="61" t="s">
        <v>10</v>
      </c>
      <c r="AC44" s="56" t="s">
        <v>438</v>
      </c>
      <c r="AD44" s="61" t="s">
        <v>10</v>
      </c>
    </row>
    <row r="45" spans="1:30" s="34" customFormat="1" ht="6.75" customHeight="1" x14ac:dyDescent="0.25">
      <c r="A45" s="49">
        <v>45</v>
      </c>
      <c r="B45" s="27" t="s">
        <v>408</v>
      </c>
      <c r="C45" s="27" t="s">
        <v>413</v>
      </c>
      <c r="D45" s="27" t="s">
        <v>290</v>
      </c>
      <c r="E45" s="27" t="s">
        <v>305</v>
      </c>
      <c r="F45" s="28" t="s">
        <v>425</v>
      </c>
      <c r="G45" s="44" t="s">
        <v>10</v>
      </c>
      <c r="H45" s="44" t="s">
        <v>10</v>
      </c>
      <c r="I45" s="44" t="s">
        <v>10</v>
      </c>
      <c r="J45" s="44" t="s">
        <v>10</v>
      </c>
      <c r="K45" s="44" t="s">
        <v>10</v>
      </c>
      <c r="L45" s="29" t="str">
        <f t="shared" si="12"/>
        <v>De.Espacialidade</v>
      </c>
      <c r="M45" s="29" t="str">
        <f t="shared" si="12"/>
        <v>Elementos.de.Implantação</v>
      </c>
      <c r="N45" s="29" t="str">
        <f t="shared" si="15"/>
        <v>Divisas e Entorno</v>
      </c>
      <c r="O45" s="29" t="str">
        <f t="shared" si="15"/>
        <v>Área de Preservação</v>
      </c>
      <c r="P45" s="30" t="s">
        <v>318</v>
      </c>
      <c r="Q45" s="30" t="s">
        <v>672</v>
      </c>
      <c r="R45" s="30" t="s">
        <v>495</v>
      </c>
      <c r="S45" s="63" t="s">
        <v>10</v>
      </c>
      <c r="T45" s="30" t="str">
        <f t="shared" si="14"/>
        <v>De Espacialidade</v>
      </c>
      <c r="U45" s="30" t="str">
        <f t="shared" si="14"/>
        <v>Elementos de Implantação</v>
      </c>
      <c r="V45" s="30" t="str">
        <f t="shared" si="14"/>
        <v>Divisas e Entorno</v>
      </c>
      <c r="W45" s="30" t="s">
        <v>78</v>
      </c>
      <c r="X45" s="45" t="str">
        <f t="shared" si="11"/>
        <v>Key-AMB-45</v>
      </c>
      <c r="Y45" s="30" t="s">
        <v>194</v>
      </c>
      <c r="Z45" s="61" t="s">
        <v>10</v>
      </c>
      <c r="AA45" s="41" t="s">
        <v>177</v>
      </c>
      <c r="AB45" s="61" t="s">
        <v>10</v>
      </c>
      <c r="AC45" s="56" t="s">
        <v>317</v>
      </c>
      <c r="AD45" s="61" t="s">
        <v>10</v>
      </c>
    </row>
    <row r="46" spans="1:30" s="34" customFormat="1" ht="6.75" customHeight="1" x14ac:dyDescent="0.25">
      <c r="A46" s="49">
        <v>46</v>
      </c>
      <c r="B46" s="27" t="s">
        <v>408</v>
      </c>
      <c r="C46" s="27" t="s">
        <v>413</v>
      </c>
      <c r="D46" s="27" t="s">
        <v>290</v>
      </c>
      <c r="E46" s="27" t="s">
        <v>305</v>
      </c>
      <c r="F46" s="28" t="s">
        <v>240</v>
      </c>
      <c r="G46" s="44" t="s">
        <v>10</v>
      </c>
      <c r="H46" s="44" t="s">
        <v>10</v>
      </c>
      <c r="I46" s="44" t="s">
        <v>10</v>
      </c>
      <c r="J46" s="44" t="s">
        <v>10</v>
      </c>
      <c r="K46" s="44" t="s">
        <v>10</v>
      </c>
      <c r="L46" s="29" t="str">
        <f t="shared" si="12"/>
        <v>De.Espacialidade</v>
      </c>
      <c r="M46" s="29" t="str">
        <f t="shared" si="12"/>
        <v>Elementos.de.Implantação</v>
      </c>
      <c r="N46" s="29" t="str">
        <f t="shared" si="15"/>
        <v>Divisas e Entorno</v>
      </c>
      <c r="O46" s="29" t="str">
        <f t="shared" si="15"/>
        <v>Doca</v>
      </c>
      <c r="P46" s="30" t="s">
        <v>242</v>
      </c>
      <c r="Q46" s="30" t="s">
        <v>673</v>
      </c>
      <c r="R46" s="30" t="s">
        <v>496</v>
      </c>
      <c r="S46" s="63" t="s">
        <v>10</v>
      </c>
      <c r="T46" s="30" t="str">
        <f t="shared" si="14"/>
        <v>De Espacialidade</v>
      </c>
      <c r="U46" s="30" t="str">
        <f t="shared" si="14"/>
        <v>Elementos de Implantação</v>
      </c>
      <c r="V46" s="30" t="str">
        <f t="shared" si="14"/>
        <v>Divisas e Entorno</v>
      </c>
      <c r="W46" s="30" t="s">
        <v>78</v>
      </c>
      <c r="X46" s="45" t="str">
        <f t="shared" si="11"/>
        <v>Key-AMB-46</v>
      </c>
      <c r="Y46" s="30" t="s">
        <v>194</v>
      </c>
      <c r="Z46" s="61" t="s">
        <v>10</v>
      </c>
      <c r="AA46" s="41" t="s">
        <v>178</v>
      </c>
      <c r="AB46" s="61" t="s">
        <v>10</v>
      </c>
      <c r="AC46" s="56" t="s">
        <v>438</v>
      </c>
      <c r="AD46" s="61" t="s">
        <v>10</v>
      </c>
    </row>
    <row r="47" spans="1:30" s="34" customFormat="1" ht="6.75" customHeight="1" x14ac:dyDescent="0.25">
      <c r="A47" s="49">
        <v>47</v>
      </c>
      <c r="B47" s="27" t="s">
        <v>408</v>
      </c>
      <c r="C47" s="27" t="s">
        <v>413</v>
      </c>
      <c r="D47" s="27" t="s">
        <v>290</v>
      </c>
      <c r="E47" s="27" t="s">
        <v>305</v>
      </c>
      <c r="F47" s="28" t="s">
        <v>245</v>
      </c>
      <c r="G47" s="44" t="s">
        <v>10</v>
      </c>
      <c r="H47" s="44" t="s">
        <v>10</v>
      </c>
      <c r="I47" s="44" t="s">
        <v>10</v>
      </c>
      <c r="J47" s="44" t="s">
        <v>10</v>
      </c>
      <c r="K47" s="44" t="s">
        <v>10</v>
      </c>
      <c r="L47" s="29" t="str">
        <f t="shared" si="12"/>
        <v>De.Espacialidade</v>
      </c>
      <c r="M47" s="29" t="str">
        <f t="shared" si="12"/>
        <v>Elementos.de.Implantação</v>
      </c>
      <c r="N47" s="29" t="str">
        <f t="shared" si="15"/>
        <v>Divisas e Entorno</v>
      </c>
      <c r="O47" s="29" t="str">
        <f t="shared" si="15"/>
        <v xml:space="preserve">Pátio Logístico </v>
      </c>
      <c r="P47" s="30" t="s">
        <v>243</v>
      </c>
      <c r="Q47" s="30" t="s">
        <v>674</v>
      </c>
      <c r="R47" s="30" t="s">
        <v>497</v>
      </c>
      <c r="S47" s="63" t="s">
        <v>10</v>
      </c>
      <c r="T47" s="30" t="str">
        <f t="shared" si="14"/>
        <v>De Espacialidade</v>
      </c>
      <c r="U47" s="30" t="str">
        <f t="shared" si="14"/>
        <v>Elementos de Implantação</v>
      </c>
      <c r="V47" s="30" t="str">
        <f t="shared" si="14"/>
        <v>Divisas e Entorno</v>
      </c>
      <c r="W47" s="30" t="s">
        <v>78</v>
      </c>
      <c r="X47" s="45" t="str">
        <f t="shared" si="11"/>
        <v>Key-AMB-47</v>
      </c>
      <c r="Y47" s="30" t="s">
        <v>194</v>
      </c>
      <c r="Z47" s="61" t="s">
        <v>10</v>
      </c>
      <c r="AA47" s="41" t="s">
        <v>178</v>
      </c>
      <c r="AB47" s="61" t="s">
        <v>10</v>
      </c>
      <c r="AC47" s="56" t="s">
        <v>438</v>
      </c>
      <c r="AD47" s="61" t="s">
        <v>10</v>
      </c>
    </row>
    <row r="48" spans="1:30" s="34" customFormat="1" ht="6.75" customHeight="1" x14ac:dyDescent="0.25">
      <c r="A48" s="49">
        <v>48</v>
      </c>
      <c r="B48" s="27" t="s">
        <v>408</v>
      </c>
      <c r="C48" s="27" t="s">
        <v>413</v>
      </c>
      <c r="D48" s="27" t="s">
        <v>290</v>
      </c>
      <c r="E48" s="27" t="s">
        <v>305</v>
      </c>
      <c r="F48" s="28" t="s">
        <v>241</v>
      </c>
      <c r="G48" s="44" t="s">
        <v>10</v>
      </c>
      <c r="H48" s="44" t="s">
        <v>10</v>
      </c>
      <c r="I48" s="44" t="s">
        <v>10</v>
      </c>
      <c r="J48" s="44" t="s">
        <v>10</v>
      </c>
      <c r="K48" s="44" t="s">
        <v>10</v>
      </c>
      <c r="L48" s="29" t="str">
        <f t="shared" si="12"/>
        <v>De.Espacialidade</v>
      </c>
      <c r="M48" s="29" t="str">
        <f t="shared" si="12"/>
        <v>Elementos.de.Implantação</v>
      </c>
      <c r="N48" s="29" t="str">
        <f t="shared" si="15"/>
        <v>Divisas e Entorno</v>
      </c>
      <c r="O48" s="29" t="str">
        <f t="shared" si="15"/>
        <v>Estacionamento</v>
      </c>
      <c r="P48" s="30" t="s">
        <v>244</v>
      </c>
      <c r="Q48" s="30" t="s">
        <v>675</v>
      </c>
      <c r="R48" s="30" t="s">
        <v>498</v>
      </c>
      <c r="S48" s="63" t="s">
        <v>10</v>
      </c>
      <c r="T48" s="30" t="str">
        <f t="shared" si="14"/>
        <v>De Espacialidade</v>
      </c>
      <c r="U48" s="30" t="str">
        <f t="shared" si="14"/>
        <v>Elementos de Implantação</v>
      </c>
      <c r="V48" s="30" t="str">
        <f t="shared" si="14"/>
        <v>Divisas e Entorno</v>
      </c>
      <c r="W48" s="30" t="s">
        <v>78</v>
      </c>
      <c r="X48" s="45" t="str">
        <f t="shared" si="11"/>
        <v>Key-AMB-48</v>
      </c>
      <c r="Y48" s="30" t="s">
        <v>194</v>
      </c>
      <c r="Z48" s="61" t="s">
        <v>10</v>
      </c>
      <c r="AA48" s="41" t="s">
        <v>178</v>
      </c>
      <c r="AB48" s="61" t="s">
        <v>10</v>
      </c>
      <c r="AC48" s="56" t="s">
        <v>438</v>
      </c>
      <c r="AD48" s="61" t="s">
        <v>10</v>
      </c>
    </row>
    <row r="49" spans="1:30" s="34" customFormat="1" ht="6.75" customHeight="1" x14ac:dyDescent="0.25">
      <c r="A49" s="49">
        <v>49</v>
      </c>
      <c r="B49" s="27" t="s">
        <v>408</v>
      </c>
      <c r="C49" s="27" t="s">
        <v>413</v>
      </c>
      <c r="D49" s="27" t="s">
        <v>224</v>
      </c>
      <c r="E49" s="27" t="s">
        <v>951</v>
      </c>
      <c r="F49" s="28" t="s">
        <v>847</v>
      </c>
      <c r="G49" s="44" t="s">
        <v>10</v>
      </c>
      <c r="H49" s="44" t="s">
        <v>10</v>
      </c>
      <c r="I49" s="44" t="s">
        <v>10</v>
      </c>
      <c r="J49" s="44" t="s">
        <v>10</v>
      </c>
      <c r="K49" s="44" t="s">
        <v>10</v>
      </c>
      <c r="L49" s="29" t="str">
        <f t="shared" ref="L49" si="16">CONCATENATE("", C49)</f>
        <v>De.Espacialidade</v>
      </c>
      <c r="M49" s="29" t="str">
        <f t="shared" ref="M49" si="17">CONCATENATE("", D49)</f>
        <v>Elementos.Espaciais</v>
      </c>
      <c r="N49" s="29" t="str">
        <f t="shared" si="15"/>
        <v>Ambiente Articulador</v>
      </c>
      <c r="O49" s="29" t="str">
        <f t="shared" si="15"/>
        <v>Amb Articulador</v>
      </c>
      <c r="P49" s="30" t="s">
        <v>958</v>
      </c>
      <c r="Q49" s="30" t="s">
        <v>676</v>
      </c>
      <c r="R49" s="30" t="s">
        <v>499</v>
      </c>
      <c r="S49" s="63" t="s">
        <v>10</v>
      </c>
      <c r="T49" s="30" t="str">
        <f t="shared" ref="T49" si="18">SUBSTITUTE(C49, ".", " ")</f>
        <v>De Espacialidade</v>
      </c>
      <c r="U49" s="30" t="str">
        <f t="shared" ref="U49" si="19">SUBSTITUTE(D49, ".", " ")</f>
        <v>Elementos Espaciais</v>
      </c>
      <c r="V49" s="30" t="str">
        <f t="shared" ref="V49" si="20">SUBSTITUTE(E49, ".", " ")</f>
        <v>Ambiente Articulador</v>
      </c>
      <c r="W49" s="30" t="s">
        <v>78</v>
      </c>
      <c r="X49" s="45" t="str">
        <f t="shared" ref="X49" si="21">CONCATENATE("Key-AMB-",A49)</f>
        <v>Key-AMB-49</v>
      </c>
      <c r="Y49" s="30" t="s">
        <v>442</v>
      </c>
      <c r="Z49" s="61" t="s">
        <v>10</v>
      </c>
      <c r="AA49" s="41" t="s">
        <v>179</v>
      </c>
      <c r="AB49" s="61" t="s">
        <v>10</v>
      </c>
      <c r="AC49" s="56" t="s">
        <v>923</v>
      </c>
      <c r="AD49" s="61" t="s">
        <v>10</v>
      </c>
    </row>
    <row r="50" spans="1:30" s="34" customFormat="1" ht="6.75" customHeight="1" x14ac:dyDescent="0.25">
      <c r="A50" s="49">
        <v>50</v>
      </c>
      <c r="B50" s="27" t="s">
        <v>408</v>
      </c>
      <c r="C50" s="27" t="s">
        <v>413</v>
      </c>
      <c r="D50" s="27" t="s">
        <v>224</v>
      </c>
      <c r="E50" s="27" t="s">
        <v>951</v>
      </c>
      <c r="F50" s="28" t="s">
        <v>955</v>
      </c>
      <c r="G50" s="44" t="s">
        <v>10</v>
      </c>
      <c r="H50" s="44" t="s">
        <v>10</v>
      </c>
      <c r="I50" s="44" t="s">
        <v>10</v>
      </c>
      <c r="J50" s="44" t="s">
        <v>10</v>
      </c>
      <c r="K50" s="44" t="s">
        <v>10</v>
      </c>
      <c r="L50" s="29" t="str">
        <f t="shared" si="12"/>
        <v>De.Espacialidade</v>
      </c>
      <c r="M50" s="29" t="str">
        <f t="shared" si="12"/>
        <v>Elementos.Espaciais</v>
      </c>
      <c r="N50" s="29" t="str">
        <f t="shared" ref="N50:O135" si="22">(SUBSTITUTE(SUBSTITUTE(CONCATENATE("",E50),"."," ")," De "," de "))</f>
        <v>Ambiente Articulador</v>
      </c>
      <c r="O50" s="29" t="str">
        <f t="shared" si="22"/>
        <v>Amb Circulação</v>
      </c>
      <c r="P50" s="30" t="s">
        <v>957</v>
      </c>
      <c r="Q50" s="30" t="s">
        <v>960</v>
      </c>
      <c r="R50" s="30" t="s">
        <v>959</v>
      </c>
      <c r="S50" s="63" t="s">
        <v>10</v>
      </c>
      <c r="T50" s="30" t="str">
        <f t="shared" ref="T50:V75" si="23">SUBSTITUTE(C50, ".", " ")</f>
        <v>De Espacialidade</v>
      </c>
      <c r="U50" s="30" t="str">
        <f t="shared" si="23"/>
        <v>Elementos Espaciais</v>
      </c>
      <c r="V50" s="30" t="str">
        <f t="shared" si="23"/>
        <v>Ambiente Articulador</v>
      </c>
      <c r="W50" s="30" t="s">
        <v>78</v>
      </c>
      <c r="X50" s="45" t="str">
        <f t="shared" si="11"/>
        <v>Key-AMB-50</v>
      </c>
      <c r="Y50" s="30" t="s">
        <v>442</v>
      </c>
      <c r="Z50" s="61" t="s">
        <v>10</v>
      </c>
      <c r="AA50" s="41" t="s">
        <v>179</v>
      </c>
      <c r="AB50" s="61" t="s">
        <v>10</v>
      </c>
      <c r="AC50" s="56" t="s">
        <v>923</v>
      </c>
      <c r="AD50" s="61" t="s">
        <v>10</v>
      </c>
    </row>
    <row r="51" spans="1:30" s="34" customFormat="1" ht="6.75" customHeight="1" x14ac:dyDescent="0.25">
      <c r="A51" s="49">
        <v>51</v>
      </c>
      <c r="B51" s="27" t="s">
        <v>408</v>
      </c>
      <c r="C51" s="27" t="s">
        <v>413</v>
      </c>
      <c r="D51" s="27" t="s">
        <v>224</v>
      </c>
      <c r="E51" s="27" t="s">
        <v>951</v>
      </c>
      <c r="F51" s="28" t="s">
        <v>952</v>
      </c>
      <c r="G51" s="44" t="s">
        <v>10</v>
      </c>
      <c r="H51" s="44" t="s">
        <v>10</v>
      </c>
      <c r="I51" s="44" t="s">
        <v>10</v>
      </c>
      <c r="J51" s="44" t="s">
        <v>10</v>
      </c>
      <c r="K51" s="44" t="s">
        <v>10</v>
      </c>
      <c r="L51" s="29" t="str">
        <f t="shared" ref="L51" si="24">CONCATENATE("", C51)</f>
        <v>De.Espacialidade</v>
      </c>
      <c r="M51" s="29" t="str">
        <f t="shared" ref="M51" si="25">CONCATENATE("", D51)</f>
        <v>Elementos.Espaciais</v>
      </c>
      <c r="N51" s="29" t="str">
        <f t="shared" ref="N51" si="26">(SUBSTITUTE(SUBSTITUTE(CONCATENATE("",E51),"."," ")," De "," de "))</f>
        <v>Ambiente Articulador</v>
      </c>
      <c r="O51" s="29" t="str">
        <f t="shared" ref="O51" si="27">(SUBSTITUTE(SUBSTITUTE(CONCATENATE("",F51),"."," ")," De "," de "))</f>
        <v>Amb Hall</v>
      </c>
      <c r="P51" s="30" t="s">
        <v>956</v>
      </c>
      <c r="Q51" s="30" t="s">
        <v>953</v>
      </c>
      <c r="R51" s="30" t="s">
        <v>954</v>
      </c>
      <c r="S51" s="63" t="s">
        <v>10</v>
      </c>
      <c r="T51" s="30" t="str">
        <f t="shared" ref="T51" si="28">SUBSTITUTE(C51, ".", " ")</f>
        <v>De Espacialidade</v>
      </c>
      <c r="U51" s="30" t="str">
        <f t="shared" ref="U51" si="29">SUBSTITUTE(D51, ".", " ")</f>
        <v>Elementos Espaciais</v>
      </c>
      <c r="V51" s="30" t="str">
        <f t="shared" ref="V51" si="30">SUBSTITUTE(E51, ".", " ")</f>
        <v>Ambiente Articulador</v>
      </c>
      <c r="W51" s="30" t="s">
        <v>78</v>
      </c>
      <c r="X51" s="45" t="str">
        <f t="shared" ref="X51" si="31">CONCATENATE("Key-AMB-",A51)</f>
        <v>Key-AMB-51</v>
      </c>
      <c r="Y51" s="30" t="s">
        <v>442</v>
      </c>
      <c r="Z51" s="61" t="s">
        <v>10</v>
      </c>
      <c r="AA51" s="41" t="s">
        <v>179</v>
      </c>
      <c r="AB51" s="61" t="s">
        <v>10</v>
      </c>
      <c r="AC51" s="56" t="s">
        <v>332</v>
      </c>
      <c r="AD51" s="61" t="s">
        <v>10</v>
      </c>
    </row>
    <row r="52" spans="1:30" s="34" customFormat="1" ht="6.75" customHeight="1" x14ac:dyDescent="0.25">
      <c r="A52" s="49">
        <v>52</v>
      </c>
      <c r="B52" s="27" t="s">
        <v>408</v>
      </c>
      <c r="C52" s="27" t="s">
        <v>413</v>
      </c>
      <c r="D52" s="27" t="s">
        <v>224</v>
      </c>
      <c r="E52" s="27" t="s">
        <v>951</v>
      </c>
      <c r="F52" s="28" t="s">
        <v>848</v>
      </c>
      <c r="G52" s="44" t="s">
        <v>10</v>
      </c>
      <c r="H52" s="44" t="s">
        <v>10</v>
      </c>
      <c r="I52" s="44" t="s">
        <v>10</v>
      </c>
      <c r="J52" s="44" t="s">
        <v>10</v>
      </c>
      <c r="K52" s="44" t="s">
        <v>10</v>
      </c>
      <c r="L52" s="29" t="str">
        <f t="shared" si="12"/>
        <v>De.Espacialidade</v>
      </c>
      <c r="M52" s="29" t="str">
        <f t="shared" si="12"/>
        <v>Elementos.Espaciais</v>
      </c>
      <c r="N52" s="29" t="str">
        <f t="shared" si="22"/>
        <v>Ambiente Articulador</v>
      </c>
      <c r="O52" s="29" t="str">
        <f t="shared" si="22"/>
        <v>Amb Inespecífico</v>
      </c>
      <c r="P52" s="30" t="s">
        <v>231</v>
      </c>
      <c r="Q52" s="30" t="s">
        <v>677</v>
      </c>
      <c r="R52" s="30" t="s">
        <v>500</v>
      </c>
      <c r="S52" s="63" t="s">
        <v>10</v>
      </c>
      <c r="T52" s="30" t="str">
        <f t="shared" si="23"/>
        <v>De Espacialidade</v>
      </c>
      <c r="U52" s="30" t="str">
        <f t="shared" si="23"/>
        <v>Elementos Espaciais</v>
      </c>
      <c r="V52" s="30" t="str">
        <f t="shared" si="23"/>
        <v>Ambiente Articulador</v>
      </c>
      <c r="W52" s="30" t="s">
        <v>78</v>
      </c>
      <c r="X52" s="45" t="str">
        <f t="shared" si="11"/>
        <v>Key-AMB-52</v>
      </c>
      <c r="Y52" s="30" t="s">
        <v>442</v>
      </c>
      <c r="Z52" s="61" t="s">
        <v>10</v>
      </c>
      <c r="AA52" s="41" t="s">
        <v>179</v>
      </c>
      <c r="AB52" s="61" t="s">
        <v>10</v>
      </c>
      <c r="AC52" s="56" t="s">
        <v>923</v>
      </c>
      <c r="AD52" s="61" t="s">
        <v>10</v>
      </c>
    </row>
    <row r="53" spans="1:30" s="34" customFormat="1" ht="6.75" customHeight="1" x14ac:dyDescent="0.25">
      <c r="A53" s="49">
        <v>53</v>
      </c>
      <c r="B53" s="27" t="s">
        <v>408</v>
      </c>
      <c r="C53" s="27" t="s">
        <v>413</v>
      </c>
      <c r="D53" s="27" t="s">
        <v>224</v>
      </c>
      <c r="E53" s="27" t="s">
        <v>951</v>
      </c>
      <c r="F53" s="28" t="s">
        <v>849</v>
      </c>
      <c r="G53" s="44" t="s">
        <v>10</v>
      </c>
      <c r="H53" s="44" t="s">
        <v>10</v>
      </c>
      <c r="I53" s="44" t="s">
        <v>10</v>
      </c>
      <c r="J53" s="44" t="s">
        <v>10</v>
      </c>
      <c r="K53" s="44" t="s">
        <v>10</v>
      </c>
      <c r="L53" s="29" t="str">
        <f t="shared" si="12"/>
        <v>De.Espacialidade</v>
      </c>
      <c r="M53" s="29" t="str">
        <f t="shared" si="12"/>
        <v>Elementos.Espaciais</v>
      </c>
      <c r="N53" s="29" t="str">
        <f t="shared" si="22"/>
        <v>Ambiente Articulador</v>
      </c>
      <c r="O53" s="29" t="str">
        <f t="shared" si="22"/>
        <v>Amb Shaft</v>
      </c>
      <c r="P53" s="30" t="s">
        <v>331</v>
      </c>
      <c r="Q53" s="30" t="s">
        <v>678</v>
      </c>
      <c r="R53" s="30" t="s">
        <v>501</v>
      </c>
      <c r="S53" s="63" t="s">
        <v>10</v>
      </c>
      <c r="T53" s="30" t="str">
        <f t="shared" si="23"/>
        <v>De Espacialidade</v>
      </c>
      <c r="U53" s="30" t="str">
        <f t="shared" si="23"/>
        <v>Elementos Espaciais</v>
      </c>
      <c r="V53" s="30" t="str">
        <f t="shared" si="23"/>
        <v>Ambiente Articulador</v>
      </c>
      <c r="W53" s="30" t="s">
        <v>78</v>
      </c>
      <c r="X53" s="45" t="str">
        <f t="shared" si="11"/>
        <v>Key-AMB-53</v>
      </c>
      <c r="Y53" s="30" t="s">
        <v>442</v>
      </c>
      <c r="Z53" s="61" t="s">
        <v>10</v>
      </c>
      <c r="AA53" s="41" t="s">
        <v>179</v>
      </c>
      <c r="AB53" s="61" t="s">
        <v>10</v>
      </c>
      <c r="AC53" s="56" t="s">
        <v>332</v>
      </c>
      <c r="AD53" s="61" t="s">
        <v>10</v>
      </c>
    </row>
    <row r="54" spans="1:30" s="34" customFormat="1" ht="6.75" customHeight="1" x14ac:dyDescent="0.25">
      <c r="A54" s="49">
        <v>54</v>
      </c>
      <c r="B54" s="27" t="s">
        <v>408</v>
      </c>
      <c r="C54" s="27" t="s">
        <v>413</v>
      </c>
      <c r="D54" s="27" t="s">
        <v>224</v>
      </c>
      <c r="E54" s="27" t="s">
        <v>950</v>
      </c>
      <c r="F54" s="28" t="s">
        <v>850</v>
      </c>
      <c r="G54" s="44" t="s">
        <v>10</v>
      </c>
      <c r="H54" s="44" t="s">
        <v>10</v>
      </c>
      <c r="I54" s="44" t="s">
        <v>10</v>
      </c>
      <c r="J54" s="44" t="s">
        <v>10</v>
      </c>
      <c r="K54" s="44" t="s">
        <v>10</v>
      </c>
      <c r="L54" s="29" t="str">
        <f t="shared" si="12"/>
        <v>De.Espacialidade</v>
      </c>
      <c r="M54" s="29" t="str">
        <f t="shared" si="12"/>
        <v>Elementos.Espaciais</v>
      </c>
      <c r="N54" s="29" t="str">
        <f t="shared" si="22"/>
        <v>Ambiente Especializado</v>
      </c>
      <c r="O54" s="29" t="str">
        <f t="shared" si="22"/>
        <v>Amb Acústico</v>
      </c>
      <c r="P54" s="30" t="s">
        <v>364</v>
      </c>
      <c r="Q54" s="30" t="s">
        <v>679</v>
      </c>
      <c r="R54" s="30" t="s">
        <v>502</v>
      </c>
      <c r="S54" s="63" t="s">
        <v>10</v>
      </c>
      <c r="T54" s="30" t="str">
        <f t="shared" si="23"/>
        <v>De Espacialidade</v>
      </c>
      <c r="U54" s="30" t="str">
        <f t="shared" si="23"/>
        <v>Elementos Espaciais</v>
      </c>
      <c r="V54" s="30" t="str">
        <f t="shared" si="23"/>
        <v>Ambiente Especializado</v>
      </c>
      <c r="W54" s="30" t="s">
        <v>78</v>
      </c>
      <c r="X54" s="45" t="str">
        <f t="shared" si="11"/>
        <v>Key-AMB-54</v>
      </c>
      <c r="Y54" s="30" t="s">
        <v>442</v>
      </c>
      <c r="Z54" s="61" t="s">
        <v>10</v>
      </c>
      <c r="AA54" s="41" t="s">
        <v>179</v>
      </c>
      <c r="AB54" s="61" t="s">
        <v>10</v>
      </c>
      <c r="AC54" s="56" t="s">
        <v>923</v>
      </c>
      <c r="AD54" s="61" t="s">
        <v>10</v>
      </c>
    </row>
    <row r="55" spans="1:30" s="34" customFormat="1" ht="6.75" customHeight="1" x14ac:dyDescent="0.25">
      <c r="A55" s="49">
        <v>55</v>
      </c>
      <c r="B55" s="27" t="s">
        <v>408</v>
      </c>
      <c r="C55" s="27" t="s">
        <v>413</v>
      </c>
      <c r="D55" s="27" t="s">
        <v>224</v>
      </c>
      <c r="E55" s="27" t="s">
        <v>950</v>
      </c>
      <c r="F55" s="28" t="s">
        <v>851</v>
      </c>
      <c r="G55" s="44" t="s">
        <v>10</v>
      </c>
      <c r="H55" s="44" t="s">
        <v>10</v>
      </c>
      <c r="I55" s="44" t="s">
        <v>10</v>
      </c>
      <c r="J55" s="44" t="s">
        <v>10</v>
      </c>
      <c r="K55" s="44" t="s">
        <v>10</v>
      </c>
      <c r="L55" s="29" t="str">
        <f t="shared" si="12"/>
        <v>De.Espacialidade</v>
      </c>
      <c r="M55" s="29" t="str">
        <f t="shared" si="12"/>
        <v>Elementos.Espaciais</v>
      </c>
      <c r="N55" s="29" t="str">
        <f t="shared" si="22"/>
        <v>Ambiente Especializado</v>
      </c>
      <c r="O55" s="29" t="str">
        <f t="shared" si="22"/>
        <v>Amb Anecóico</v>
      </c>
      <c r="P55" s="30" t="s">
        <v>266</v>
      </c>
      <c r="Q55" s="30" t="s">
        <v>680</v>
      </c>
      <c r="R55" s="30" t="s">
        <v>503</v>
      </c>
      <c r="S55" s="63" t="s">
        <v>10</v>
      </c>
      <c r="T55" s="30" t="str">
        <f t="shared" si="23"/>
        <v>De Espacialidade</v>
      </c>
      <c r="U55" s="30" t="str">
        <f t="shared" si="23"/>
        <v>Elementos Espaciais</v>
      </c>
      <c r="V55" s="30" t="str">
        <f t="shared" si="23"/>
        <v>Ambiente Especializado</v>
      </c>
      <c r="W55" s="30" t="s">
        <v>78</v>
      </c>
      <c r="X55" s="45" t="str">
        <f t="shared" si="11"/>
        <v>Key-AMB-55</v>
      </c>
      <c r="Y55" s="30" t="s">
        <v>442</v>
      </c>
      <c r="Z55" s="61" t="s">
        <v>10</v>
      </c>
      <c r="AA55" s="41" t="s">
        <v>179</v>
      </c>
      <c r="AB55" s="61" t="s">
        <v>10</v>
      </c>
      <c r="AC55" s="56" t="s">
        <v>923</v>
      </c>
      <c r="AD55" s="61" t="s">
        <v>10</v>
      </c>
    </row>
    <row r="56" spans="1:30" s="34" customFormat="1" ht="6.75" customHeight="1" x14ac:dyDescent="0.25">
      <c r="A56" s="49">
        <v>56</v>
      </c>
      <c r="B56" s="27" t="s">
        <v>408</v>
      </c>
      <c r="C56" s="27" t="s">
        <v>413</v>
      </c>
      <c r="D56" s="27" t="s">
        <v>224</v>
      </c>
      <c r="E56" s="27" t="s">
        <v>950</v>
      </c>
      <c r="F56" s="28" t="s">
        <v>852</v>
      </c>
      <c r="G56" s="44" t="s">
        <v>10</v>
      </c>
      <c r="H56" s="44" t="s">
        <v>10</v>
      </c>
      <c r="I56" s="44" t="s">
        <v>10</v>
      </c>
      <c r="J56" s="44" t="s">
        <v>10</v>
      </c>
      <c r="K56" s="44" t="s">
        <v>10</v>
      </c>
      <c r="L56" s="29" t="str">
        <f t="shared" si="12"/>
        <v>De.Espacialidade</v>
      </c>
      <c r="M56" s="29" t="str">
        <f t="shared" si="12"/>
        <v>Elementos.Espaciais</v>
      </c>
      <c r="N56" s="29" t="str">
        <f t="shared" si="22"/>
        <v>Ambiente Especializado</v>
      </c>
      <c r="O56" s="29" t="str">
        <f t="shared" si="22"/>
        <v>Amb Blindado</v>
      </c>
      <c r="P56" s="30" t="s">
        <v>344</v>
      </c>
      <c r="Q56" s="30" t="s">
        <v>681</v>
      </c>
      <c r="R56" s="30" t="s">
        <v>504</v>
      </c>
      <c r="S56" s="63" t="s">
        <v>10</v>
      </c>
      <c r="T56" s="30" t="str">
        <f t="shared" si="23"/>
        <v>De Espacialidade</v>
      </c>
      <c r="U56" s="30" t="str">
        <f t="shared" si="23"/>
        <v>Elementos Espaciais</v>
      </c>
      <c r="V56" s="30" t="str">
        <f t="shared" si="23"/>
        <v>Ambiente Especializado</v>
      </c>
      <c r="W56" s="30" t="s">
        <v>78</v>
      </c>
      <c r="X56" s="45" t="str">
        <f t="shared" si="11"/>
        <v>Key-AMB-56</v>
      </c>
      <c r="Y56" s="30" t="s">
        <v>442</v>
      </c>
      <c r="Z56" s="61" t="s">
        <v>10</v>
      </c>
      <c r="AA56" s="41" t="s">
        <v>179</v>
      </c>
      <c r="AB56" s="61" t="s">
        <v>10</v>
      </c>
      <c r="AC56" s="56" t="s">
        <v>923</v>
      </c>
      <c r="AD56" s="61" t="s">
        <v>10</v>
      </c>
    </row>
    <row r="57" spans="1:30" s="34" customFormat="1" ht="6.75" customHeight="1" x14ac:dyDescent="0.25">
      <c r="A57" s="49">
        <v>57</v>
      </c>
      <c r="B57" s="27" t="s">
        <v>408</v>
      </c>
      <c r="C57" s="27" t="s">
        <v>413</v>
      </c>
      <c r="D57" s="27" t="s">
        <v>224</v>
      </c>
      <c r="E57" s="27" t="s">
        <v>950</v>
      </c>
      <c r="F57" s="28" t="s">
        <v>853</v>
      </c>
      <c r="G57" s="44" t="s">
        <v>10</v>
      </c>
      <c r="H57" s="44" t="s">
        <v>10</v>
      </c>
      <c r="I57" s="44" t="s">
        <v>10</v>
      </c>
      <c r="J57" s="44" t="s">
        <v>10</v>
      </c>
      <c r="K57" s="44" t="s">
        <v>10</v>
      </c>
      <c r="L57" s="29" t="str">
        <f t="shared" si="12"/>
        <v>De.Espacialidade</v>
      </c>
      <c r="M57" s="29" t="str">
        <f t="shared" si="12"/>
        <v>Elementos.Espaciais</v>
      </c>
      <c r="N57" s="29" t="str">
        <f t="shared" si="22"/>
        <v>Ambiente Especializado</v>
      </c>
      <c r="O57" s="29" t="str">
        <f t="shared" si="22"/>
        <v>Amb Estacionamento</v>
      </c>
      <c r="P57" s="30" t="s">
        <v>374</v>
      </c>
      <c r="Q57" s="30" t="s">
        <v>682</v>
      </c>
      <c r="R57" s="30" t="s">
        <v>505</v>
      </c>
      <c r="S57" s="63" t="s">
        <v>10</v>
      </c>
      <c r="T57" s="30" t="str">
        <f t="shared" si="23"/>
        <v>De Espacialidade</v>
      </c>
      <c r="U57" s="30" t="str">
        <f t="shared" si="23"/>
        <v>Elementos Espaciais</v>
      </c>
      <c r="V57" s="30" t="str">
        <f t="shared" si="23"/>
        <v>Ambiente Especializado</v>
      </c>
      <c r="W57" s="30" t="s">
        <v>78</v>
      </c>
      <c r="X57" s="45" t="str">
        <f t="shared" si="11"/>
        <v>Key-AMB-57</v>
      </c>
      <c r="Y57" s="30" t="s">
        <v>442</v>
      </c>
      <c r="Z57" s="61" t="s">
        <v>10</v>
      </c>
      <c r="AA57" s="41" t="s">
        <v>179</v>
      </c>
      <c r="AB57" s="61" t="s">
        <v>10</v>
      </c>
      <c r="AC57" s="56" t="s">
        <v>923</v>
      </c>
      <c r="AD57" s="61" t="s">
        <v>10</v>
      </c>
    </row>
    <row r="58" spans="1:30" s="34" customFormat="1" ht="6.75" customHeight="1" x14ac:dyDescent="0.25">
      <c r="A58" s="49">
        <v>58</v>
      </c>
      <c r="B58" s="27" t="s">
        <v>408</v>
      </c>
      <c r="C58" s="27" t="s">
        <v>413</v>
      </c>
      <c r="D58" s="27" t="s">
        <v>224</v>
      </c>
      <c r="E58" s="27" t="s">
        <v>950</v>
      </c>
      <c r="F58" s="28" t="s">
        <v>854</v>
      </c>
      <c r="G58" s="44" t="s">
        <v>10</v>
      </c>
      <c r="H58" s="44" t="s">
        <v>10</v>
      </c>
      <c r="I58" s="44" t="s">
        <v>10</v>
      </c>
      <c r="J58" s="44" t="s">
        <v>10</v>
      </c>
      <c r="K58" s="44" t="s">
        <v>10</v>
      </c>
      <c r="L58" s="29" t="str">
        <f t="shared" si="12"/>
        <v>De.Espacialidade</v>
      </c>
      <c r="M58" s="29" t="str">
        <f t="shared" si="12"/>
        <v>Elementos.Espaciais</v>
      </c>
      <c r="N58" s="29" t="str">
        <f t="shared" si="22"/>
        <v>Ambiente Especializado</v>
      </c>
      <c r="O58" s="29" t="str">
        <f t="shared" si="22"/>
        <v>Amb Expositivo</v>
      </c>
      <c r="P58" s="30" t="s">
        <v>268</v>
      </c>
      <c r="Q58" s="30" t="s">
        <v>683</v>
      </c>
      <c r="R58" s="30" t="s">
        <v>506</v>
      </c>
      <c r="S58" s="63" t="s">
        <v>10</v>
      </c>
      <c r="T58" s="30" t="str">
        <f t="shared" si="23"/>
        <v>De Espacialidade</v>
      </c>
      <c r="U58" s="30" t="str">
        <f t="shared" si="23"/>
        <v>Elementos Espaciais</v>
      </c>
      <c r="V58" s="30" t="str">
        <f t="shared" si="23"/>
        <v>Ambiente Especializado</v>
      </c>
      <c r="W58" s="30" t="s">
        <v>78</v>
      </c>
      <c r="X58" s="45" t="str">
        <f t="shared" si="11"/>
        <v>Key-AMB-58</v>
      </c>
      <c r="Y58" s="30" t="s">
        <v>442</v>
      </c>
      <c r="Z58" s="61" t="s">
        <v>10</v>
      </c>
      <c r="AA58" s="41" t="s">
        <v>179</v>
      </c>
      <c r="AB58" s="61" t="s">
        <v>10</v>
      </c>
      <c r="AC58" s="56" t="s">
        <v>923</v>
      </c>
      <c r="AD58" s="61" t="s">
        <v>10</v>
      </c>
    </row>
    <row r="59" spans="1:30" s="34" customFormat="1" ht="6.75" customHeight="1" x14ac:dyDescent="0.25">
      <c r="A59" s="49">
        <v>59</v>
      </c>
      <c r="B59" s="27" t="s">
        <v>408</v>
      </c>
      <c r="C59" s="27" t="s">
        <v>413</v>
      </c>
      <c r="D59" s="27" t="s">
        <v>224</v>
      </c>
      <c r="E59" s="27" t="s">
        <v>950</v>
      </c>
      <c r="F59" s="28" t="s">
        <v>855</v>
      </c>
      <c r="G59" s="44" t="s">
        <v>10</v>
      </c>
      <c r="H59" s="44" t="s">
        <v>10</v>
      </c>
      <c r="I59" s="44" t="s">
        <v>10</v>
      </c>
      <c r="J59" s="44" t="s">
        <v>10</v>
      </c>
      <c r="K59" s="44" t="s">
        <v>10</v>
      </c>
      <c r="L59" s="29" t="str">
        <f t="shared" si="12"/>
        <v>De.Espacialidade</v>
      </c>
      <c r="M59" s="29" t="str">
        <f t="shared" si="12"/>
        <v>Elementos.Espaciais</v>
      </c>
      <c r="N59" s="29" t="str">
        <f t="shared" si="22"/>
        <v>Ambiente Especializado</v>
      </c>
      <c r="O59" s="29" t="str">
        <f t="shared" si="22"/>
        <v>Amb Frio</v>
      </c>
      <c r="P59" s="30" t="s">
        <v>269</v>
      </c>
      <c r="Q59" s="30" t="s">
        <v>684</v>
      </c>
      <c r="R59" s="30" t="s">
        <v>507</v>
      </c>
      <c r="S59" s="63" t="s">
        <v>10</v>
      </c>
      <c r="T59" s="30" t="str">
        <f t="shared" si="23"/>
        <v>De Espacialidade</v>
      </c>
      <c r="U59" s="30" t="str">
        <f t="shared" si="23"/>
        <v>Elementos Espaciais</v>
      </c>
      <c r="V59" s="30" t="str">
        <f t="shared" si="23"/>
        <v>Ambiente Especializado</v>
      </c>
      <c r="W59" s="30" t="s">
        <v>78</v>
      </c>
      <c r="X59" s="45" t="str">
        <f t="shared" si="11"/>
        <v>Key-AMB-59</v>
      </c>
      <c r="Y59" s="30" t="s">
        <v>442</v>
      </c>
      <c r="Z59" s="61" t="s">
        <v>10</v>
      </c>
      <c r="AA59" s="41" t="s">
        <v>179</v>
      </c>
      <c r="AB59" s="61" t="s">
        <v>10</v>
      </c>
      <c r="AC59" s="56" t="s">
        <v>923</v>
      </c>
      <c r="AD59" s="61" t="s">
        <v>10</v>
      </c>
    </row>
    <row r="60" spans="1:30" s="34" customFormat="1" ht="6.75" customHeight="1" x14ac:dyDescent="0.25">
      <c r="A60" s="49">
        <v>60</v>
      </c>
      <c r="B60" s="27" t="s">
        <v>408</v>
      </c>
      <c r="C60" s="27" t="s">
        <v>413</v>
      </c>
      <c r="D60" s="27" t="s">
        <v>224</v>
      </c>
      <c r="E60" s="27" t="s">
        <v>950</v>
      </c>
      <c r="F60" s="28" t="s">
        <v>856</v>
      </c>
      <c r="G60" s="44" t="s">
        <v>10</v>
      </c>
      <c r="H60" s="44" t="s">
        <v>10</v>
      </c>
      <c r="I60" s="44" t="s">
        <v>10</v>
      </c>
      <c r="J60" s="44" t="s">
        <v>10</v>
      </c>
      <c r="K60" s="44" t="s">
        <v>10</v>
      </c>
      <c r="L60" s="29" t="str">
        <f t="shared" si="12"/>
        <v>De.Espacialidade</v>
      </c>
      <c r="M60" s="29" t="str">
        <f t="shared" si="12"/>
        <v>Elementos.Espaciais</v>
      </c>
      <c r="N60" s="29" t="str">
        <f t="shared" si="22"/>
        <v>Ambiente Especializado</v>
      </c>
      <c r="O60" s="29" t="str">
        <f t="shared" si="22"/>
        <v>Amb Gastronômico</v>
      </c>
      <c r="P60" s="30" t="s">
        <v>342</v>
      </c>
      <c r="Q60" s="30" t="s">
        <v>685</v>
      </c>
      <c r="R60" s="30" t="s">
        <v>508</v>
      </c>
      <c r="S60" s="63" t="s">
        <v>10</v>
      </c>
      <c r="T60" s="30" t="str">
        <f t="shared" si="23"/>
        <v>De Espacialidade</v>
      </c>
      <c r="U60" s="30" t="str">
        <f t="shared" si="23"/>
        <v>Elementos Espaciais</v>
      </c>
      <c r="V60" s="30" t="str">
        <f t="shared" si="23"/>
        <v>Ambiente Especializado</v>
      </c>
      <c r="W60" s="30" t="s">
        <v>78</v>
      </c>
      <c r="X60" s="45" t="str">
        <f t="shared" si="11"/>
        <v>Key-AMB-60</v>
      </c>
      <c r="Y60" s="30" t="s">
        <v>442</v>
      </c>
      <c r="Z60" s="61" t="s">
        <v>10</v>
      </c>
      <c r="AA60" s="41" t="s">
        <v>179</v>
      </c>
      <c r="AB60" s="61" t="s">
        <v>10</v>
      </c>
      <c r="AC60" s="56" t="s">
        <v>923</v>
      </c>
      <c r="AD60" s="61" t="s">
        <v>10</v>
      </c>
    </row>
    <row r="61" spans="1:30" s="34" customFormat="1" ht="6.75" customHeight="1" x14ac:dyDescent="0.25">
      <c r="A61" s="49">
        <v>61</v>
      </c>
      <c r="B61" s="27" t="s">
        <v>408</v>
      </c>
      <c r="C61" s="27" t="s">
        <v>413</v>
      </c>
      <c r="D61" s="27" t="s">
        <v>224</v>
      </c>
      <c r="E61" s="27" t="s">
        <v>950</v>
      </c>
      <c r="F61" s="28" t="s">
        <v>857</v>
      </c>
      <c r="G61" s="44" t="s">
        <v>10</v>
      </c>
      <c r="H61" s="44" t="s">
        <v>10</v>
      </c>
      <c r="I61" s="44" t="s">
        <v>10</v>
      </c>
      <c r="J61" s="44" t="s">
        <v>10</v>
      </c>
      <c r="K61" s="44" t="s">
        <v>10</v>
      </c>
      <c r="L61" s="29" t="str">
        <f t="shared" si="12"/>
        <v>De.Espacialidade</v>
      </c>
      <c r="M61" s="29" t="str">
        <f t="shared" si="12"/>
        <v>Elementos.Espaciais</v>
      </c>
      <c r="N61" s="29" t="str">
        <f t="shared" si="22"/>
        <v>Ambiente Especializado</v>
      </c>
      <c r="O61" s="29" t="str">
        <f t="shared" si="22"/>
        <v>Amb Grande</v>
      </c>
      <c r="P61" s="30" t="s">
        <v>371</v>
      </c>
      <c r="Q61" s="30" t="s">
        <v>686</v>
      </c>
      <c r="R61" s="30" t="s">
        <v>509</v>
      </c>
      <c r="S61" s="63" t="s">
        <v>10</v>
      </c>
      <c r="T61" s="30" t="str">
        <f t="shared" si="23"/>
        <v>De Espacialidade</v>
      </c>
      <c r="U61" s="30" t="str">
        <f t="shared" si="23"/>
        <v>Elementos Espaciais</v>
      </c>
      <c r="V61" s="30" t="str">
        <f t="shared" si="23"/>
        <v>Ambiente Especializado</v>
      </c>
      <c r="W61" s="30" t="s">
        <v>78</v>
      </c>
      <c r="X61" s="45" t="str">
        <f t="shared" si="11"/>
        <v>Key-AMB-61</v>
      </c>
      <c r="Y61" s="30" t="s">
        <v>442</v>
      </c>
      <c r="Z61" s="61" t="s">
        <v>10</v>
      </c>
      <c r="AA61" s="41" t="s">
        <v>179</v>
      </c>
      <c r="AB61" s="61" t="s">
        <v>10</v>
      </c>
      <c r="AC61" s="56" t="s">
        <v>923</v>
      </c>
      <c r="AD61" s="61" t="s">
        <v>10</v>
      </c>
    </row>
    <row r="62" spans="1:30" s="34" customFormat="1" ht="6.75" customHeight="1" x14ac:dyDescent="0.25">
      <c r="A62" s="49">
        <v>62</v>
      </c>
      <c r="B62" s="27" t="s">
        <v>408</v>
      </c>
      <c r="C62" s="27" t="s">
        <v>413</v>
      </c>
      <c r="D62" s="27" t="s">
        <v>224</v>
      </c>
      <c r="E62" s="27" t="s">
        <v>950</v>
      </c>
      <c r="F62" s="28" t="s">
        <v>858</v>
      </c>
      <c r="G62" s="44" t="s">
        <v>10</v>
      </c>
      <c r="H62" s="44" t="s">
        <v>10</v>
      </c>
      <c r="I62" s="44" t="s">
        <v>10</v>
      </c>
      <c r="J62" s="44" t="s">
        <v>10</v>
      </c>
      <c r="K62" s="44" t="s">
        <v>10</v>
      </c>
      <c r="L62" s="29" t="str">
        <f t="shared" si="12"/>
        <v>De.Espacialidade</v>
      </c>
      <c r="M62" s="29" t="str">
        <f t="shared" si="12"/>
        <v>Elementos.Espaciais</v>
      </c>
      <c r="N62" s="29" t="str">
        <f t="shared" si="22"/>
        <v>Ambiente Especializado</v>
      </c>
      <c r="O62" s="29" t="str">
        <f t="shared" si="22"/>
        <v>Amb Logístico</v>
      </c>
      <c r="P62" s="30" t="s">
        <v>288</v>
      </c>
      <c r="Q62" s="30" t="s">
        <v>687</v>
      </c>
      <c r="R62" s="30" t="s">
        <v>510</v>
      </c>
      <c r="S62" s="63" t="s">
        <v>10</v>
      </c>
      <c r="T62" s="30" t="str">
        <f t="shared" si="23"/>
        <v>De Espacialidade</v>
      </c>
      <c r="U62" s="30" t="str">
        <f t="shared" si="23"/>
        <v>Elementos Espaciais</v>
      </c>
      <c r="V62" s="30" t="str">
        <f t="shared" si="23"/>
        <v>Ambiente Especializado</v>
      </c>
      <c r="W62" s="30" t="s">
        <v>78</v>
      </c>
      <c r="X62" s="45" t="str">
        <f t="shared" si="11"/>
        <v>Key-AMB-62</v>
      </c>
      <c r="Y62" s="30" t="s">
        <v>442</v>
      </c>
      <c r="Z62" s="61" t="s">
        <v>10</v>
      </c>
      <c r="AA62" s="41" t="s">
        <v>179</v>
      </c>
      <c r="AB62" s="61" t="s">
        <v>10</v>
      </c>
      <c r="AC62" s="56" t="s">
        <v>923</v>
      </c>
      <c r="AD62" s="61" t="s">
        <v>10</v>
      </c>
    </row>
    <row r="63" spans="1:30" s="34" customFormat="1" ht="6.75" customHeight="1" x14ac:dyDescent="0.25">
      <c r="A63" s="49">
        <v>63</v>
      </c>
      <c r="B63" s="27" t="s">
        <v>408</v>
      </c>
      <c r="C63" s="27" t="s">
        <v>413</v>
      </c>
      <c r="D63" s="27" t="s">
        <v>224</v>
      </c>
      <c r="E63" s="27" t="s">
        <v>950</v>
      </c>
      <c r="F63" s="28" t="s">
        <v>859</v>
      </c>
      <c r="G63" s="44" t="s">
        <v>10</v>
      </c>
      <c r="H63" s="44" t="s">
        <v>10</v>
      </c>
      <c r="I63" s="44" t="s">
        <v>10</v>
      </c>
      <c r="J63" s="44" t="s">
        <v>10</v>
      </c>
      <c r="K63" s="44" t="s">
        <v>10</v>
      </c>
      <c r="L63" s="29" t="str">
        <f t="shared" si="12"/>
        <v>De.Espacialidade</v>
      </c>
      <c r="M63" s="29" t="str">
        <f t="shared" si="12"/>
        <v>Elementos.Espaciais</v>
      </c>
      <c r="N63" s="29" t="str">
        <f t="shared" si="22"/>
        <v>Ambiente Especializado</v>
      </c>
      <c r="O63" s="29" t="str">
        <f t="shared" si="22"/>
        <v>Amb Manutenção</v>
      </c>
      <c r="P63" s="30" t="s">
        <v>343</v>
      </c>
      <c r="Q63" s="30" t="s">
        <v>688</v>
      </c>
      <c r="R63" s="30" t="s">
        <v>511</v>
      </c>
      <c r="S63" s="63" t="s">
        <v>10</v>
      </c>
      <c r="T63" s="30" t="str">
        <f t="shared" si="23"/>
        <v>De Espacialidade</v>
      </c>
      <c r="U63" s="30" t="str">
        <f t="shared" si="23"/>
        <v>Elementos Espaciais</v>
      </c>
      <c r="V63" s="30" t="str">
        <f t="shared" si="23"/>
        <v>Ambiente Especializado</v>
      </c>
      <c r="W63" s="30" t="s">
        <v>78</v>
      </c>
      <c r="X63" s="45" t="str">
        <f t="shared" si="11"/>
        <v>Key-AMB-63</v>
      </c>
      <c r="Y63" s="30" t="s">
        <v>442</v>
      </c>
      <c r="Z63" s="61" t="s">
        <v>10</v>
      </c>
      <c r="AA63" s="41" t="s">
        <v>179</v>
      </c>
      <c r="AB63" s="61" t="s">
        <v>10</v>
      </c>
      <c r="AC63" s="56" t="s">
        <v>923</v>
      </c>
      <c r="AD63" s="61" t="s">
        <v>10</v>
      </c>
    </row>
    <row r="64" spans="1:30" s="34" customFormat="1" ht="6.75" customHeight="1" x14ac:dyDescent="0.25">
      <c r="A64" s="49">
        <v>64</v>
      </c>
      <c r="B64" s="27" t="s">
        <v>408</v>
      </c>
      <c r="C64" s="27" t="s">
        <v>413</v>
      </c>
      <c r="D64" s="27" t="s">
        <v>224</v>
      </c>
      <c r="E64" s="27" t="s">
        <v>950</v>
      </c>
      <c r="F64" s="28" t="s">
        <v>860</v>
      </c>
      <c r="G64" s="44" t="s">
        <v>10</v>
      </c>
      <c r="H64" s="44" t="s">
        <v>10</v>
      </c>
      <c r="I64" s="44" t="s">
        <v>10</v>
      </c>
      <c r="J64" s="44" t="s">
        <v>10</v>
      </c>
      <c r="K64" s="44" t="s">
        <v>10</v>
      </c>
      <c r="L64" s="29" t="str">
        <f t="shared" si="12"/>
        <v>De.Espacialidade</v>
      </c>
      <c r="M64" s="29" t="str">
        <f t="shared" si="12"/>
        <v>Elementos.Espaciais</v>
      </c>
      <c r="N64" s="29" t="str">
        <f t="shared" si="22"/>
        <v>Ambiente Especializado</v>
      </c>
      <c r="O64" s="29" t="str">
        <f t="shared" si="22"/>
        <v>Amb Quarentena</v>
      </c>
      <c r="P64" s="30" t="s">
        <v>346</v>
      </c>
      <c r="Q64" s="30" t="s">
        <v>689</v>
      </c>
      <c r="R64" s="30" t="s">
        <v>512</v>
      </c>
      <c r="S64" s="63" t="s">
        <v>10</v>
      </c>
      <c r="T64" s="30" t="str">
        <f t="shared" si="23"/>
        <v>De Espacialidade</v>
      </c>
      <c r="U64" s="30" t="str">
        <f t="shared" si="23"/>
        <v>Elementos Espaciais</v>
      </c>
      <c r="V64" s="30" t="str">
        <f t="shared" si="23"/>
        <v>Ambiente Especializado</v>
      </c>
      <c r="W64" s="30" t="s">
        <v>78</v>
      </c>
      <c r="X64" s="45" t="str">
        <f t="shared" si="11"/>
        <v>Key-AMB-64</v>
      </c>
      <c r="Y64" s="30" t="s">
        <v>442</v>
      </c>
      <c r="Z64" s="61" t="s">
        <v>10</v>
      </c>
      <c r="AA64" s="41" t="s">
        <v>179</v>
      </c>
      <c r="AB64" s="61" t="s">
        <v>10</v>
      </c>
      <c r="AC64" s="56" t="s">
        <v>923</v>
      </c>
      <c r="AD64" s="61" t="s">
        <v>10</v>
      </c>
    </row>
    <row r="65" spans="1:30" s="34" customFormat="1" ht="6.75" customHeight="1" x14ac:dyDescent="0.25">
      <c r="A65" s="49">
        <v>65</v>
      </c>
      <c r="B65" s="27" t="s">
        <v>408</v>
      </c>
      <c r="C65" s="27" t="s">
        <v>413</v>
      </c>
      <c r="D65" s="27" t="s">
        <v>224</v>
      </c>
      <c r="E65" s="27" t="s">
        <v>950</v>
      </c>
      <c r="F65" s="28" t="s">
        <v>861</v>
      </c>
      <c r="G65" s="44" t="s">
        <v>10</v>
      </c>
      <c r="H65" s="44" t="s">
        <v>10</v>
      </c>
      <c r="I65" s="44" t="s">
        <v>10</v>
      </c>
      <c r="J65" s="44" t="s">
        <v>10</v>
      </c>
      <c r="K65" s="44" t="s">
        <v>10</v>
      </c>
      <c r="L65" s="29" t="str">
        <f t="shared" si="12"/>
        <v>De.Espacialidade</v>
      </c>
      <c r="M65" s="29" t="str">
        <f t="shared" si="12"/>
        <v>Elementos.Espaciais</v>
      </c>
      <c r="N65" s="29" t="str">
        <f t="shared" si="22"/>
        <v>Ambiente Especializado</v>
      </c>
      <c r="O65" s="29" t="str">
        <f t="shared" si="22"/>
        <v>Amb Reverberante</v>
      </c>
      <c r="P65" s="30" t="s">
        <v>267</v>
      </c>
      <c r="Q65" s="30" t="s">
        <v>690</v>
      </c>
      <c r="R65" s="30" t="s">
        <v>513</v>
      </c>
      <c r="S65" s="63" t="s">
        <v>10</v>
      </c>
      <c r="T65" s="30" t="str">
        <f t="shared" si="23"/>
        <v>De Espacialidade</v>
      </c>
      <c r="U65" s="30" t="str">
        <f t="shared" si="23"/>
        <v>Elementos Espaciais</v>
      </c>
      <c r="V65" s="30" t="str">
        <f t="shared" si="23"/>
        <v>Ambiente Especializado</v>
      </c>
      <c r="W65" s="30" t="s">
        <v>78</v>
      </c>
      <c r="X65" s="45" t="str">
        <f t="shared" si="11"/>
        <v>Key-AMB-65</v>
      </c>
      <c r="Y65" s="30" t="s">
        <v>442</v>
      </c>
      <c r="Z65" s="61" t="s">
        <v>10</v>
      </c>
      <c r="AA65" s="41" t="s">
        <v>179</v>
      </c>
      <c r="AB65" s="61" t="s">
        <v>10</v>
      </c>
      <c r="AC65" s="56" t="s">
        <v>923</v>
      </c>
      <c r="AD65" s="61" t="s">
        <v>10</v>
      </c>
    </row>
    <row r="66" spans="1:30" s="34" customFormat="1" ht="6.75" customHeight="1" x14ac:dyDescent="0.25">
      <c r="A66" s="49">
        <v>66</v>
      </c>
      <c r="B66" s="27" t="s">
        <v>408</v>
      </c>
      <c r="C66" s="27" t="s">
        <v>413</v>
      </c>
      <c r="D66" s="27" t="s">
        <v>224</v>
      </c>
      <c r="E66" s="27" t="s">
        <v>950</v>
      </c>
      <c r="F66" s="28" t="s">
        <v>862</v>
      </c>
      <c r="G66" s="44" t="s">
        <v>10</v>
      </c>
      <c r="H66" s="44" t="s">
        <v>10</v>
      </c>
      <c r="I66" s="44" t="s">
        <v>10</v>
      </c>
      <c r="J66" s="44" t="s">
        <v>10</v>
      </c>
      <c r="K66" s="44" t="s">
        <v>10</v>
      </c>
      <c r="L66" s="29" t="str">
        <f t="shared" si="12"/>
        <v>De.Espacialidade</v>
      </c>
      <c r="M66" s="29" t="str">
        <f t="shared" si="12"/>
        <v>Elementos.Espaciais</v>
      </c>
      <c r="N66" s="29" t="str">
        <f t="shared" si="22"/>
        <v>Ambiente Especializado</v>
      </c>
      <c r="O66" s="29" t="str">
        <f t="shared" si="22"/>
        <v>Amb Teca</v>
      </c>
      <c r="P66" s="30" t="s">
        <v>330</v>
      </c>
      <c r="Q66" s="30" t="s">
        <v>691</v>
      </c>
      <c r="R66" s="30" t="s">
        <v>514</v>
      </c>
      <c r="S66" s="63" t="s">
        <v>10</v>
      </c>
      <c r="T66" s="30" t="str">
        <f t="shared" si="23"/>
        <v>De Espacialidade</v>
      </c>
      <c r="U66" s="30" t="str">
        <f t="shared" si="23"/>
        <v>Elementos Espaciais</v>
      </c>
      <c r="V66" s="30" t="str">
        <f t="shared" si="23"/>
        <v>Ambiente Especializado</v>
      </c>
      <c r="W66" s="30" t="s">
        <v>78</v>
      </c>
      <c r="X66" s="45" t="str">
        <f t="shared" si="11"/>
        <v>Key-AMB-66</v>
      </c>
      <c r="Y66" s="30" t="s">
        <v>442</v>
      </c>
      <c r="Z66" s="61" t="s">
        <v>10</v>
      </c>
      <c r="AA66" s="41" t="s">
        <v>179</v>
      </c>
      <c r="AB66" s="61" t="s">
        <v>10</v>
      </c>
      <c r="AC66" s="56" t="s">
        <v>923</v>
      </c>
      <c r="AD66" s="61" t="s">
        <v>10</v>
      </c>
    </row>
    <row r="67" spans="1:30" s="34" customFormat="1" ht="6.75" customHeight="1" x14ac:dyDescent="0.25">
      <c r="A67" s="49">
        <v>67</v>
      </c>
      <c r="B67" s="27" t="s">
        <v>408</v>
      </c>
      <c r="C67" s="27" t="s">
        <v>413</v>
      </c>
      <c r="D67" s="27" t="s">
        <v>224</v>
      </c>
      <c r="E67" s="27" t="s">
        <v>950</v>
      </c>
      <c r="F67" s="28" t="s">
        <v>863</v>
      </c>
      <c r="G67" s="44" t="s">
        <v>10</v>
      </c>
      <c r="H67" s="44" t="s">
        <v>10</v>
      </c>
      <c r="I67" s="44" t="s">
        <v>10</v>
      </c>
      <c r="J67" s="44" t="s">
        <v>10</v>
      </c>
      <c r="K67" s="44" t="s">
        <v>10</v>
      </c>
      <c r="L67" s="29" t="str">
        <f t="shared" si="12"/>
        <v>De.Espacialidade</v>
      </c>
      <c r="M67" s="29" t="str">
        <f t="shared" si="12"/>
        <v>Elementos.Espaciais</v>
      </c>
      <c r="N67" s="29" t="str">
        <f t="shared" si="22"/>
        <v>Ambiente Especializado</v>
      </c>
      <c r="O67" s="29" t="str">
        <f t="shared" si="22"/>
        <v>Amb Telemático</v>
      </c>
      <c r="P67" s="30" t="s">
        <v>270</v>
      </c>
      <c r="Q67" s="30" t="s">
        <v>692</v>
      </c>
      <c r="R67" s="30" t="s">
        <v>515</v>
      </c>
      <c r="S67" s="63" t="s">
        <v>10</v>
      </c>
      <c r="T67" s="30" t="str">
        <f t="shared" si="23"/>
        <v>De Espacialidade</v>
      </c>
      <c r="U67" s="30" t="str">
        <f t="shared" si="23"/>
        <v>Elementos Espaciais</v>
      </c>
      <c r="V67" s="30" t="str">
        <f t="shared" si="23"/>
        <v>Ambiente Especializado</v>
      </c>
      <c r="W67" s="30" t="s">
        <v>78</v>
      </c>
      <c r="X67" s="45" t="str">
        <f t="shared" si="11"/>
        <v>Key-AMB-67</v>
      </c>
      <c r="Y67" s="30" t="s">
        <v>442</v>
      </c>
      <c r="Z67" s="61" t="s">
        <v>10</v>
      </c>
      <c r="AA67" s="41" t="s">
        <v>179</v>
      </c>
      <c r="AB67" s="61" t="s">
        <v>10</v>
      </c>
      <c r="AC67" s="56" t="s">
        <v>923</v>
      </c>
      <c r="AD67" s="61" t="s">
        <v>10</v>
      </c>
    </row>
    <row r="68" spans="1:30" s="34" customFormat="1" ht="6.75" customHeight="1" x14ac:dyDescent="0.25">
      <c r="A68" s="49">
        <v>68</v>
      </c>
      <c r="B68" s="27" t="s">
        <v>408</v>
      </c>
      <c r="C68" s="27" t="s">
        <v>413</v>
      </c>
      <c r="D68" s="27" t="s">
        <v>224</v>
      </c>
      <c r="E68" s="27" t="s">
        <v>950</v>
      </c>
      <c r="F68" s="28" t="s">
        <v>864</v>
      </c>
      <c r="G68" s="44" t="s">
        <v>10</v>
      </c>
      <c r="H68" s="44" t="s">
        <v>10</v>
      </c>
      <c r="I68" s="44" t="s">
        <v>10</v>
      </c>
      <c r="J68" s="44" t="s">
        <v>10</v>
      </c>
      <c r="K68" s="44" t="s">
        <v>10</v>
      </c>
      <c r="L68" s="29" t="str">
        <f t="shared" si="12"/>
        <v>De.Espacialidade</v>
      </c>
      <c r="M68" s="29" t="str">
        <f t="shared" si="12"/>
        <v>Elementos.Espaciais</v>
      </c>
      <c r="N68" s="29" t="str">
        <f t="shared" si="22"/>
        <v>Ambiente Especializado</v>
      </c>
      <c r="O68" s="29" t="str">
        <f t="shared" si="22"/>
        <v>Amb Tério</v>
      </c>
      <c r="P68" s="30" t="s">
        <v>345</v>
      </c>
      <c r="Q68" s="30" t="s">
        <v>693</v>
      </c>
      <c r="R68" s="30" t="s">
        <v>516</v>
      </c>
      <c r="S68" s="63" t="s">
        <v>10</v>
      </c>
      <c r="T68" s="30" t="str">
        <f t="shared" si="23"/>
        <v>De Espacialidade</v>
      </c>
      <c r="U68" s="30" t="str">
        <f t="shared" si="23"/>
        <v>Elementos Espaciais</v>
      </c>
      <c r="V68" s="30" t="str">
        <f t="shared" si="23"/>
        <v>Ambiente Especializado</v>
      </c>
      <c r="W68" s="30" t="s">
        <v>78</v>
      </c>
      <c r="X68" s="45" t="str">
        <f t="shared" si="11"/>
        <v>Key-AMB-68</v>
      </c>
      <c r="Y68" s="30" t="s">
        <v>442</v>
      </c>
      <c r="Z68" s="61" t="s">
        <v>10</v>
      </c>
      <c r="AA68" s="41" t="s">
        <v>179</v>
      </c>
      <c r="AB68" s="61" t="s">
        <v>10</v>
      </c>
      <c r="AC68" s="56" t="s">
        <v>923</v>
      </c>
      <c r="AD68" s="61" t="s">
        <v>10</v>
      </c>
    </row>
    <row r="69" spans="1:30" s="34" customFormat="1" ht="6.75" customHeight="1" x14ac:dyDescent="0.25">
      <c r="A69" s="49">
        <v>69</v>
      </c>
      <c r="B69" s="27" t="s">
        <v>408</v>
      </c>
      <c r="C69" s="27" t="s">
        <v>413</v>
      </c>
      <c r="D69" s="27" t="s">
        <v>224</v>
      </c>
      <c r="E69" s="27" t="s">
        <v>950</v>
      </c>
      <c r="F69" s="28" t="s">
        <v>865</v>
      </c>
      <c r="G69" s="44" t="s">
        <v>10</v>
      </c>
      <c r="H69" s="44" t="s">
        <v>10</v>
      </c>
      <c r="I69" s="44" t="s">
        <v>10</v>
      </c>
      <c r="J69" s="44" t="s">
        <v>10</v>
      </c>
      <c r="K69" s="44" t="s">
        <v>10</v>
      </c>
      <c r="L69" s="29" t="str">
        <f t="shared" si="12"/>
        <v>De.Espacialidade</v>
      </c>
      <c r="M69" s="29" t="str">
        <f t="shared" si="12"/>
        <v>Elementos.Espaciais</v>
      </c>
      <c r="N69" s="29" t="str">
        <f t="shared" si="22"/>
        <v>Ambiente Especializado</v>
      </c>
      <c r="O69" s="29" t="str">
        <f t="shared" si="22"/>
        <v>Amb Tribunal</v>
      </c>
      <c r="P69" s="30" t="s">
        <v>365</v>
      </c>
      <c r="Q69" s="30" t="s">
        <v>694</v>
      </c>
      <c r="R69" s="30" t="s">
        <v>517</v>
      </c>
      <c r="S69" s="63" t="s">
        <v>10</v>
      </c>
      <c r="T69" s="30" t="str">
        <f t="shared" si="23"/>
        <v>De Espacialidade</v>
      </c>
      <c r="U69" s="30" t="str">
        <f t="shared" si="23"/>
        <v>Elementos Espaciais</v>
      </c>
      <c r="V69" s="30" t="str">
        <f t="shared" si="23"/>
        <v>Ambiente Especializado</v>
      </c>
      <c r="W69" s="30" t="s">
        <v>78</v>
      </c>
      <c r="X69" s="45" t="str">
        <f t="shared" si="11"/>
        <v>Key-AMB-69</v>
      </c>
      <c r="Y69" s="30" t="s">
        <v>442</v>
      </c>
      <c r="Z69" s="61" t="s">
        <v>10</v>
      </c>
      <c r="AA69" s="41" t="s">
        <v>179</v>
      </c>
      <c r="AB69" s="61" t="s">
        <v>10</v>
      </c>
      <c r="AC69" s="56" t="s">
        <v>923</v>
      </c>
      <c r="AD69" s="61" t="s">
        <v>10</v>
      </c>
    </row>
    <row r="70" spans="1:30" s="34" customFormat="1" ht="6.75" customHeight="1" x14ac:dyDescent="0.25">
      <c r="A70" s="49">
        <v>70</v>
      </c>
      <c r="B70" s="27" t="s">
        <v>408</v>
      </c>
      <c r="C70" s="27" t="s">
        <v>413</v>
      </c>
      <c r="D70" s="27" t="s">
        <v>224</v>
      </c>
      <c r="E70" s="27" t="s">
        <v>372</v>
      </c>
      <c r="F70" s="28" t="s">
        <v>866</v>
      </c>
      <c r="G70" s="44" t="s">
        <v>10</v>
      </c>
      <c r="H70" s="44" t="s">
        <v>10</v>
      </c>
      <c r="I70" s="44" t="s">
        <v>10</v>
      </c>
      <c r="J70" s="44" t="s">
        <v>10</v>
      </c>
      <c r="K70" s="44" t="s">
        <v>10</v>
      </c>
      <c r="L70" s="29" t="str">
        <f t="shared" si="12"/>
        <v>De.Espacialidade</v>
      </c>
      <c r="M70" s="29" t="str">
        <f t="shared" si="12"/>
        <v>Elementos.Espaciais</v>
      </c>
      <c r="N70" s="29" t="str">
        <f t="shared" si="22"/>
        <v>Ambiente Esportivo</v>
      </c>
      <c r="O70" s="29" t="str">
        <f t="shared" si="22"/>
        <v>Amb Arquibancada</v>
      </c>
      <c r="P70" s="30" t="s">
        <v>274</v>
      </c>
      <c r="Q70" s="30" t="s">
        <v>695</v>
      </c>
      <c r="R70" s="30" t="s">
        <v>518</v>
      </c>
      <c r="S70" s="63" t="s">
        <v>10</v>
      </c>
      <c r="T70" s="30" t="str">
        <f t="shared" si="23"/>
        <v>De Espacialidade</v>
      </c>
      <c r="U70" s="30" t="str">
        <f t="shared" si="23"/>
        <v>Elementos Espaciais</v>
      </c>
      <c r="V70" s="30" t="str">
        <f t="shared" si="23"/>
        <v>Ambiente Esportivo</v>
      </c>
      <c r="W70" s="30" t="s">
        <v>78</v>
      </c>
      <c r="X70" s="45" t="str">
        <f t="shared" si="11"/>
        <v>Key-AMB-70</v>
      </c>
      <c r="Y70" s="30" t="s">
        <v>442</v>
      </c>
      <c r="Z70" s="61" t="s">
        <v>10</v>
      </c>
      <c r="AA70" s="41" t="s">
        <v>179</v>
      </c>
      <c r="AB70" s="61" t="s">
        <v>10</v>
      </c>
      <c r="AC70" s="56" t="s">
        <v>923</v>
      </c>
      <c r="AD70" s="61" t="s">
        <v>10</v>
      </c>
    </row>
    <row r="71" spans="1:30" s="34" customFormat="1" ht="6.75" customHeight="1" x14ac:dyDescent="0.25">
      <c r="A71" s="49">
        <v>71</v>
      </c>
      <c r="B71" s="27" t="s">
        <v>408</v>
      </c>
      <c r="C71" s="27" t="s">
        <v>413</v>
      </c>
      <c r="D71" s="27" t="s">
        <v>224</v>
      </c>
      <c r="E71" s="27" t="s">
        <v>372</v>
      </c>
      <c r="F71" s="28" t="s">
        <v>867</v>
      </c>
      <c r="G71" s="44" t="s">
        <v>10</v>
      </c>
      <c r="H71" s="44" t="s">
        <v>10</v>
      </c>
      <c r="I71" s="44" t="s">
        <v>10</v>
      </c>
      <c r="J71" s="44" t="s">
        <v>10</v>
      </c>
      <c r="K71" s="44" t="s">
        <v>10</v>
      </c>
      <c r="L71" s="29" t="str">
        <f t="shared" si="12"/>
        <v>De.Espacialidade</v>
      </c>
      <c r="M71" s="29" t="str">
        <f t="shared" si="12"/>
        <v>Elementos.Espaciais</v>
      </c>
      <c r="N71" s="29" t="str">
        <f t="shared" si="22"/>
        <v>Ambiente Esportivo</v>
      </c>
      <c r="O71" s="29" t="str">
        <f t="shared" si="22"/>
        <v>Amb Esportivo</v>
      </c>
      <c r="P71" s="30" t="s">
        <v>271</v>
      </c>
      <c r="Q71" s="30" t="s">
        <v>696</v>
      </c>
      <c r="R71" s="30" t="s">
        <v>519</v>
      </c>
      <c r="S71" s="63" t="s">
        <v>10</v>
      </c>
      <c r="T71" s="30" t="str">
        <f t="shared" si="23"/>
        <v>De Espacialidade</v>
      </c>
      <c r="U71" s="30" t="str">
        <f t="shared" si="23"/>
        <v>Elementos Espaciais</v>
      </c>
      <c r="V71" s="30" t="str">
        <f t="shared" si="23"/>
        <v>Ambiente Esportivo</v>
      </c>
      <c r="W71" s="30" t="s">
        <v>78</v>
      </c>
      <c r="X71" s="45" t="str">
        <f t="shared" si="11"/>
        <v>Key-AMB-71</v>
      </c>
      <c r="Y71" s="30" t="s">
        <v>442</v>
      </c>
      <c r="Z71" s="61" t="s">
        <v>10</v>
      </c>
      <c r="AA71" s="41" t="s">
        <v>179</v>
      </c>
      <c r="AB71" s="61" t="s">
        <v>10</v>
      </c>
      <c r="AC71" s="56" t="s">
        <v>923</v>
      </c>
      <c r="AD71" s="61" t="s">
        <v>10</v>
      </c>
    </row>
    <row r="72" spans="1:30" s="34" customFormat="1" ht="6.75" customHeight="1" x14ac:dyDescent="0.25">
      <c r="A72" s="49">
        <v>72</v>
      </c>
      <c r="B72" s="27" t="s">
        <v>408</v>
      </c>
      <c r="C72" s="27" t="s">
        <v>413</v>
      </c>
      <c r="D72" s="27" t="s">
        <v>224</v>
      </c>
      <c r="E72" s="27" t="s">
        <v>372</v>
      </c>
      <c r="F72" s="28" t="s">
        <v>868</v>
      </c>
      <c r="G72" s="44" t="s">
        <v>10</v>
      </c>
      <c r="H72" s="44" t="s">
        <v>10</v>
      </c>
      <c r="I72" s="44" t="s">
        <v>10</v>
      </c>
      <c r="J72" s="44" t="s">
        <v>10</v>
      </c>
      <c r="K72" s="44" t="s">
        <v>10</v>
      </c>
      <c r="L72" s="29" t="str">
        <f t="shared" si="12"/>
        <v>De.Espacialidade</v>
      </c>
      <c r="M72" s="29" t="str">
        <f t="shared" si="12"/>
        <v>Elementos.Espaciais</v>
      </c>
      <c r="N72" s="29" t="str">
        <f t="shared" si="22"/>
        <v>Ambiente Esportivo</v>
      </c>
      <c r="O72" s="29" t="str">
        <f t="shared" si="22"/>
        <v>Amb Piscina Esportiva</v>
      </c>
      <c r="P72" s="30" t="s">
        <v>273</v>
      </c>
      <c r="Q72" s="30" t="s">
        <v>697</v>
      </c>
      <c r="R72" s="30" t="s">
        <v>520</v>
      </c>
      <c r="S72" s="63" t="s">
        <v>10</v>
      </c>
      <c r="T72" s="30" t="str">
        <f t="shared" si="23"/>
        <v>De Espacialidade</v>
      </c>
      <c r="U72" s="30" t="str">
        <f t="shared" si="23"/>
        <v>Elementos Espaciais</v>
      </c>
      <c r="V72" s="30" t="str">
        <f t="shared" si="23"/>
        <v>Ambiente Esportivo</v>
      </c>
      <c r="W72" s="30" t="s">
        <v>78</v>
      </c>
      <c r="X72" s="45" t="str">
        <f t="shared" si="11"/>
        <v>Key-AMB-72</v>
      </c>
      <c r="Y72" s="30" t="s">
        <v>442</v>
      </c>
      <c r="Z72" s="61" t="s">
        <v>10</v>
      </c>
      <c r="AA72" s="41" t="s">
        <v>179</v>
      </c>
      <c r="AB72" s="61" t="s">
        <v>10</v>
      </c>
      <c r="AC72" s="56" t="s">
        <v>923</v>
      </c>
      <c r="AD72" s="61" t="s">
        <v>10</v>
      </c>
    </row>
    <row r="73" spans="1:30" s="34" customFormat="1" ht="6.75" customHeight="1" x14ac:dyDescent="0.25">
      <c r="A73" s="49">
        <v>73</v>
      </c>
      <c r="B73" s="27" t="s">
        <v>408</v>
      </c>
      <c r="C73" s="27" t="s">
        <v>413</v>
      </c>
      <c r="D73" s="27" t="s">
        <v>224</v>
      </c>
      <c r="E73" s="27" t="s">
        <v>372</v>
      </c>
      <c r="F73" s="28" t="s">
        <v>869</v>
      </c>
      <c r="G73" s="44" t="s">
        <v>10</v>
      </c>
      <c r="H73" s="44" t="s">
        <v>10</v>
      </c>
      <c r="I73" s="44" t="s">
        <v>10</v>
      </c>
      <c r="J73" s="44" t="s">
        <v>10</v>
      </c>
      <c r="K73" s="44" t="s">
        <v>10</v>
      </c>
      <c r="L73" s="29" t="str">
        <f t="shared" si="12"/>
        <v>De.Espacialidade</v>
      </c>
      <c r="M73" s="29" t="str">
        <f t="shared" si="12"/>
        <v>Elementos.Espaciais</v>
      </c>
      <c r="N73" s="29" t="str">
        <f t="shared" si="22"/>
        <v>Ambiente Esportivo</v>
      </c>
      <c r="O73" s="29" t="str">
        <f t="shared" si="22"/>
        <v>Amb Pista Esportiva</v>
      </c>
      <c r="P73" s="30" t="s">
        <v>287</v>
      </c>
      <c r="Q73" s="30" t="s">
        <v>698</v>
      </c>
      <c r="R73" s="30" t="s">
        <v>521</v>
      </c>
      <c r="S73" s="63" t="s">
        <v>10</v>
      </c>
      <c r="T73" s="30" t="str">
        <f t="shared" si="23"/>
        <v>De Espacialidade</v>
      </c>
      <c r="U73" s="30" t="str">
        <f t="shared" si="23"/>
        <v>Elementos Espaciais</v>
      </c>
      <c r="V73" s="30" t="str">
        <f t="shared" si="23"/>
        <v>Ambiente Esportivo</v>
      </c>
      <c r="W73" s="30" t="s">
        <v>78</v>
      </c>
      <c r="X73" s="45" t="str">
        <f t="shared" si="11"/>
        <v>Key-AMB-73</v>
      </c>
      <c r="Y73" s="30" t="s">
        <v>442</v>
      </c>
      <c r="Z73" s="61" t="s">
        <v>10</v>
      </c>
      <c r="AA73" s="41" t="s">
        <v>179</v>
      </c>
      <c r="AB73" s="61" t="s">
        <v>10</v>
      </c>
      <c r="AC73" s="56" t="s">
        <v>923</v>
      </c>
      <c r="AD73" s="61" t="s">
        <v>10</v>
      </c>
    </row>
    <row r="74" spans="1:30" s="34" customFormat="1" ht="6.75" customHeight="1" x14ac:dyDescent="0.25">
      <c r="A74" s="49">
        <v>74</v>
      </c>
      <c r="B74" s="27" t="s">
        <v>408</v>
      </c>
      <c r="C74" s="27" t="s">
        <v>413</v>
      </c>
      <c r="D74" s="27" t="s">
        <v>224</v>
      </c>
      <c r="E74" s="27" t="s">
        <v>372</v>
      </c>
      <c r="F74" s="28" t="s">
        <v>870</v>
      </c>
      <c r="G74" s="44" t="s">
        <v>10</v>
      </c>
      <c r="H74" s="44" t="s">
        <v>10</v>
      </c>
      <c r="I74" s="44" t="s">
        <v>10</v>
      </c>
      <c r="J74" s="44" t="s">
        <v>10</v>
      </c>
      <c r="K74" s="44" t="s">
        <v>10</v>
      </c>
      <c r="L74" s="29" t="str">
        <f t="shared" si="12"/>
        <v>De.Espacialidade</v>
      </c>
      <c r="M74" s="29" t="str">
        <f t="shared" si="12"/>
        <v>Elementos.Espaciais</v>
      </c>
      <c r="N74" s="29" t="str">
        <f t="shared" si="22"/>
        <v>Ambiente Esportivo</v>
      </c>
      <c r="O74" s="29" t="str">
        <f t="shared" si="22"/>
        <v>Amb Quadra Esportiva</v>
      </c>
      <c r="P74" s="30" t="s">
        <v>272</v>
      </c>
      <c r="Q74" s="30" t="s">
        <v>699</v>
      </c>
      <c r="R74" s="30" t="s">
        <v>522</v>
      </c>
      <c r="S74" s="63" t="s">
        <v>10</v>
      </c>
      <c r="T74" s="30" t="str">
        <f t="shared" si="23"/>
        <v>De Espacialidade</v>
      </c>
      <c r="U74" s="30" t="str">
        <f t="shared" si="23"/>
        <v>Elementos Espaciais</v>
      </c>
      <c r="V74" s="30" t="str">
        <f t="shared" si="23"/>
        <v>Ambiente Esportivo</v>
      </c>
      <c r="W74" s="30" t="s">
        <v>78</v>
      </c>
      <c r="X74" s="45" t="str">
        <f t="shared" si="11"/>
        <v>Key-AMB-74</v>
      </c>
      <c r="Y74" s="30" t="s">
        <v>442</v>
      </c>
      <c r="Z74" s="61" t="s">
        <v>10</v>
      </c>
      <c r="AA74" s="41" t="s">
        <v>179</v>
      </c>
      <c r="AB74" s="61" t="s">
        <v>10</v>
      </c>
      <c r="AC74" s="56" t="s">
        <v>923</v>
      </c>
      <c r="AD74" s="61" t="s">
        <v>10</v>
      </c>
    </row>
    <row r="75" spans="1:30" s="34" customFormat="1" ht="6.75" customHeight="1" x14ac:dyDescent="0.25">
      <c r="A75" s="49">
        <v>75</v>
      </c>
      <c r="B75" s="27" t="s">
        <v>408</v>
      </c>
      <c r="C75" s="27" t="s">
        <v>413</v>
      </c>
      <c r="D75" s="27" t="s">
        <v>224</v>
      </c>
      <c r="E75" s="27" t="s">
        <v>372</v>
      </c>
      <c r="F75" s="28" t="s">
        <v>871</v>
      </c>
      <c r="G75" s="44" t="s">
        <v>10</v>
      </c>
      <c r="H75" s="44" t="s">
        <v>10</v>
      </c>
      <c r="I75" s="44" t="s">
        <v>10</v>
      </c>
      <c r="J75" s="44" t="s">
        <v>10</v>
      </c>
      <c r="K75" s="44" t="s">
        <v>10</v>
      </c>
      <c r="L75" s="29" t="str">
        <f t="shared" si="12"/>
        <v>De.Espacialidade</v>
      </c>
      <c r="M75" s="29" t="str">
        <f t="shared" si="12"/>
        <v>Elementos.Espaciais</v>
      </c>
      <c r="N75" s="29" t="str">
        <f t="shared" si="22"/>
        <v>Ambiente Esportivo</v>
      </c>
      <c r="O75" s="29" t="str">
        <f t="shared" si="22"/>
        <v>Amb Vestiário Esportivo</v>
      </c>
      <c r="P75" s="30" t="s">
        <v>275</v>
      </c>
      <c r="Q75" s="30" t="s">
        <v>700</v>
      </c>
      <c r="R75" s="30" t="s">
        <v>523</v>
      </c>
      <c r="S75" s="63" t="s">
        <v>10</v>
      </c>
      <c r="T75" s="30" t="str">
        <f t="shared" si="23"/>
        <v>De Espacialidade</v>
      </c>
      <c r="U75" s="30" t="str">
        <f t="shared" si="23"/>
        <v>Elementos Espaciais</v>
      </c>
      <c r="V75" s="30" t="str">
        <f t="shared" si="23"/>
        <v>Ambiente Esportivo</v>
      </c>
      <c r="W75" s="30" t="s">
        <v>78</v>
      </c>
      <c r="X75" s="45" t="str">
        <f t="shared" si="11"/>
        <v>Key-AMB-75</v>
      </c>
      <c r="Y75" s="30" t="s">
        <v>442</v>
      </c>
      <c r="Z75" s="61" t="s">
        <v>10</v>
      </c>
      <c r="AA75" s="41" t="s">
        <v>179</v>
      </c>
      <c r="AB75" s="61" t="s">
        <v>10</v>
      </c>
      <c r="AC75" s="56" t="s">
        <v>923</v>
      </c>
      <c r="AD75" s="61" t="s">
        <v>10</v>
      </c>
    </row>
    <row r="76" spans="1:30" s="34" customFormat="1" ht="6.75" customHeight="1" x14ac:dyDescent="0.25">
      <c r="A76" s="49">
        <v>76</v>
      </c>
      <c r="B76" s="27" t="s">
        <v>408</v>
      </c>
      <c r="C76" s="27" t="s">
        <v>413</v>
      </c>
      <c r="D76" s="27" t="s">
        <v>224</v>
      </c>
      <c r="E76" s="27" t="s">
        <v>929</v>
      </c>
      <c r="F76" s="28" t="s">
        <v>924</v>
      </c>
      <c r="G76" s="44" t="s">
        <v>10</v>
      </c>
      <c r="H76" s="44" t="s">
        <v>10</v>
      </c>
      <c r="I76" s="44" t="s">
        <v>10</v>
      </c>
      <c r="J76" s="44" t="s">
        <v>10</v>
      </c>
      <c r="K76" s="44" t="s">
        <v>10</v>
      </c>
      <c r="L76" s="29" t="str">
        <f t="shared" si="12"/>
        <v>De.Espacialidade</v>
      </c>
      <c r="M76" s="29" t="str">
        <f t="shared" si="12"/>
        <v>Elementos.Espaciais</v>
      </c>
      <c r="N76" s="29" t="str">
        <f t="shared" si="22"/>
        <v>Ambiente Sanitário</v>
      </c>
      <c r="O76" s="29" t="str">
        <f t="shared" si="22"/>
        <v>Amb Sanitário Feminino</v>
      </c>
      <c r="P76" s="30" t="s">
        <v>276</v>
      </c>
      <c r="Q76" s="30" t="s">
        <v>701</v>
      </c>
      <c r="R76" s="30" t="s">
        <v>524</v>
      </c>
      <c r="S76" s="63" t="s">
        <v>10</v>
      </c>
      <c r="T76" s="30" t="str">
        <f t="shared" ref="T76:V91" si="32">SUBSTITUTE(C76, ".", " ")</f>
        <v>De Espacialidade</v>
      </c>
      <c r="U76" s="30" t="str">
        <f t="shared" si="32"/>
        <v>Elementos Espaciais</v>
      </c>
      <c r="V76" s="30" t="str">
        <f t="shared" si="32"/>
        <v>Ambiente Sanitário</v>
      </c>
      <c r="W76" s="30" t="s">
        <v>78</v>
      </c>
      <c r="X76" s="45" t="str">
        <f t="shared" ref="X76:X135" si="33">CONCATENATE("Key-AMB-",A76)</f>
        <v>Key-AMB-76</v>
      </c>
      <c r="Y76" s="30" t="s">
        <v>442</v>
      </c>
      <c r="Z76" s="61" t="s">
        <v>10</v>
      </c>
      <c r="AA76" s="41" t="s">
        <v>179</v>
      </c>
      <c r="AB76" s="61" t="s">
        <v>10</v>
      </c>
      <c r="AC76" s="56" t="s">
        <v>202</v>
      </c>
      <c r="AD76" s="61" t="s">
        <v>10</v>
      </c>
    </row>
    <row r="77" spans="1:30" s="34" customFormat="1" ht="6.75" customHeight="1" x14ac:dyDescent="0.25">
      <c r="A77" s="49">
        <v>77</v>
      </c>
      <c r="B77" s="27" t="s">
        <v>408</v>
      </c>
      <c r="C77" s="27" t="s">
        <v>413</v>
      </c>
      <c r="D77" s="27" t="s">
        <v>224</v>
      </c>
      <c r="E77" s="27" t="s">
        <v>929</v>
      </c>
      <c r="F77" s="28" t="s">
        <v>925</v>
      </c>
      <c r="G77" s="44" t="s">
        <v>10</v>
      </c>
      <c r="H77" s="44" t="s">
        <v>10</v>
      </c>
      <c r="I77" s="44" t="s">
        <v>10</v>
      </c>
      <c r="J77" s="44" t="s">
        <v>10</v>
      </c>
      <c r="K77" s="44" t="s">
        <v>10</v>
      </c>
      <c r="L77" s="29" t="str">
        <f t="shared" si="12"/>
        <v>De.Espacialidade</v>
      </c>
      <c r="M77" s="29" t="str">
        <f t="shared" si="12"/>
        <v>Elementos.Espaciais</v>
      </c>
      <c r="N77" s="29" t="str">
        <f t="shared" si="22"/>
        <v>Ambiente Sanitário</v>
      </c>
      <c r="O77" s="29" t="str">
        <f t="shared" si="22"/>
        <v>Amb Sanitário Masculino</v>
      </c>
      <c r="P77" s="30" t="s">
        <v>276</v>
      </c>
      <c r="Q77" s="30" t="s">
        <v>701</v>
      </c>
      <c r="R77" s="30" t="s">
        <v>524</v>
      </c>
      <c r="S77" s="63" t="s">
        <v>10</v>
      </c>
      <c r="T77" s="30" t="str">
        <f t="shared" si="32"/>
        <v>De Espacialidade</v>
      </c>
      <c r="U77" s="30" t="str">
        <f t="shared" si="32"/>
        <v>Elementos Espaciais</v>
      </c>
      <c r="V77" s="30" t="str">
        <f t="shared" si="32"/>
        <v>Ambiente Sanitário</v>
      </c>
      <c r="W77" s="30" t="s">
        <v>78</v>
      </c>
      <c r="X77" s="45" t="str">
        <f t="shared" si="33"/>
        <v>Key-AMB-77</v>
      </c>
      <c r="Y77" s="30" t="s">
        <v>442</v>
      </c>
      <c r="Z77" s="61" t="s">
        <v>10</v>
      </c>
      <c r="AA77" s="41" t="s">
        <v>179</v>
      </c>
      <c r="AB77" s="61" t="s">
        <v>10</v>
      </c>
      <c r="AC77" s="56" t="s">
        <v>202</v>
      </c>
      <c r="AD77" s="61" t="s">
        <v>10</v>
      </c>
    </row>
    <row r="78" spans="1:30" s="34" customFormat="1" ht="6.75" customHeight="1" x14ac:dyDescent="0.25">
      <c r="A78" s="49">
        <v>78</v>
      </c>
      <c r="B78" s="27" t="s">
        <v>408</v>
      </c>
      <c r="C78" s="27" t="s">
        <v>413</v>
      </c>
      <c r="D78" s="27" t="s">
        <v>224</v>
      </c>
      <c r="E78" s="27" t="s">
        <v>929</v>
      </c>
      <c r="F78" s="28" t="s">
        <v>926</v>
      </c>
      <c r="G78" s="44" t="s">
        <v>10</v>
      </c>
      <c r="H78" s="44" t="s">
        <v>10</v>
      </c>
      <c r="I78" s="44" t="s">
        <v>10</v>
      </c>
      <c r="J78" s="44" t="s">
        <v>10</v>
      </c>
      <c r="K78" s="44" t="s">
        <v>10</v>
      </c>
      <c r="L78" s="29" t="str">
        <f t="shared" si="12"/>
        <v>De.Espacialidade</v>
      </c>
      <c r="M78" s="29" t="str">
        <f t="shared" si="12"/>
        <v>Elementos.Espaciais</v>
      </c>
      <c r="N78" s="29" t="str">
        <f t="shared" si="22"/>
        <v>Ambiente Sanitário</v>
      </c>
      <c r="O78" s="29" t="str">
        <f t="shared" si="22"/>
        <v>Amb Sanitário Indiferenciado</v>
      </c>
      <c r="P78" s="30" t="s">
        <v>277</v>
      </c>
      <c r="Q78" s="30" t="s">
        <v>702</v>
      </c>
      <c r="R78" s="30" t="s">
        <v>525</v>
      </c>
      <c r="S78" s="63" t="s">
        <v>10</v>
      </c>
      <c r="T78" s="30" t="str">
        <f t="shared" si="32"/>
        <v>De Espacialidade</v>
      </c>
      <c r="U78" s="30" t="str">
        <f t="shared" si="32"/>
        <v>Elementos Espaciais</v>
      </c>
      <c r="V78" s="30" t="str">
        <f t="shared" si="32"/>
        <v>Ambiente Sanitário</v>
      </c>
      <c r="W78" s="30" t="s">
        <v>78</v>
      </c>
      <c r="X78" s="45" t="str">
        <f t="shared" si="33"/>
        <v>Key-AMB-78</v>
      </c>
      <c r="Y78" s="30" t="s">
        <v>442</v>
      </c>
      <c r="Z78" s="61" t="s">
        <v>10</v>
      </c>
      <c r="AA78" s="41" t="s">
        <v>179</v>
      </c>
      <c r="AB78" s="61" t="s">
        <v>10</v>
      </c>
      <c r="AC78" s="56" t="s">
        <v>202</v>
      </c>
      <c r="AD78" s="61" t="s">
        <v>10</v>
      </c>
    </row>
    <row r="79" spans="1:30" s="34" customFormat="1" ht="6.75" customHeight="1" x14ac:dyDescent="0.25">
      <c r="A79" s="49">
        <v>79</v>
      </c>
      <c r="B79" s="27" t="s">
        <v>408</v>
      </c>
      <c r="C79" s="27" t="s">
        <v>413</v>
      </c>
      <c r="D79" s="27" t="s">
        <v>224</v>
      </c>
      <c r="E79" s="27" t="s">
        <v>929</v>
      </c>
      <c r="F79" s="28" t="s">
        <v>927</v>
      </c>
      <c r="G79" s="44" t="s">
        <v>10</v>
      </c>
      <c r="H79" s="44" t="s">
        <v>10</v>
      </c>
      <c r="I79" s="44" t="s">
        <v>10</v>
      </c>
      <c r="J79" s="44" t="s">
        <v>10</v>
      </c>
      <c r="K79" s="44" t="s">
        <v>10</v>
      </c>
      <c r="L79" s="29" t="str">
        <f t="shared" si="12"/>
        <v>De.Espacialidade</v>
      </c>
      <c r="M79" s="29" t="str">
        <f t="shared" si="12"/>
        <v>Elementos.Espaciais</v>
      </c>
      <c r="N79" s="29" t="str">
        <f t="shared" si="22"/>
        <v>Ambiente Sanitário</v>
      </c>
      <c r="O79" s="29" t="str">
        <f t="shared" si="22"/>
        <v>Amb Sanitário PNE</v>
      </c>
      <c r="P79" s="30" t="s">
        <v>278</v>
      </c>
      <c r="Q79" s="30" t="s">
        <v>703</v>
      </c>
      <c r="R79" s="30" t="s">
        <v>526</v>
      </c>
      <c r="S79" s="63" t="s">
        <v>10</v>
      </c>
      <c r="T79" s="30" t="str">
        <f t="shared" si="32"/>
        <v>De Espacialidade</v>
      </c>
      <c r="U79" s="30" t="str">
        <f t="shared" si="32"/>
        <v>Elementos Espaciais</v>
      </c>
      <c r="V79" s="30" t="str">
        <f t="shared" si="32"/>
        <v>Ambiente Sanitário</v>
      </c>
      <c r="W79" s="30" t="s">
        <v>78</v>
      </c>
      <c r="X79" s="45" t="str">
        <f t="shared" si="33"/>
        <v>Key-AMB-79</v>
      </c>
      <c r="Y79" s="30" t="s">
        <v>442</v>
      </c>
      <c r="Z79" s="61" t="s">
        <v>10</v>
      </c>
      <c r="AA79" s="41" t="s">
        <v>179</v>
      </c>
      <c r="AB79" s="61" t="s">
        <v>10</v>
      </c>
      <c r="AC79" s="56" t="s">
        <v>202</v>
      </c>
      <c r="AD79" s="61" t="s">
        <v>10</v>
      </c>
    </row>
    <row r="80" spans="1:30" s="34" customFormat="1" ht="6.75" customHeight="1" x14ac:dyDescent="0.25">
      <c r="A80" s="49">
        <v>80</v>
      </c>
      <c r="B80" s="27" t="s">
        <v>408</v>
      </c>
      <c r="C80" s="27" t="s">
        <v>413</v>
      </c>
      <c r="D80" s="27" t="s">
        <v>224</v>
      </c>
      <c r="E80" s="27" t="s">
        <v>929</v>
      </c>
      <c r="F80" s="28" t="s">
        <v>928</v>
      </c>
      <c r="G80" s="44" t="s">
        <v>10</v>
      </c>
      <c r="H80" s="44" t="s">
        <v>10</v>
      </c>
      <c r="I80" s="44" t="s">
        <v>10</v>
      </c>
      <c r="J80" s="44" t="s">
        <v>10</v>
      </c>
      <c r="K80" s="44" t="s">
        <v>10</v>
      </c>
      <c r="L80" s="29" t="str">
        <f t="shared" si="12"/>
        <v>De.Espacialidade</v>
      </c>
      <c r="M80" s="29" t="str">
        <f t="shared" si="12"/>
        <v>Elementos.Espaciais</v>
      </c>
      <c r="N80" s="29" t="str">
        <f t="shared" si="22"/>
        <v>Ambiente Sanitário</v>
      </c>
      <c r="O80" s="29" t="str">
        <f t="shared" si="22"/>
        <v>Amb Sanitário WC</v>
      </c>
      <c r="P80" s="30" t="s">
        <v>279</v>
      </c>
      <c r="Q80" s="30" t="s">
        <v>704</v>
      </c>
      <c r="R80" s="30" t="s">
        <v>527</v>
      </c>
      <c r="S80" s="63" t="s">
        <v>10</v>
      </c>
      <c r="T80" s="30" t="str">
        <f t="shared" si="32"/>
        <v>De Espacialidade</v>
      </c>
      <c r="U80" s="30" t="str">
        <f t="shared" si="32"/>
        <v>Elementos Espaciais</v>
      </c>
      <c r="V80" s="30" t="str">
        <f t="shared" si="32"/>
        <v>Ambiente Sanitário</v>
      </c>
      <c r="W80" s="30" t="s">
        <v>78</v>
      </c>
      <c r="X80" s="45" t="str">
        <f t="shared" si="33"/>
        <v>Key-AMB-80</v>
      </c>
      <c r="Y80" s="30" t="s">
        <v>442</v>
      </c>
      <c r="Z80" s="61" t="s">
        <v>10</v>
      </c>
      <c r="AA80" s="41" t="s">
        <v>179</v>
      </c>
      <c r="AB80" s="61" t="s">
        <v>10</v>
      </c>
      <c r="AC80" s="56" t="s">
        <v>202</v>
      </c>
      <c r="AD80" s="61" t="s">
        <v>10</v>
      </c>
    </row>
    <row r="81" spans="1:30" s="34" customFormat="1" ht="6.75" customHeight="1" x14ac:dyDescent="0.25">
      <c r="A81" s="49">
        <v>81</v>
      </c>
      <c r="B81" s="27" t="s">
        <v>408</v>
      </c>
      <c r="C81" s="27" t="s">
        <v>413</v>
      </c>
      <c r="D81" s="27" t="s">
        <v>224</v>
      </c>
      <c r="E81" s="27" t="s">
        <v>930</v>
      </c>
      <c r="F81" s="28" t="s">
        <v>872</v>
      </c>
      <c r="G81" s="44" t="s">
        <v>10</v>
      </c>
      <c r="H81" s="44" t="s">
        <v>10</v>
      </c>
      <c r="I81" s="44" t="s">
        <v>10</v>
      </c>
      <c r="J81" s="44" t="s">
        <v>10</v>
      </c>
      <c r="K81" s="44" t="s">
        <v>10</v>
      </c>
      <c r="L81" s="29" t="str">
        <f t="shared" si="12"/>
        <v>De.Espacialidade</v>
      </c>
      <c r="M81" s="29" t="str">
        <f t="shared" si="12"/>
        <v>Elementos.Espaciais</v>
      </c>
      <c r="N81" s="29" t="str">
        <f t="shared" si="22"/>
        <v>Ambiente Comercial</v>
      </c>
      <c r="O81" s="29" t="str">
        <f t="shared" si="22"/>
        <v>Amb Trabalho</v>
      </c>
      <c r="P81" s="30" t="s">
        <v>280</v>
      </c>
      <c r="Q81" s="30" t="s">
        <v>705</v>
      </c>
      <c r="R81" s="30" t="s">
        <v>528</v>
      </c>
      <c r="S81" s="63" t="s">
        <v>10</v>
      </c>
      <c r="T81" s="30" t="str">
        <f t="shared" si="32"/>
        <v>De Espacialidade</v>
      </c>
      <c r="U81" s="30" t="str">
        <f t="shared" si="32"/>
        <v>Elementos Espaciais</v>
      </c>
      <c r="V81" s="30" t="str">
        <f t="shared" si="32"/>
        <v>Ambiente Comercial</v>
      </c>
      <c r="W81" s="30" t="s">
        <v>78</v>
      </c>
      <c r="X81" s="45" t="str">
        <f t="shared" si="33"/>
        <v>Key-AMB-81</v>
      </c>
      <c r="Y81" s="30" t="s">
        <v>442</v>
      </c>
      <c r="Z81" s="61" t="s">
        <v>10</v>
      </c>
      <c r="AA81" s="41" t="s">
        <v>179</v>
      </c>
      <c r="AB81" s="61" t="s">
        <v>10</v>
      </c>
      <c r="AC81" s="56" t="s">
        <v>923</v>
      </c>
      <c r="AD81" s="61" t="s">
        <v>10</v>
      </c>
    </row>
    <row r="82" spans="1:30" s="34" customFormat="1" ht="6.75" customHeight="1" x14ac:dyDescent="0.25">
      <c r="A82" s="49">
        <v>82</v>
      </c>
      <c r="B82" s="27" t="s">
        <v>408</v>
      </c>
      <c r="C82" s="27" t="s">
        <v>413</v>
      </c>
      <c r="D82" s="27" t="s">
        <v>224</v>
      </c>
      <c r="E82" s="27" t="s">
        <v>930</v>
      </c>
      <c r="F82" s="28" t="s">
        <v>873</v>
      </c>
      <c r="G82" s="44" t="s">
        <v>10</v>
      </c>
      <c r="H82" s="44" t="s">
        <v>10</v>
      </c>
      <c r="I82" s="44" t="s">
        <v>10</v>
      </c>
      <c r="J82" s="44" t="s">
        <v>10</v>
      </c>
      <c r="K82" s="44" t="s">
        <v>10</v>
      </c>
      <c r="L82" s="29" t="str">
        <f t="shared" si="12"/>
        <v>De.Espacialidade</v>
      </c>
      <c r="M82" s="29" t="str">
        <f t="shared" si="12"/>
        <v>Elementos.Espaciais</v>
      </c>
      <c r="N82" s="29" t="str">
        <f t="shared" si="22"/>
        <v>Ambiente Comercial</v>
      </c>
      <c r="O82" s="29" t="str">
        <f t="shared" si="22"/>
        <v>Amb Trocas</v>
      </c>
      <c r="P82" s="30" t="s">
        <v>341</v>
      </c>
      <c r="Q82" s="30" t="s">
        <v>706</v>
      </c>
      <c r="R82" s="30" t="s">
        <v>529</v>
      </c>
      <c r="S82" s="63" t="s">
        <v>10</v>
      </c>
      <c r="T82" s="30" t="str">
        <f t="shared" si="32"/>
        <v>De Espacialidade</v>
      </c>
      <c r="U82" s="30" t="str">
        <f t="shared" si="32"/>
        <v>Elementos Espaciais</v>
      </c>
      <c r="V82" s="30" t="str">
        <f t="shared" si="32"/>
        <v>Ambiente Comercial</v>
      </c>
      <c r="W82" s="30" t="s">
        <v>78</v>
      </c>
      <c r="X82" s="45" t="str">
        <f t="shared" si="33"/>
        <v>Key-AMB-82</v>
      </c>
      <c r="Y82" s="30" t="s">
        <v>442</v>
      </c>
      <c r="Z82" s="61" t="s">
        <v>10</v>
      </c>
      <c r="AA82" s="41" t="s">
        <v>179</v>
      </c>
      <c r="AB82" s="61" t="s">
        <v>10</v>
      </c>
      <c r="AC82" s="56" t="s">
        <v>923</v>
      </c>
      <c r="AD82" s="61" t="s">
        <v>10</v>
      </c>
    </row>
    <row r="83" spans="1:30" s="34" customFormat="1" ht="6.75" customHeight="1" x14ac:dyDescent="0.25">
      <c r="A83" s="49">
        <v>83</v>
      </c>
      <c r="B83" s="27" t="s">
        <v>408</v>
      </c>
      <c r="C83" s="27" t="s">
        <v>413</v>
      </c>
      <c r="D83" s="27" t="s">
        <v>224</v>
      </c>
      <c r="E83" s="27" t="s">
        <v>931</v>
      </c>
      <c r="F83" s="28" t="s">
        <v>874</v>
      </c>
      <c r="G83" s="44" t="s">
        <v>10</v>
      </c>
      <c r="H83" s="44" t="s">
        <v>10</v>
      </c>
      <c r="I83" s="44" t="s">
        <v>10</v>
      </c>
      <c r="J83" s="44" t="s">
        <v>10</v>
      </c>
      <c r="K83" s="44" t="s">
        <v>10</v>
      </c>
      <c r="L83" s="29" t="str">
        <f t="shared" ref="L83:M135" si="34">CONCATENATE("", C83)</f>
        <v>De.Espacialidade</v>
      </c>
      <c r="M83" s="29" t="str">
        <f t="shared" si="34"/>
        <v>Elementos.Espaciais</v>
      </c>
      <c r="N83" s="29" t="str">
        <f t="shared" si="22"/>
        <v>Ambiente Habitacional</v>
      </c>
      <c r="O83" s="29" t="str">
        <f t="shared" si="22"/>
        <v>Amb Higiene</v>
      </c>
      <c r="P83" s="30" t="s">
        <v>283</v>
      </c>
      <c r="Q83" s="30" t="s">
        <v>707</v>
      </c>
      <c r="R83" s="30" t="s">
        <v>530</v>
      </c>
      <c r="S83" s="63" t="s">
        <v>10</v>
      </c>
      <c r="T83" s="30" t="str">
        <f t="shared" si="32"/>
        <v>De Espacialidade</v>
      </c>
      <c r="U83" s="30" t="str">
        <f t="shared" si="32"/>
        <v>Elementos Espaciais</v>
      </c>
      <c r="V83" s="30" t="str">
        <f t="shared" si="32"/>
        <v>Ambiente Habitacional</v>
      </c>
      <c r="W83" s="30" t="s">
        <v>78</v>
      </c>
      <c r="X83" s="45" t="str">
        <f t="shared" si="33"/>
        <v>Key-AMB-83</v>
      </c>
      <c r="Y83" s="30" t="s">
        <v>442</v>
      </c>
      <c r="Z83" s="61" t="s">
        <v>10</v>
      </c>
      <c r="AA83" s="41" t="s">
        <v>179</v>
      </c>
      <c r="AB83" s="61" t="s">
        <v>10</v>
      </c>
      <c r="AC83" s="56" t="s">
        <v>923</v>
      </c>
      <c r="AD83" s="61" t="s">
        <v>10</v>
      </c>
    </row>
    <row r="84" spans="1:30" s="34" customFormat="1" ht="6.75" customHeight="1" x14ac:dyDescent="0.25">
      <c r="A84" s="49">
        <v>84</v>
      </c>
      <c r="B84" s="27" t="s">
        <v>408</v>
      </c>
      <c r="C84" s="27" t="s">
        <v>413</v>
      </c>
      <c r="D84" s="27" t="s">
        <v>224</v>
      </c>
      <c r="E84" s="27" t="s">
        <v>931</v>
      </c>
      <c r="F84" s="28" t="s">
        <v>875</v>
      </c>
      <c r="G84" s="44" t="s">
        <v>10</v>
      </c>
      <c r="H84" s="44" t="s">
        <v>10</v>
      </c>
      <c r="I84" s="44" t="s">
        <v>10</v>
      </c>
      <c r="J84" s="44" t="s">
        <v>10</v>
      </c>
      <c r="K84" s="44" t="s">
        <v>10</v>
      </c>
      <c r="L84" s="29" t="str">
        <f t="shared" si="34"/>
        <v>De.Espacialidade</v>
      </c>
      <c r="M84" s="29" t="str">
        <f t="shared" si="34"/>
        <v>Elementos.Espaciais</v>
      </c>
      <c r="N84" s="29" t="str">
        <f t="shared" si="22"/>
        <v>Ambiente Habitacional</v>
      </c>
      <c r="O84" s="29" t="str">
        <f t="shared" si="22"/>
        <v>Amb Intimo</v>
      </c>
      <c r="P84" s="30" t="s">
        <v>282</v>
      </c>
      <c r="Q84" s="30" t="s">
        <v>708</v>
      </c>
      <c r="R84" s="30" t="s">
        <v>531</v>
      </c>
      <c r="S84" s="63" t="s">
        <v>10</v>
      </c>
      <c r="T84" s="30" t="str">
        <f t="shared" si="32"/>
        <v>De Espacialidade</v>
      </c>
      <c r="U84" s="30" t="str">
        <f t="shared" si="32"/>
        <v>Elementos Espaciais</v>
      </c>
      <c r="V84" s="30" t="str">
        <f t="shared" si="32"/>
        <v>Ambiente Habitacional</v>
      </c>
      <c r="W84" s="30" t="s">
        <v>78</v>
      </c>
      <c r="X84" s="45" t="str">
        <f t="shared" si="33"/>
        <v>Key-AMB-84</v>
      </c>
      <c r="Y84" s="30" t="s">
        <v>442</v>
      </c>
      <c r="Z84" s="61" t="s">
        <v>10</v>
      </c>
      <c r="AA84" s="41" t="s">
        <v>179</v>
      </c>
      <c r="AB84" s="61" t="s">
        <v>10</v>
      </c>
      <c r="AC84" s="56" t="s">
        <v>923</v>
      </c>
      <c r="AD84" s="61" t="s">
        <v>10</v>
      </c>
    </row>
    <row r="85" spans="1:30" s="34" customFormat="1" ht="6.75" customHeight="1" x14ac:dyDescent="0.25">
      <c r="A85" s="49">
        <v>85</v>
      </c>
      <c r="B85" s="27" t="s">
        <v>408</v>
      </c>
      <c r="C85" s="27" t="s">
        <v>413</v>
      </c>
      <c r="D85" s="27" t="s">
        <v>224</v>
      </c>
      <c r="E85" s="27" t="s">
        <v>931</v>
      </c>
      <c r="F85" s="28" t="s">
        <v>876</v>
      </c>
      <c r="G85" s="44" t="s">
        <v>10</v>
      </c>
      <c r="H85" s="44" t="s">
        <v>10</v>
      </c>
      <c r="I85" s="44" t="s">
        <v>10</v>
      </c>
      <c r="J85" s="44" t="s">
        <v>10</v>
      </c>
      <c r="K85" s="44" t="s">
        <v>10</v>
      </c>
      <c r="L85" s="29" t="str">
        <f t="shared" si="34"/>
        <v>De.Espacialidade</v>
      </c>
      <c r="M85" s="29" t="str">
        <f t="shared" si="34"/>
        <v>Elementos.Espaciais</v>
      </c>
      <c r="N85" s="29" t="str">
        <f t="shared" si="22"/>
        <v>Ambiente Habitacional</v>
      </c>
      <c r="O85" s="29" t="str">
        <f t="shared" si="22"/>
        <v xml:space="preserve">Amb Lazer </v>
      </c>
      <c r="P85" s="30" t="s">
        <v>285</v>
      </c>
      <c r="Q85" s="30" t="s">
        <v>709</v>
      </c>
      <c r="R85" s="30" t="s">
        <v>532</v>
      </c>
      <c r="S85" s="63" t="s">
        <v>10</v>
      </c>
      <c r="T85" s="30" t="str">
        <f t="shared" si="32"/>
        <v>De Espacialidade</v>
      </c>
      <c r="U85" s="30" t="str">
        <f t="shared" si="32"/>
        <v>Elementos Espaciais</v>
      </c>
      <c r="V85" s="30" t="str">
        <f t="shared" si="32"/>
        <v>Ambiente Habitacional</v>
      </c>
      <c r="W85" s="30" t="s">
        <v>78</v>
      </c>
      <c r="X85" s="45" t="str">
        <f t="shared" si="33"/>
        <v>Key-AMB-85</v>
      </c>
      <c r="Y85" s="30" t="s">
        <v>442</v>
      </c>
      <c r="Z85" s="61" t="s">
        <v>10</v>
      </c>
      <c r="AA85" s="41" t="s">
        <v>179</v>
      </c>
      <c r="AB85" s="61" t="s">
        <v>10</v>
      </c>
      <c r="AC85" s="56" t="s">
        <v>923</v>
      </c>
      <c r="AD85" s="61" t="s">
        <v>10</v>
      </c>
    </row>
    <row r="86" spans="1:30" s="34" customFormat="1" ht="6.75" customHeight="1" x14ac:dyDescent="0.25">
      <c r="A86" s="49">
        <v>86</v>
      </c>
      <c r="B86" s="27" t="s">
        <v>408</v>
      </c>
      <c r="C86" s="27" t="s">
        <v>413</v>
      </c>
      <c r="D86" s="27" t="s">
        <v>224</v>
      </c>
      <c r="E86" s="27" t="s">
        <v>931</v>
      </c>
      <c r="F86" s="28" t="s">
        <v>877</v>
      </c>
      <c r="G86" s="44" t="s">
        <v>10</v>
      </c>
      <c r="H86" s="44" t="s">
        <v>10</v>
      </c>
      <c r="I86" s="44" t="s">
        <v>10</v>
      </c>
      <c r="J86" s="44" t="s">
        <v>10</v>
      </c>
      <c r="K86" s="44" t="s">
        <v>10</v>
      </c>
      <c r="L86" s="29" t="str">
        <f t="shared" si="34"/>
        <v>De.Espacialidade</v>
      </c>
      <c r="M86" s="29" t="str">
        <f t="shared" si="34"/>
        <v>Elementos.Espaciais</v>
      </c>
      <c r="N86" s="29" t="str">
        <f t="shared" si="22"/>
        <v>Ambiente Habitacional</v>
      </c>
      <c r="O86" s="29" t="str">
        <f t="shared" si="22"/>
        <v>Amb Profissional</v>
      </c>
      <c r="P86" s="30" t="s">
        <v>286</v>
      </c>
      <c r="Q86" s="30" t="s">
        <v>710</v>
      </c>
      <c r="R86" s="30" t="s">
        <v>533</v>
      </c>
      <c r="S86" s="63" t="s">
        <v>10</v>
      </c>
      <c r="T86" s="30" t="str">
        <f t="shared" si="32"/>
        <v>De Espacialidade</v>
      </c>
      <c r="U86" s="30" t="str">
        <f t="shared" si="32"/>
        <v>Elementos Espaciais</v>
      </c>
      <c r="V86" s="30" t="str">
        <f t="shared" si="32"/>
        <v>Ambiente Habitacional</v>
      </c>
      <c r="W86" s="30" t="s">
        <v>78</v>
      </c>
      <c r="X86" s="45" t="str">
        <f t="shared" si="33"/>
        <v>Key-AMB-86</v>
      </c>
      <c r="Y86" s="30" t="s">
        <v>442</v>
      </c>
      <c r="Z86" s="61" t="s">
        <v>10</v>
      </c>
      <c r="AA86" s="41" t="s">
        <v>179</v>
      </c>
      <c r="AB86" s="61" t="s">
        <v>10</v>
      </c>
      <c r="AC86" s="56" t="s">
        <v>923</v>
      </c>
      <c r="AD86" s="61" t="s">
        <v>10</v>
      </c>
    </row>
    <row r="87" spans="1:30" s="34" customFormat="1" ht="6.75" customHeight="1" x14ac:dyDescent="0.25">
      <c r="A87" s="49">
        <v>87</v>
      </c>
      <c r="B87" s="27" t="s">
        <v>408</v>
      </c>
      <c r="C87" s="27" t="s">
        <v>413</v>
      </c>
      <c r="D87" s="27" t="s">
        <v>224</v>
      </c>
      <c r="E87" s="27" t="s">
        <v>931</v>
      </c>
      <c r="F87" s="28" t="s">
        <v>878</v>
      </c>
      <c r="G87" s="44" t="s">
        <v>10</v>
      </c>
      <c r="H87" s="44" t="s">
        <v>10</v>
      </c>
      <c r="I87" s="44" t="s">
        <v>10</v>
      </c>
      <c r="J87" s="44" t="s">
        <v>10</v>
      </c>
      <c r="K87" s="44" t="s">
        <v>10</v>
      </c>
      <c r="L87" s="29" t="str">
        <f t="shared" si="34"/>
        <v>De.Espacialidade</v>
      </c>
      <c r="M87" s="29" t="str">
        <f t="shared" si="34"/>
        <v>Elementos.Espaciais</v>
      </c>
      <c r="N87" s="29" t="str">
        <f t="shared" si="22"/>
        <v>Ambiente Habitacional</v>
      </c>
      <c r="O87" s="29" t="str">
        <f t="shared" si="22"/>
        <v>Amb Serviço</v>
      </c>
      <c r="P87" s="30" t="s">
        <v>284</v>
      </c>
      <c r="Q87" s="30" t="s">
        <v>711</v>
      </c>
      <c r="R87" s="30" t="s">
        <v>534</v>
      </c>
      <c r="S87" s="63" t="s">
        <v>10</v>
      </c>
      <c r="T87" s="30" t="str">
        <f t="shared" si="32"/>
        <v>De Espacialidade</v>
      </c>
      <c r="U87" s="30" t="str">
        <f t="shared" si="32"/>
        <v>Elementos Espaciais</v>
      </c>
      <c r="V87" s="30" t="str">
        <f t="shared" si="32"/>
        <v>Ambiente Habitacional</v>
      </c>
      <c r="W87" s="30" t="s">
        <v>78</v>
      </c>
      <c r="X87" s="45" t="str">
        <f t="shared" si="33"/>
        <v>Key-AMB-87</v>
      </c>
      <c r="Y87" s="30" t="s">
        <v>442</v>
      </c>
      <c r="Z87" s="61" t="s">
        <v>10</v>
      </c>
      <c r="AA87" s="41" t="s">
        <v>179</v>
      </c>
      <c r="AB87" s="61" t="s">
        <v>10</v>
      </c>
      <c r="AC87" s="56" t="s">
        <v>923</v>
      </c>
      <c r="AD87" s="61" t="s">
        <v>10</v>
      </c>
    </row>
    <row r="88" spans="1:30" s="34" customFormat="1" ht="6.75" customHeight="1" x14ac:dyDescent="0.25">
      <c r="A88" s="49">
        <v>88</v>
      </c>
      <c r="B88" s="27" t="s">
        <v>408</v>
      </c>
      <c r="C88" s="27" t="s">
        <v>413</v>
      </c>
      <c r="D88" s="27" t="s">
        <v>224</v>
      </c>
      <c r="E88" s="27" t="s">
        <v>931</v>
      </c>
      <c r="F88" s="28" t="s">
        <v>879</v>
      </c>
      <c r="G88" s="44" t="s">
        <v>10</v>
      </c>
      <c r="H88" s="44" t="s">
        <v>10</v>
      </c>
      <c r="I88" s="44" t="s">
        <v>10</v>
      </c>
      <c r="J88" s="44" t="s">
        <v>10</v>
      </c>
      <c r="K88" s="44" t="s">
        <v>10</v>
      </c>
      <c r="L88" s="29" t="str">
        <f t="shared" si="34"/>
        <v>De.Espacialidade</v>
      </c>
      <c r="M88" s="29" t="str">
        <f t="shared" si="34"/>
        <v>Elementos.Espaciais</v>
      </c>
      <c r="N88" s="29" t="str">
        <f t="shared" si="22"/>
        <v>Ambiente Habitacional</v>
      </c>
      <c r="O88" s="29" t="str">
        <f t="shared" si="22"/>
        <v>Amb Social</v>
      </c>
      <c r="P88" s="30" t="s">
        <v>281</v>
      </c>
      <c r="Q88" s="30" t="s">
        <v>712</v>
      </c>
      <c r="R88" s="30" t="s">
        <v>535</v>
      </c>
      <c r="S88" s="63" t="s">
        <v>10</v>
      </c>
      <c r="T88" s="30" t="str">
        <f t="shared" si="32"/>
        <v>De Espacialidade</v>
      </c>
      <c r="U88" s="30" t="str">
        <f t="shared" si="32"/>
        <v>Elementos Espaciais</v>
      </c>
      <c r="V88" s="30" t="str">
        <f t="shared" si="32"/>
        <v>Ambiente Habitacional</v>
      </c>
      <c r="W88" s="30" t="s">
        <v>78</v>
      </c>
      <c r="X88" s="45" t="str">
        <f t="shared" si="33"/>
        <v>Key-AMB-88</v>
      </c>
      <c r="Y88" s="30" t="s">
        <v>442</v>
      </c>
      <c r="Z88" s="61" t="s">
        <v>10</v>
      </c>
      <c r="AA88" s="41" t="s">
        <v>179</v>
      </c>
      <c r="AB88" s="61" t="s">
        <v>10</v>
      </c>
      <c r="AC88" s="56" t="s">
        <v>923</v>
      </c>
      <c r="AD88" s="61" t="s">
        <v>10</v>
      </c>
    </row>
    <row r="89" spans="1:30" s="34" customFormat="1" ht="6.75" customHeight="1" x14ac:dyDescent="0.25">
      <c r="A89" s="49">
        <v>89</v>
      </c>
      <c r="B89" s="27" t="s">
        <v>408</v>
      </c>
      <c r="C89" s="27" t="s">
        <v>413</v>
      </c>
      <c r="D89" s="27" t="s">
        <v>224</v>
      </c>
      <c r="E89" s="27" t="s">
        <v>932</v>
      </c>
      <c r="F89" s="28" t="s">
        <v>880</v>
      </c>
      <c r="G89" s="44" t="s">
        <v>10</v>
      </c>
      <c r="H89" s="44" t="s">
        <v>10</v>
      </c>
      <c r="I89" s="44" t="s">
        <v>10</v>
      </c>
      <c r="J89" s="44" t="s">
        <v>10</v>
      </c>
      <c r="K89" s="44" t="s">
        <v>10</v>
      </c>
      <c r="L89" s="29" t="str">
        <f t="shared" si="34"/>
        <v>De.Espacialidade</v>
      </c>
      <c r="M89" s="29" t="str">
        <f t="shared" si="34"/>
        <v>Elementos.Espaciais</v>
      </c>
      <c r="N89" s="29" t="str">
        <f t="shared" si="22"/>
        <v>Ambiente Hospitalar</v>
      </c>
      <c r="O89" s="29" t="str">
        <f t="shared" si="22"/>
        <v>Amb Análises</v>
      </c>
      <c r="P89" s="30" t="s">
        <v>432</v>
      </c>
      <c r="Q89" s="30" t="s">
        <v>713</v>
      </c>
      <c r="R89" s="30" t="s">
        <v>536</v>
      </c>
      <c r="S89" s="63" t="s">
        <v>10</v>
      </c>
      <c r="T89" s="30" t="str">
        <f t="shared" si="32"/>
        <v>De Espacialidade</v>
      </c>
      <c r="U89" s="30" t="str">
        <f t="shared" si="32"/>
        <v>Elementos Espaciais</v>
      </c>
      <c r="V89" s="30" t="str">
        <f t="shared" si="32"/>
        <v>Ambiente Hospitalar</v>
      </c>
      <c r="W89" s="30" t="s">
        <v>78</v>
      </c>
      <c r="X89" s="45" t="str">
        <f t="shared" si="33"/>
        <v>Key-AMB-89</v>
      </c>
      <c r="Y89" s="30" t="s">
        <v>442</v>
      </c>
      <c r="Z89" s="61" t="s">
        <v>10</v>
      </c>
      <c r="AA89" s="41" t="s">
        <v>179</v>
      </c>
      <c r="AB89" s="61" t="s">
        <v>10</v>
      </c>
      <c r="AC89" s="56" t="s">
        <v>309</v>
      </c>
      <c r="AD89" s="61" t="s">
        <v>10</v>
      </c>
    </row>
    <row r="90" spans="1:30" s="34" customFormat="1" ht="6.75" customHeight="1" x14ac:dyDescent="0.25">
      <c r="A90" s="49">
        <v>90</v>
      </c>
      <c r="B90" s="27" t="s">
        <v>408</v>
      </c>
      <c r="C90" s="27" t="s">
        <v>413</v>
      </c>
      <c r="D90" s="27" t="s">
        <v>224</v>
      </c>
      <c r="E90" s="27" t="s">
        <v>932</v>
      </c>
      <c r="F90" s="28" t="s">
        <v>881</v>
      </c>
      <c r="G90" s="44" t="s">
        <v>10</v>
      </c>
      <c r="H90" s="44" t="s">
        <v>10</v>
      </c>
      <c r="I90" s="44" t="s">
        <v>10</v>
      </c>
      <c r="J90" s="44" t="s">
        <v>10</v>
      </c>
      <c r="K90" s="44" t="s">
        <v>10</v>
      </c>
      <c r="L90" s="29" t="str">
        <f t="shared" si="34"/>
        <v>De.Espacialidade</v>
      </c>
      <c r="M90" s="29" t="str">
        <f t="shared" si="34"/>
        <v>Elementos.Espaciais</v>
      </c>
      <c r="N90" s="29" t="str">
        <f t="shared" si="22"/>
        <v>Ambiente Hospitalar</v>
      </c>
      <c r="O90" s="29" t="str">
        <f t="shared" si="22"/>
        <v>Amb Consultório</v>
      </c>
      <c r="P90" s="30" t="s">
        <v>431</v>
      </c>
      <c r="Q90" s="30" t="s">
        <v>714</v>
      </c>
      <c r="R90" s="30" t="s">
        <v>537</v>
      </c>
      <c r="S90" s="63" t="s">
        <v>10</v>
      </c>
      <c r="T90" s="30" t="str">
        <f t="shared" si="32"/>
        <v>De Espacialidade</v>
      </c>
      <c r="U90" s="30" t="str">
        <f t="shared" si="32"/>
        <v>Elementos Espaciais</v>
      </c>
      <c r="V90" s="30" t="str">
        <f t="shared" si="32"/>
        <v>Ambiente Hospitalar</v>
      </c>
      <c r="W90" s="30" t="s">
        <v>78</v>
      </c>
      <c r="X90" s="45" t="str">
        <f t="shared" si="33"/>
        <v>Key-AMB-90</v>
      </c>
      <c r="Y90" s="30" t="s">
        <v>442</v>
      </c>
      <c r="Z90" s="61" t="s">
        <v>10</v>
      </c>
      <c r="AA90" s="41" t="s">
        <v>179</v>
      </c>
      <c r="AB90" s="61" t="s">
        <v>10</v>
      </c>
      <c r="AC90" s="56" t="s">
        <v>309</v>
      </c>
      <c r="AD90" s="61" t="s">
        <v>10</v>
      </c>
    </row>
    <row r="91" spans="1:30" s="34" customFormat="1" ht="6.75" customHeight="1" x14ac:dyDescent="0.25">
      <c r="A91" s="49">
        <v>91</v>
      </c>
      <c r="B91" s="27" t="s">
        <v>408</v>
      </c>
      <c r="C91" s="27" t="s">
        <v>413</v>
      </c>
      <c r="D91" s="27" t="s">
        <v>224</v>
      </c>
      <c r="E91" s="27" t="s">
        <v>932</v>
      </c>
      <c r="F91" s="28" t="s">
        <v>882</v>
      </c>
      <c r="G91" s="44" t="s">
        <v>10</v>
      </c>
      <c r="H91" s="44" t="s">
        <v>10</v>
      </c>
      <c r="I91" s="44" t="s">
        <v>10</v>
      </c>
      <c r="J91" s="44" t="s">
        <v>10</v>
      </c>
      <c r="K91" s="44" t="s">
        <v>10</v>
      </c>
      <c r="L91" s="29" t="str">
        <f t="shared" si="34"/>
        <v>De.Espacialidade</v>
      </c>
      <c r="M91" s="29" t="str">
        <f t="shared" si="34"/>
        <v>Elementos.Espaciais</v>
      </c>
      <c r="N91" s="29" t="str">
        <f t="shared" si="22"/>
        <v>Ambiente Hospitalar</v>
      </c>
      <c r="O91" s="29" t="str">
        <f t="shared" si="22"/>
        <v>Amb Emergência</v>
      </c>
      <c r="P91" s="30" t="s">
        <v>433</v>
      </c>
      <c r="Q91" s="30" t="s">
        <v>715</v>
      </c>
      <c r="R91" s="30" t="s">
        <v>538</v>
      </c>
      <c r="S91" s="63" t="s">
        <v>10</v>
      </c>
      <c r="T91" s="30" t="str">
        <f t="shared" si="32"/>
        <v>De Espacialidade</v>
      </c>
      <c r="U91" s="30" t="str">
        <f t="shared" si="32"/>
        <v>Elementos Espaciais</v>
      </c>
      <c r="V91" s="30" t="str">
        <f t="shared" si="32"/>
        <v>Ambiente Hospitalar</v>
      </c>
      <c r="W91" s="30" t="s">
        <v>78</v>
      </c>
      <c r="X91" s="45" t="str">
        <f t="shared" si="33"/>
        <v>Key-AMB-91</v>
      </c>
      <c r="Y91" s="30" t="s">
        <v>442</v>
      </c>
      <c r="Z91" s="61" t="s">
        <v>10</v>
      </c>
      <c r="AA91" s="41" t="s">
        <v>179</v>
      </c>
      <c r="AB91" s="61" t="s">
        <v>10</v>
      </c>
      <c r="AC91" s="56" t="s">
        <v>309</v>
      </c>
      <c r="AD91" s="61" t="s">
        <v>10</v>
      </c>
    </row>
    <row r="92" spans="1:30" s="34" customFormat="1" ht="6.75" customHeight="1" x14ac:dyDescent="0.25">
      <c r="A92" s="49">
        <v>92</v>
      </c>
      <c r="B92" s="27" t="s">
        <v>408</v>
      </c>
      <c r="C92" s="27" t="s">
        <v>413</v>
      </c>
      <c r="D92" s="27" t="s">
        <v>224</v>
      </c>
      <c r="E92" s="27" t="s">
        <v>932</v>
      </c>
      <c r="F92" s="28" t="s">
        <v>883</v>
      </c>
      <c r="G92" s="44" t="s">
        <v>10</v>
      </c>
      <c r="H92" s="44" t="s">
        <v>10</v>
      </c>
      <c r="I92" s="44" t="s">
        <v>10</v>
      </c>
      <c r="J92" s="44" t="s">
        <v>10</v>
      </c>
      <c r="K92" s="44" t="s">
        <v>10</v>
      </c>
      <c r="L92" s="29" t="str">
        <f t="shared" si="34"/>
        <v>De.Espacialidade</v>
      </c>
      <c r="M92" s="29" t="str">
        <f t="shared" si="34"/>
        <v>Elementos.Espaciais</v>
      </c>
      <c r="N92" s="29" t="str">
        <f t="shared" si="22"/>
        <v>Ambiente Hospitalar</v>
      </c>
      <c r="O92" s="29" t="str">
        <f t="shared" si="22"/>
        <v>Amb Enfermagem</v>
      </c>
      <c r="P92" s="30" t="s">
        <v>430</v>
      </c>
      <c r="Q92" s="30" t="s">
        <v>716</v>
      </c>
      <c r="R92" s="30" t="s">
        <v>539</v>
      </c>
      <c r="S92" s="63" t="s">
        <v>10</v>
      </c>
      <c r="T92" s="30" t="str">
        <f t="shared" ref="T92:V135" si="35">SUBSTITUTE(C92, ".", " ")</f>
        <v>De Espacialidade</v>
      </c>
      <c r="U92" s="30" t="str">
        <f t="shared" si="35"/>
        <v>Elementos Espaciais</v>
      </c>
      <c r="V92" s="30" t="str">
        <f t="shared" si="35"/>
        <v>Ambiente Hospitalar</v>
      </c>
      <c r="W92" s="30" t="s">
        <v>78</v>
      </c>
      <c r="X92" s="45" t="str">
        <f t="shared" si="33"/>
        <v>Key-AMB-92</v>
      </c>
      <c r="Y92" s="30" t="s">
        <v>442</v>
      </c>
      <c r="Z92" s="61" t="s">
        <v>10</v>
      </c>
      <c r="AA92" s="41" t="s">
        <v>179</v>
      </c>
      <c r="AB92" s="61" t="s">
        <v>10</v>
      </c>
      <c r="AC92" s="56" t="s">
        <v>309</v>
      </c>
      <c r="AD92" s="61" t="s">
        <v>10</v>
      </c>
    </row>
    <row r="93" spans="1:30" s="34" customFormat="1" ht="6.75" customHeight="1" x14ac:dyDescent="0.25">
      <c r="A93" s="49">
        <v>93</v>
      </c>
      <c r="B93" s="27" t="s">
        <v>408</v>
      </c>
      <c r="C93" s="27" t="s">
        <v>413</v>
      </c>
      <c r="D93" s="27" t="s">
        <v>224</v>
      </c>
      <c r="E93" s="27" t="s">
        <v>932</v>
      </c>
      <c r="F93" s="28" t="s">
        <v>884</v>
      </c>
      <c r="G93" s="44" t="s">
        <v>10</v>
      </c>
      <c r="H93" s="44" t="s">
        <v>10</v>
      </c>
      <c r="I93" s="44" t="s">
        <v>10</v>
      </c>
      <c r="J93" s="44" t="s">
        <v>10</v>
      </c>
      <c r="K93" s="44" t="s">
        <v>10</v>
      </c>
      <c r="L93" s="29" t="str">
        <f t="shared" si="34"/>
        <v>De.Espacialidade</v>
      </c>
      <c r="M93" s="29" t="str">
        <f t="shared" si="34"/>
        <v>Elementos.Espaciais</v>
      </c>
      <c r="N93" s="29" t="str">
        <f t="shared" si="22"/>
        <v>Ambiente Hospitalar</v>
      </c>
      <c r="O93" s="29" t="str">
        <f t="shared" si="22"/>
        <v>Amb Espera</v>
      </c>
      <c r="P93" s="30" t="s">
        <v>429</v>
      </c>
      <c r="Q93" s="30" t="s">
        <v>717</v>
      </c>
      <c r="R93" s="30" t="s">
        <v>540</v>
      </c>
      <c r="S93" s="63" t="s">
        <v>10</v>
      </c>
      <c r="T93" s="30" t="str">
        <f t="shared" si="35"/>
        <v>De Espacialidade</v>
      </c>
      <c r="U93" s="30" t="str">
        <f t="shared" si="35"/>
        <v>Elementos Espaciais</v>
      </c>
      <c r="V93" s="30" t="str">
        <f t="shared" si="35"/>
        <v>Ambiente Hospitalar</v>
      </c>
      <c r="W93" s="30" t="s">
        <v>78</v>
      </c>
      <c r="X93" s="45" t="str">
        <f t="shared" si="33"/>
        <v>Key-AMB-93</v>
      </c>
      <c r="Y93" s="30" t="s">
        <v>442</v>
      </c>
      <c r="Z93" s="61" t="s">
        <v>10</v>
      </c>
      <c r="AA93" s="41" t="s">
        <v>179</v>
      </c>
      <c r="AB93" s="61" t="s">
        <v>10</v>
      </c>
      <c r="AC93" s="56" t="s">
        <v>309</v>
      </c>
      <c r="AD93" s="61" t="s">
        <v>10</v>
      </c>
    </row>
    <row r="94" spans="1:30" s="34" customFormat="1" ht="6.75" customHeight="1" x14ac:dyDescent="0.25">
      <c r="A94" s="49">
        <v>94</v>
      </c>
      <c r="B94" s="27" t="s">
        <v>408</v>
      </c>
      <c r="C94" s="27" t="s">
        <v>413</v>
      </c>
      <c r="D94" s="27" t="s">
        <v>224</v>
      </c>
      <c r="E94" s="27" t="s">
        <v>932</v>
      </c>
      <c r="F94" s="28" t="s">
        <v>885</v>
      </c>
      <c r="G94" s="44" t="s">
        <v>10</v>
      </c>
      <c r="H94" s="44" t="s">
        <v>10</v>
      </c>
      <c r="I94" s="44" t="s">
        <v>10</v>
      </c>
      <c r="J94" s="44" t="s">
        <v>10</v>
      </c>
      <c r="K94" s="44" t="s">
        <v>10</v>
      </c>
      <c r="L94" s="29" t="str">
        <f t="shared" si="34"/>
        <v>De.Espacialidade</v>
      </c>
      <c r="M94" s="29" t="str">
        <f t="shared" si="34"/>
        <v>Elementos.Espaciais</v>
      </c>
      <c r="N94" s="29" t="str">
        <f t="shared" si="22"/>
        <v>Ambiente Hospitalar</v>
      </c>
      <c r="O94" s="29" t="str">
        <f t="shared" si="22"/>
        <v>Amb Exames</v>
      </c>
      <c r="P94" s="30" t="s">
        <v>426</v>
      </c>
      <c r="Q94" s="30" t="s">
        <v>718</v>
      </c>
      <c r="R94" s="30" t="s">
        <v>541</v>
      </c>
      <c r="S94" s="63" t="s">
        <v>10</v>
      </c>
      <c r="T94" s="30" t="str">
        <f t="shared" si="35"/>
        <v>De Espacialidade</v>
      </c>
      <c r="U94" s="30" t="str">
        <f t="shared" si="35"/>
        <v>Elementos Espaciais</v>
      </c>
      <c r="V94" s="30" t="str">
        <f t="shared" si="35"/>
        <v>Ambiente Hospitalar</v>
      </c>
      <c r="W94" s="30" t="s">
        <v>78</v>
      </c>
      <c r="X94" s="45" t="str">
        <f t="shared" si="33"/>
        <v>Key-AMB-94</v>
      </c>
      <c r="Y94" s="30" t="s">
        <v>442</v>
      </c>
      <c r="Z94" s="61" t="s">
        <v>10</v>
      </c>
      <c r="AA94" s="41" t="s">
        <v>179</v>
      </c>
      <c r="AB94" s="61" t="s">
        <v>10</v>
      </c>
      <c r="AC94" s="56" t="s">
        <v>309</v>
      </c>
      <c r="AD94" s="61" t="s">
        <v>10</v>
      </c>
    </row>
    <row r="95" spans="1:30" s="34" customFormat="1" ht="6.75" customHeight="1" x14ac:dyDescent="0.25">
      <c r="A95" s="49">
        <v>95</v>
      </c>
      <c r="B95" s="27" t="s">
        <v>408</v>
      </c>
      <c r="C95" s="27" t="s">
        <v>413</v>
      </c>
      <c r="D95" s="27" t="s">
        <v>224</v>
      </c>
      <c r="E95" s="27" t="s">
        <v>932</v>
      </c>
      <c r="F95" s="28" t="s">
        <v>886</v>
      </c>
      <c r="G95" s="44" t="s">
        <v>10</v>
      </c>
      <c r="H95" s="44" t="s">
        <v>10</v>
      </c>
      <c r="I95" s="44" t="s">
        <v>10</v>
      </c>
      <c r="J95" s="44" t="s">
        <v>10</v>
      </c>
      <c r="K95" s="44" t="s">
        <v>10</v>
      </c>
      <c r="L95" s="29" t="str">
        <f t="shared" si="34"/>
        <v>De.Espacialidade</v>
      </c>
      <c r="M95" s="29" t="str">
        <f t="shared" si="34"/>
        <v>Elementos.Espaciais</v>
      </c>
      <c r="N95" s="29" t="str">
        <f t="shared" si="22"/>
        <v>Ambiente Hospitalar</v>
      </c>
      <c r="O95" s="29" t="str">
        <f t="shared" si="22"/>
        <v>Amb Hidroterapia</v>
      </c>
      <c r="P95" s="30" t="s">
        <v>427</v>
      </c>
      <c r="Q95" s="30" t="s">
        <v>719</v>
      </c>
      <c r="R95" s="30" t="s">
        <v>542</v>
      </c>
      <c r="S95" s="63" t="s">
        <v>10</v>
      </c>
      <c r="T95" s="30" t="str">
        <f t="shared" si="35"/>
        <v>De Espacialidade</v>
      </c>
      <c r="U95" s="30" t="str">
        <f t="shared" si="35"/>
        <v>Elementos Espaciais</v>
      </c>
      <c r="V95" s="30" t="str">
        <f t="shared" si="35"/>
        <v>Ambiente Hospitalar</v>
      </c>
      <c r="W95" s="30" t="s">
        <v>78</v>
      </c>
      <c r="X95" s="45" t="str">
        <f t="shared" si="33"/>
        <v>Key-AMB-95</v>
      </c>
      <c r="Y95" s="30" t="s">
        <v>442</v>
      </c>
      <c r="Z95" s="61" t="s">
        <v>10</v>
      </c>
      <c r="AA95" s="41" t="s">
        <v>179</v>
      </c>
      <c r="AB95" s="61" t="s">
        <v>10</v>
      </c>
      <c r="AC95" s="56" t="s">
        <v>309</v>
      </c>
      <c r="AD95" s="61" t="s">
        <v>10</v>
      </c>
    </row>
    <row r="96" spans="1:30" s="34" customFormat="1" ht="6.75" customHeight="1" x14ac:dyDescent="0.25">
      <c r="A96" s="49">
        <v>96</v>
      </c>
      <c r="B96" s="27" t="s">
        <v>408</v>
      </c>
      <c r="C96" s="27" t="s">
        <v>413</v>
      </c>
      <c r="D96" s="27" t="s">
        <v>224</v>
      </c>
      <c r="E96" s="27" t="s">
        <v>932</v>
      </c>
      <c r="F96" s="28" t="s">
        <v>887</v>
      </c>
      <c r="G96" s="44" t="s">
        <v>10</v>
      </c>
      <c r="H96" s="44" t="s">
        <v>10</v>
      </c>
      <c r="I96" s="44" t="s">
        <v>10</v>
      </c>
      <c r="J96" s="44" t="s">
        <v>10</v>
      </c>
      <c r="K96" s="44" t="s">
        <v>10</v>
      </c>
      <c r="L96" s="29" t="str">
        <f t="shared" si="34"/>
        <v>De.Espacialidade</v>
      </c>
      <c r="M96" s="29" t="str">
        <f t="shared" si="34"/>
        <v>Elementos.Espaciais</v>
      </c>
      <c r="N96" s="29" t="str">
        <f t="shared" si="22"/>
        <v>Ambiente Hospitalar</v>
      </c>
      <c r="O96" s="29" t="str">
        <f t="shared" si="22"/>
        <v>Amb Internação</v>
      </c>
      <c r="P96" s="30" t="s">
        <v>428</v>
      </c>
      <c r="Q96" s="30" t="s">
        <v>720</v>
      </c>
      <c r="R96" s="30" t="s">
        <v>543</v>
      </c>
      <c r="S96" s="63" t="s">
        <v>10</v>
      </c>
      <c r="T96" s="30" t="str">
        <f t="shared" si="35"/>
        <v>De Espacialidade</v>
      </c>
      <c r="U96" s="30" t="str">
        <f t="shared" si="35"/>
        <v>Elementos Espaciais</v>
      </c>
      <c r="V96" s="30" t="str">
        <f t="shared" si="35"/>
        <v>Ambiente Hospitalar</v>
      </c>
      <c r="W96" s="30" t="s">
        <v>78</v>
      </c>
      <c r="X96" s="45" t="str">
        <f t="shared" si="33"/>
        <v>Key-AMB-96</v>
      </c>
      <c r="Y96" s="30" t="s">
        <v>442</v>
      </c>
      <c r="Z96" s="61" t="s">
        <v>10</v>
      </c>
      <c r="AA96" s="41" t="s">
        <v>179</v>
      </c>
      <c r="AB96" s="61" t="s">
        <v>10</v>
      </c>
      <c r="AC96" s="56" t="s">
        <v>309</v>
      </c>
      <c r="AD96" s="61" t="s">
        <v>10</v>
      </c>
    </row>
    <row r="97" spans="1:30" s="34" customFormat="1" ht="6.75" customHeight="1" x14ac:dyDescent="0.25">
      <c r="A97" s="49">
        <v>97</v>
      </c>
      <c r="B97" s="27" t="s">
        <v>408</v>
      </c>
      <c r="C97" s="27" t="s">
        <v>413</v>
      </c>
      <c r="D97" s="27" t="s">
        <v>224</v>
      </c>
      <c r="E97" s="27" t="s">
        <v>932</v>
      </c>
      <c r="F97" s="28" t="s">
        <v>888</v>
      </c>
      <c r="G97" s="44" t="s">
        <v>10</v>
      </c>
      <c r="H97" s="44" t="s">
        <v>10</v>
      </c>
      <c r="I97" s="44" t="s">
        <v>10</v>
      </c>
      <c r="J97" s="44" t="s">
        <v>10</v>
      </c>
      <c r="K97" s="44" t="s">
        <v>10</v>
      </c>
      <c r="L97" s="29" t="str">
        <f t="shared" si="34"/>
        <v>De.Espacialidade</v>
      </c>
      <c r="M97" s="29" t="str">
        <f t="shared" si="34"/>
        <v>Elementos.Espaciais</v>
      </c>
      <c r="N97" s="29" t="str">
        <f t="shared" si="22"/>
        <v>Ambiente Hospitalar</v>
      </c>
      <c r="O97" s="29" t="str">
        <f t="shared" si="22"/>
        <v>Amb Quirúrgico</v>
      </c>
      <c r="P97" s="30" t="s">
        <v>347</v>
      </c>
      <c r="Q97" s="30" t="s">
        <v>721</v>
      </c>
      <c r="R97" s="30" t="s">
        <v>544</v>
      </c>
      <c r="S97" s="63" t="s">
        <v>10</v>
      </c>
      <c r="T97" s="30" t="str">
        <f t="shared" si="35"/>
        <v>De Espacialidade</v>
      </c>
      <c r="U97" s="30" t="str">
        <f t="shared" si="35"/>
        <v>Elementos Espaciais</v>
      </c>
      <c r="V97" s="30" t="str">
        <f t="shared" si="35"/>
        <v>Ambiente Hospitalar</v>
      </c>
      <c r="W97" s="30" t="s">
        <v>78</v>
      </c>
      <c r="X97" s="45" t="str">
        <f t="shared" si="33"/>
        <v>Key-AMB-97</v>
      </c>
      <c r="Y97" s="30" t="s">
        <v>442</v>
      </c>
      <c r="Z97" s="61" t="s">
        <v>10</v>
      </c>
      <c r="AA97" s="41" t="s">
        <v>179</v>
      </c>
      <c r="AB97" s="61" t="s">
        <v>10</v>
      </c>
      <c r="AC97" s="56" t="s">
        <v>309</v>
      </c>
      <c r="AD97" s="61" t="s">
        <v>10</v>
      </c>
    </row>
    <row r="98" spans="1:30" s="34" customFormat="1" ht="6.75" customHeight="1" x14ac:dyDescent="0.25">
      <c r="A98" s="49">
        <v>98</v>
      </c>
      <c r="B98" s="27" t="s">
        <v>408</v>
      </c>
      <c r="C98" s="27" t="s">
        <v>413</v>
      </c>
      <c r="D98" s="27" t="s">
        <v>224</v>
      </c>
      <c r="E98" s="27" t="s">
        <v>932</v>
      </c>
      <c r="F98" s="28" t="s">
        <v>889</v>
      </c>
      <c r="G98" s="44" t="s">
        <v>10</v>
      </c>
      <c r="H98" s="44" t="s">
        <v>10</v>
      </c>
      <c r="I98" s="44" t="s">
        <v>10</v>
      </c>
      <c r="J98" s="44" t="s">
        <v>10</v>
      </c>
      <c r="K98" s="44" t="s">
        <v>10</v>
      </c>
      <c r="L98" s="29" t="str">
        <f t="shared" si="34"/>
        <v>De.Espacialidade</v>
      </c>
      <c r="M98" s="29" t="str">
        <f t="shared" si="34"/>
        <v>Elementos.Espaciais</v>
      </c>
      <c r="N98" s="29" t="str">
        <f t="shared" si="22"/>
        <v>Ambiente Hospitalar</v>
      </c>
      <c r="O98" s="29" t="str">
        <f t="shared" si="22"/>
        <v>Amb Saúde</v>
      </c>
      <c r="P98" s="30" t="s">
        <v>354</v>
      </c>
      <c r="Q98" s="30" t="s">
        <v>722</v>
      </c>
      <c r="R98" s="30" t="s">
        <v>545</v>
      </c>
      <c r="S98" s="63" t="s">
        <v>10</v>
      </c>
      <c r="T98" s="30" t="str">
        <f t="shared" si="35"/>
        <v>De Espacialidade</v>
      </c>
      <c r="U98" s="30" t="str">
        <f t="shared" si="35"/>
        <v>Elementos Espaciais</v>
      </c>
      <c r="V98" s="30" t="str">
        <f t="shared" si="35"/>
        <v>Ambiente Hospitalar</v>
      </c>
      <c r="W98" s="30" t="s">
        <v>78</v>
      </c>
      <c r="X98" s="45" t="str">
        <f t="shared" si="33"/>
        <v>Key-AMB-98</v>
      </c>
      <c r="Y98" s="30" t="s">
        <v>442</v>
      </c>
      <c r="Z98" s="61" t="s">
        <v>10</v>
      </c>
      <c r="AA98" s="41" t="s">
        <v>179</v>
      </c>
      <c r="AB98" s="61" t="s">
        <v>10</v>
      </c>
      <c r="AC98" s="56" t="s">
        <v>309</v>
      </c>
      <c r="AD98" s="61" t="s">
        <v>10</v>
      </c>
    </row>
    <row r="99" spans="1:30" s="34" customFormat="1" ht="6.75" customHeight="1" x14ac:dyDescent="0.25">
      <c r="A99" s="49">
        <v>99</v>
      </c>
      <c r="B99" s="27" t="s">
        <v>408</v>
      </c>
      <c r="C99" s="27" t="s">
        <v>413</v>
      </c>
      <c r="D99" s="27" t="s">
        <v>224</v>
      </c>
      <c r="E99" s="27" t="s">
        <v>932</v>
      </c>
      <c r="F99" s="28" t="s">
        <v>890</v>
      </c>
      <c r="G99" s="44" t="s">
        <v>10</v>
      </c>
      <c r="H99" s="44" t="s">
        <v>10</v>
      </c>
      <c r="I99" s="44" t="s">
        <v>10</v>
      </c>
      <c r="J99" s="44" t="s">
        <v>10</v>
      </c>
      <c r="K99" s="44" t="s">
        <v>10</v>
      </c>
      <c r="L99" s="29" t="str">
        <f t="shared" si="34"/>
        <v>De.Espacialidade</v>
      </c>
      <c r="M99" s="29" t="str">
        <f t="shared" si="34"/>
        <v>Elementos.Espaciais</v>
      </c>
      <c r="N99" s="29" t="str">
        <f t="shared" si="22"/>
        <v>Ambiente Hospitalar</v>
      </c>
      <c r="O99" s="29" t="str">
        <f t="shared" si="22"/>
        <v>Amb Terapia</v>
      </c>
      <c r="P99" s="30" t="s">
        <v>434</v>
      </c>
      <c r="Q99" s="30" t="s">
        <v>723</v>
      </c>
      <c r="R99" s="30" t="s">
        <v>546</v>
      </c>
      <c r="S99" s="63" t="s">
        <v>10</v>
      </c>
      <c r="T99" s="30" t="str">
        <f t="shared" si="35"/>
        <v>De Espacialidade</v>
      </c>
      <c r="U99" s="30" t="str">
        <f t="shared" si="35"/>
        <v>Elementos Espaciais</v>
      </c>
      <c r="V99" s="30" t="str">
        <f t="shared" si="35"/>
        <v>Ambiente Hospitalar</v>
      </c>
      <c r="W99" s="30" t="s">
        <v>78</v>
      </c>
      <c r="X99" s="45" t="str">
        <f t="shared" si="33"/>
        <v>Key-AMB-99</v>
      </c>
      <c r="Y99" s="30" t="s">
        <v>442</v>
      </c>
      <c r="Z99" s="61" t="s">
        <v>10</v>
      </c>
      <c r="AA99" s="41" t="s">
        <v>179</v>
      </c>
      <c r="AB99" s="61" t="s">
        <v>10</v>
      </c>
      <c r="AC99" s="56" t="s">
        <v>309</v>
      </c>
      <c r="AD99" s="61" t="s">
        <v>10</v>
      </c>
    </row>
    <row r="100" spans="1:30" s="34" customFormat="1" ht="6.75" customHeight="1" x14ac:dyDescent="0.25">
      <c r="A100" s="49">
        <v>100</v>
      </c>
      <c r="B100" s="27" t="s">
        <v>408</v>
      </c>
      <c r="C100" s="27" t="s">
        <v>413</v>
      </c>
      <c r="D100" s="27" t="s">
        <v>224</v>
      </c>
      <c r="E100" s="27" t="s">
        <v>932</v>
      </c>
      <c r="F100" s="28" t="s">
        <v>891</v>
      </c>
      <c r="G100" s="44" t="s">
        <v>10</v>
      </c>
      <c r="H100" s="44" t="s">
        <v>10</v>
      </c>
      <c r="I100" s="44" t="s">
        <v>10</v>
      </c>
      <c r="J100" s="44" t="s">
        <v>10</v>
      </c>
      <c r="K100" s="44" t="s">
        <v>10</v>
      </c>
      <c r="L100" s="29" t="str">
        <f t="shared" si="34"/>
        <v>De.Espacialidade</v>
      </c>
      <c r="M100" s="29" t="str">
        <f t="shared" si="34"/>
        <v>Elementos.Espaciais</v>
      </c>
      <c r="N100" s="29" t="str">
        <f t="shared" si="22"/>
        <v>Ambiente Hospitalar</v>
      </c>
      <c r="O100" s="29" t="str">
        <f t="shared" si="22"/>
        <v>Amb Triagem</v>
      </c>
      <c r="P100" s="30" t="s">
        <v>435</v>
      </c>
      <c r="Q100" s="30" t="s">
        <v>724</v>
      </c>
      <c r="R100" s="30" t="s">
        <v>547</v>
      </c>
      <c r="S100" s="63" t="s">
        <v>10</v>
      </c>
      <c r="T100" s="30" t="str">
        <f t="shared" si="35"/>
        <v>De Espacialidade</v>
      </c>
      <c r="U100" s="30" t="str">
        <f t="shared" si="35"/>
        <v>Elementos Espaciais</v>
      </c>
      <c r="V100" s="30" t="str">
        <f t="shared" si="35"/>
        <v>Ambiente Hospitalar</v>
      </c>
      <c r="W100" s="30" t="s">
        <v>78</v>
      </c>
      <c r="X100" s="45" t="str">
        <f t="shared" si="33"/>
        <v>Key-AMB-100</v>
      </c>
      <c r="Y100" s="30" t="s">
        <v>442</v>
      </c>
      <c r="Z100" s="61" t="s">
        <v>10</v>
      </c>
      <c r="AA100" s="41" t="s">
        <v>179</v>
      </c>
      <c r="AB100" s="61" t="s">
        <v>10</v>
      </c>
      <c r="AC100" s="56" t="s">
        <v>309</v>
      </c>
      <c r="AD100" s="61" t="s">
        <v>10</v>
      </c>
    </row>
    <row r="101" spans="1:30" s="34" customFormat="1" ht="6.75" customHeight="1" x14ac:dyDescent="0.25">
      <c r="A101" s="49">
        <v>101</v>
      </c>
      <c r="B101" s="27" t="s">
        <v>408</v>
      </c>
      <c r="C101" s="27" t="s">
        <v>413</v>
      </c>
      <c r="D101" s="27" t="s">
        <v>224</v>
      </c>
      <c r="E101" s="27" t="s">
        <v>932</v>
      </c>
      <c r="F101" s="28" t="s">
        <v>892</v>
      </c>
      <c r="G101" s="44" t="s">
        <v>10</v>
      </c>
      <c r="H101" s="44" t="s">
        <v>10</v>
      </c>
      <c r="I101" s="44" t="s">
        <v>10</v>
      </c>
      <c r="J101" s="44" t="s">
        <v>10</v>
      </c>
      <c r="K101" s="44" t="s">
        <v>10</v>
      </c>
      <c r="L101" s="29" t="str">
        <f t="shared" si="34"/>
        <v>De.Espacialidade</v>
      </c>
      <c r="M101" s="29" t="str">
        <f t="shared" si="34"/>
        <v>Elementos.Espaciais</v>
      </c>
      <c r="N101" s="29" t="str">
        <f t="shared" si="22"/>
        <v>Ambiente Hospitalar</v>
      </c>
      <c r="O101" s="29" t="str">
        <f t="shared" si="22"/>
        <v>Amb UTI</v>
      </c>
      <c r="P101" s="30" t="s">
        <v>436</v>
      </c>
      <c r="Q101" s="30" t="s">
        <v>725</v>
      </c>
      <c r="R101" s="30" t="s">
        <v>548</v>
      </c>
      <c r="S101" s="63" t="s">
        <v>10</v>
      </c>
      <c r="T101" s="30" t="str">
        <f t="shared" si="35"/>
        <v>De Espacialidade</v>
      </c>
      <c r="U101" s="30" t="str">
        <f t="shared" si="35"/>
        <v>Elementos Espaciais</v>
      </c>
      <c r="V101" s="30" t="str">
        <f t="shared" si="35"/>
        <v>Ambiente Hospitalar</v>
      </c>
      <c r="W101" s="30" t="s">
        <v>78</v>
      </c>
      <c r="X101" s="45" t="str">
        <f t="shared" si="33"/>
        <v>Key-AMB-101</v>
      </c>
      <c r="Y101" s="30" t="s">
        <v>442</v>
      </c>
      <c r="Z101" s="61" t="s">
        <v>10</v>
      </c>
      <c r="AA101" s="41" t="s">
        <v>179</v>
      </c>
      <c r="AB101" s="61" t="s">
        <v>10</v>
      </c>
      <c r="AC101" s="56" t="s">
        <v>309</v>
      </c>
      <c r="AD101" s="61" t="s">
        <v>10</v>
      </c>
    </row>
    <row r="102" spans="1:30" s="34" customFormat="1" ht="6.75" customHeight="1" x14ac:dyDescent="0.25">
      <c r="A102" s="49">
        <v>102</v>
      </c>
      <c r="B102" s="27" t="s">
        <v>408</v>
      </c>
      <c r="C102" s="27" t="s">
        <v>413</v>
      </c>
      <c r="D102" s="27" t="s">
        <v>224</v>
      </c>
      <c r="E102" s="27" t="s">
        <v>932</v>
      </c>
      <c r="F102" s="28" t="s">
        <v>893</v>
      </c>
      <c r="G102" s="44" t="s">
        <v>10</v>
      </c>
      <c r="H102" s="44" t="s">
        <v>10</v>
      </c>
      <c r="I102" s="44" t="s">
        <v>10</v>
      </c>
      <c r="J102" s="44" t="s">
        <v>10</v>
      </c>
      <c r="K102" s="44" t="s">
        <v>10</v>
      </c>
      <c r="L102" s="29" t="str">
        <f t="shared" si="34"/>
        <v>De.Espacialidade</v>
      </c>
      <c r="M102" s="29" t="str">
        <f t="shared" si="34"/>
        <v>Elementos.Espaciais</v>
      </c>
      <c r="N102" s="29" t="str">
        <f t="shared" si="22"/>
        <v>Ambiente Hospitalar</v>
      </c>
      <c r="O102" s="29" t="str">
        <f t="shared" si="22"/>
        <v>Amb Veicular</v>
      </c>
      <c r="P102" s="30" t="s">
        <v>437</v>
      </c>
      <c r="Q102" s="30" t="s">
        <v>726</v>
      </c>
      <c r="R102" s="30" t="s">
        <v>549</v>
      </c>
      <c r="S102" s="63" t="s">
        <v>10</v>
      </c>
      <c r="T102" s="30" t="str">
        <f t="shared" si="35"/>
        <v>De Espacialidade</v>
      </c>
      <c r="U102" s="30" t="str">
        <f t="shared" si="35"/>
        <v>Elementos Espaciais</v>
      </c>
      <c r="V102" s="30" t="str">
        <f t="shared" si="35"/>
        <v>Ambiente Hospitalar</v>
      </c>
      <c r="W102" s="30" t="s">
        <v>78</v>
      </c>
      <c r="X102" s="45" t="str">
        <f t="shared" si="33"/>
        <v>Key-AMB-102</v>
      </c>
      <c r="Y102" s="30" t="s">
        <v>442</v>
      </c>
      <c r="Z102" s="61" t="s">
        <v>10</v>
      </c>
      <c r="AA102" s="41" t="s">
        <v>179</v>
      </c>
      <c r="AB102" s="61" t="s">
        <v>10</v>
      </c>
      <c r="AC102" s="56" t="s">
        <v>309</v>
      </c>
      <c r="AD102" s="61" t="s">
        <v>10</v>
      </c>
    </row>
    <row r="103" spans="1:30" s="34" customFormat="1" ht="6.75" customHeight="1" x14ac:dyDescent="0.25">
      <c r="A103" s="49">
        <v>103</v>
      </c>
      <c r="B103" s="27" t="s">
        <v>408</v>
      </c>
      <c r="C103" s="27" t="s">
        <v>413</v>
      </c>
      <c r="D103" s="27" t="s">
        <v>224</v>
      </c>
      <c r="E103" s="27" t="s">
        <v>933</v>
      </c>
      <c r="F103" s="28" t="s">
        <v>894</v>
      </c>
      <c r="G103" s="44" t="s">
        <v>10</v>
      </c>
      <c r="H103" s="44" t="s">
        <v>10</v>
      </c>
      <c r="I103" s="44" t="s">
        <v>10</v>
      </c>
      <c r="J103" s="44" t="s">
        <v>10</v>
      </c>
      <c r="K103" s="44" t="s">
        <v>10</v>
      </c>
      <c r="L103" s="29" t="str">
        <f t="shared" si="34"/>
        <v>De.Espacialidade</v>
      </c>
      <c r="M103" s="29" t="str">
        <f t="shared" si="34"/>
        <v>Elementos.Espaciais</v>
      </c>
      <c r="N103" s="29" t="str">
        <f t="shared" si="22"/>
        <v>Ambiente Risco</v>
      </c>
      <c r="O103" s="29" t="str">
        <f t="shared" si="22"/>
        <v>Amb Biossegurança NB1</v>
      </c>
      <c r="P103" s="30" t="s">
        <v>348</v>
      </c>
      <c r="Q103" s="30" t="s">
        <v>727</v>
      </c>
      <c r="R103" s="30" t="s">
        <v>550</v>
      </c>
      <c r="S103" s="63" t="s">
        <v>10</v>
      </c>
      <c r="T103" s="30" t="str">
        <f t="shared" si="35"/>
        <v>De Espacialidade</v>
      </c>
      <c r="U103" s="30" t="str">
        <f t="shared" si="35"/>
        <v>Elementos Espaciais</v>
      </c>
      <c r="V103" s="30" t="str">
        <f t="shared" si="35"/>
        <v>Ambiente Risco</v>
      </c>
      <c r="W103" s="30" t="s">
        <v>78</v>
      </c>
      <c r="X103" s="45" t="str">
        <f t="shared" si="33"/>
        <v>Key-AMB-103</v>
      </c>
      <c r="Y103" s="30" t="s">
        <v>442</v>
      </c>
      <c r="Z103" s="61" t="s">
        <v>10</v>
      </c>
      <c r="AA103" s="41" t="s">
        <v>179</v>
      </c>
      <c r="AB103" s="61" t="s">
        <v>10</v>
      </c>
      <c r="AC103" s="56" t="s">
        <v>310</v>
      </c>
      <c r="AD103" s="61" t="s">
        <v>10</v>
      </c>
    </row>
    <row r="104" spans="1:30" s="34" customFormat="1" ht="6.75" customHeight="1" x14ac:dyDescent="0.25">
      <c r="A104" s="49">
        <v>104</v>
      </c>
      <c r="B104" s="27" t="s">
        <v>408</v>
      </c>
      <c r="C104" s="27" t="s">
        <v>413</v>
      </c>
      <c r="D104" s="27" t="s">
        <v>224</v>
      </c>
      <c r="E104" s="27" t="s">
        <v>933</v>
      </c>
      <c r="F104" s="28" t="s">
        <v>895</v>
      </c>
      <c r="G104" s="44" t="s">
        <v>10</v>
      </c>
      <c r="H104" s="44" t="s">
        <v>10</v>
      </c>
      <c r="I104" s="44" t="s">
        <v>10</v>
      </c>
      <c r="J104" s="44" t="s">
        <v>10</v>
      </c>
      <c r="K104" s="44" t="s">
        <v>10</v>
      </c>
      <c r="L104" s="29" t="str">
        <f t="shared" si="34"/>
        <v>De.Espacialidade</v>
      </c>
      <c r="M104" s="29" t="str">
        <f t="shared" si="34"/>
        <v>Elementos.Espaciais</v>
      </c>
      <c r="N104" s="29" t="str">
        <f t="shared" si="22"/>
        <v>Ambiente Risco</v>
      </c>
      <c r="O104" s="29" t="str">
        <f t="shared" si="22"/>
        <v>Amb Biossegurança NB2</v>
      </c>
      <c r="P104" s="30" t="s">
        <v>349</v>
      </c>
      <c r="Q104" s="30" t="s">
        <v>728</v>
      </c>
      <c r="R104" s="30" t="s">
        <v>551</v>
      </c>
      <c r="S104" s="63" t="s">
        <v>10</v>
      </c>
      <c r="T104" s="30" t="str">
        <f t="shared" si="35"/>
        <v>De Espacialidade</v>
      </c>
      <c r="U104" s="30" t="str">
        <f t="shared" si="35"/>
        <v>Elementos Espaciais</v>
      </c>
      <c r="V104" s="30" t="str">
        <f t="shared" si="35"/>
        <v>Ambiente Risco</v>
      </c>
      <c r="W104" s="30" t="s">
        <v>78</v>
      </c>
      <c r="X104" s="45" t="str">
        <f t="shared" si="33"/>
        <v>Key-AMB-104</v>
      </c>
      <c r="Y104" s="30" t="s">
        <v>442</v>
      </c>
      <c r="Z104" s="61" t="s">
        <v>10</v>
      </c>
      <c r="AA104" s="41" t="s">
        <v>179</v>
      </c>
      <c r="AB104" s="61" t="s">
        <v>10</v>
      </c>
      <c r="AC104" s="56" t="s">
        <v>310</v>
      </c>
      <c r="AD104" s="61" t="s">
        <v>10</v>
      </c>
    </row>
    <row r="105" spans="1:30" s="34" customFormat="1" ht="6.75" customHeight="1" x14ac:dyDescent="0.25">
      <c r="A105" s="49">
        <v>105</v>
      </c>
      <c r="B105" s="27" t="s">
        <v>408</v>
      </c>
      <c r="C105" s="27" t="s">
        <v>413</v>
      </c>
      <c r="D105" s="27" t="s">
        <v>224</v>
      </c>
      <c r="E105" s="27" t="s">
        <v>933</v>
      </c>
      <c r="F105" s="28" t="s">
        <v>896</v>
      </c>
      <c r="G105" s="44" t="s">
        <v>10</v>
      </c>
      <c r="H105" s="44" t="s">
        <v>10</v>
      </c>
      <c r="I105" s="44" t="s">
        <v>10</v>
      </c>
      <c r="J105" s="44" t="s">
        <v>10</v>
      </c>
      <c r="K105" s="44" t="s">
        <v>10</v>
      </c>
      <c r="L105" s="29" t="str">
        <f t="shared" si="34"/>
        <v>De.Espacialidade</v>
      </c>
      <c r="M105" s="29" t="str">
        <f t="shared" si="34"/>
        <v>Elementos.Espaciais</v>
      </c>
      <c r="N105" s="29" t="str">
        <f t="shared" si="22"/>
        <v>Ambiente Risco</v>
      </c>
      <c r="O105" s="29" t="str">
        <f t="shared" si="22"/>
        <v>Amb Biossegurança NB3</v>
      </c>
      <c r="P105" s="30" t="s">
        <v>350</v>
      </c>
      <c r="Q105" s="30" t="s">
        <v>729</v>
      </c>
      <c r="R105" s="30" t="s">
        <v>552</v>
      </c>
      <c r="S105" s="63" t="s">
        <v>10</v>
      </c>
      <c r="T105" s="30" t="str">
        <f t="shared" si="35"/>
        <v>De Espacialidade</v>
      </c>
      <c r="U105" s="30" t="str">
        <f t="shared" si="35"/>
        <v>Elementos Espaciais</v>
      </c>
      <c r="V105" s="30" t="str">
        <f t="shared" si="35"/>
        <v>Ambiente Risco</v>
      </c>
      <c r="W105" s="30" t="s">
        <v>78</v>
      </c>
      <c r="X105" s="45" t="str">
        <f t="shared" si="33"/>
        <v>Key-AMB-105</v>
      </c>
      <c r="Y105" s="30" t="s">
        <v>442</v>
      </c>
      <c r="Z105" s="61" t="s">
        <v>10</v>
      </c>
      <c r="AA105" s="41" t="s">
        <v>179</v>
      </c>
      <c r="AB105" s="61" t="s">
        <v>10</v>
      </c>
      <c r="AC105" s="56" t="s">
        <v>311</v>
      </c>
      <c r="AD105" s="61" t="s">
        <v>10</v>
      </c>
    </row>
    <row r="106" spans="1:30" s="34" customFormat="1" ht="6.75" customHeight="1" x14ac:dyDescent="0.25">
      <c r="A106" s="49">
        <v>106</v>
      </c>
      <c r="B106" s="27" t="s">
        <v>408</v>
      </c>
      <c r="C106" s="27" t="s">
        <v>413</v>
      </c>
      <c r="D106" s="27" t="s">
        <v>224</v>
      </c>
      <c r="E106" s="27" t="s">
        <v>933</v>
      </c>
      <c r="F106" s="28" t="s">
        <v>897</v>
      </c>
      <c r="G106" s="44" t="s">
        <v>10</v>
      </c>
      <c r="H106" s="44" t="s">
        <v>10</v>
      </c>
      <c r="I106" s="44" t="s">
        <v>10</v>
      </c>
      <c r="J106" s="44" t="s">
        <v>10</v>
      </c>
      <c r="K106" s="44" t="s">
        <v>10</v>
      </c>
      <c r="L106" s="29" t="str">
        <f t="shared" si="34"/>
        <v>De.Espacialidade</v>
      </c>
      <c r="M106" s="29" t="str">
        <f t="shared" si="34"/>
        <v>Elementos.Espaciais</v>
      </c>
      <c r="N106" s="29" t="str">
        <f t="shared" si="22"/>
        <v>Ambiente Risco</v>
      </c>
      <c r="O106" s="29" t="str">
        <f t="shared" si="22"/>
        <v>Amb Biossegurança NB4</v>
      </c>
      <c r="P106" s="30" t="s">
        <v>351</v>
      </c>
      <c r="Q106" s="30" t="s">
        <v>730</v>
      </c>
      <c r="R106" s="30" t="s">
        <v>553</v>
      </c>
      <c r="S106" s="63" t="s">
        <v>10</v>
      </c>
      <c r="T106" s="30" t="str">
        <f t="shared" si="35"/>
        <v>De Espacialidade</v>
      </c>
      <c r="U106" s="30" t="str">
        <f t="shared" si="35"/>
        <v>Elementos Espaciais</v>
      </c>
      <c r="V106" s="30" t="str">
        <f t="shared" si="35"/>
        <v>Ambiente Risco</v>
      </c>
      <c r="W106" s="30" t="s">
        <v>78</v>
      </c>
      <c r="X106" s="45" t="str">
        <f t="shared" si="33"/>
        <v>Key-AMB-106</v>
      </c>
      <c r="Y106" s="30" t="s">
        <v>442</v>
      </c>
      <c r="Z106" s="61" t="s">
        <v>10</v>
      </c>
      <c r="AA106" s="41" t="s">
        <v>179</v>
      </c>
      <c r="AB106" s="61" t="s">
        <v>10</v>
      </c>
      <c r="AC106" s="56" t="s">
        <v>310</v>
      </c>
      <c r="AD106" s="61" t="s">
        <v>10</v>
      </c>
    </row>
    <row r="107" spans="1:30" s="34" customFormat="1" ht="6.75" customHeight="1" x14ac:dyDescent="0.25">
      <c r="A107" s="49">
        <v>107</v>
      </c>
      <c r="B107" s="27" t="s">
        <v>408</v>
      </c>
      <c r="C107" s="27" t="s">
        <v>413</v>
      </c>
      <c r="D107" s="27" t="s">
        <v>224</v>
      </c>
      <c r="E107" s="27" t="s">
        <v>933</v>
      </c>
      <c r="F107" s="28" t="s">
        <v>898</v>
      </c>
      <c r="G107" s="44" t="s">
        <v>10</v>
      </c>
      <c r="H107" s="44" t="s">
        <v>10</v>
      </c>
      <c r="I107" s="44" t="s">
        <v>10</v>
      </c>
      <c r="J107" s="44" t="s">
        <v>10</v>
      </c>
      <c r="K107" s="44" t="s">
        <v>10</v>
      </c>
      <c r="L107" s="29" t="str">
        <f t="shared" si="34"/>
        <v>De.Espacialidade</v>
      </c>
      <c r="M107" s="29" t="str">
        <f t="shared" si="34"/>
        <v>Elementos.Espaciais</v>
      </c>
      <c r="N107" s="29" t="str">
        <f t="shared" si="22"/>
        <v>Ambiente Risco</v>
      </c>
      <c r="O107" s="29" t="str">
        <f t="shared" si="22"/>
        <v>Amb Paramentação</v>
      </c>
      <c r="P107" s="30" t="s">
        <v>373</v>
      </c>
      <c r="Q107" s="30" t="s">
        <v>731</v>
      </c>
      <c r="R107" s="30" t="s">
        <v>554</v>
      </c>
      <c r="S107" s="63" t="s">
        <v>10</v>
      </c>
      <c r="T107" s="30" t="str">
        <f t="shared" si="35"/>
        <v>De Espacialidade</v>
      </c>
      <c r="U107" s="30" t="str">
        <f t="shared" si="35"/>
        <v>Elementos Espaciais</v>
      </c>
      <c r="V107" s="30" t="str">
        <f t="shared" si="35"/>
        <v>Ambiente Risco</v>
      </c>
      <c r="W107" s="30" t="s">
        <v>78</v>
      </c>
      <c r="X107" s="45" t="str">
        <f t="shared" si="33"/>
        <v>Key-AMB-107</v>
      </c>
      <c r="Y107" s="30" t="s">
        <v>442</v>
      </c>
      <c r="Z107" s="61" t="s">
        <v>10</v>
      </c>
      <c r="AA107" s="41" t="s">
        <v>179</v>
      </c>
      <c r="AB107" s="61" t="s">
        <v>10</v>
      </c>
      <c r="AC107" s="56" t="s">
        <v>310</v>
      </c>
      <c r="AD107" s="61" t="s">
        <v>10</v>
      </c>
    </row>
    <row r="108" spans="1:30" s="34" customFormat="1" ht="6.75" customHeight="1" x14ac:dyDescent="0.25">
      <c r="A108" s="49">
        <v>108</v>
      </c>
      <c r="B108" s="27" t="s">
        <v>408</v>
      </c>
      <c r="C108" s="27" t="s">
        <v>413</v>
      </c>
      <c r="D108" s="27" t="s">
        <v>224</v>
      </c>
      <c r="E108" s="27" t="s">
        <v>934</v>
      </c>
      <c r="F108" s="28" t="s">
        <v>899</v>
      </c>
      <c r="G108" s="44" t="s">
        <v>10</v>
      </c>
      <c r="H108" s="44" t="s">
        <v>10</v>
      </c>
      <c r="I108" s="44" t="s">
        <v>10</v>
      </c>
      <c r="J108" s="44" t="s">
        <v>10</v>
      </c>
      <c r="K108" s="44" t="s">
        <v>10</v>
      </c>
      <c r="L108" s="29" t="str">
        <f t="shared" si="34"/>
        <v>De.Espacialidade</v>
      </c>
      <c r="M108" s="29" t="str">
        <f t="shared" si="34"/>
        <v>Elementos.Espaciais</v>
      </c>
      <c r="N108" s="29" t="str">
        <f t="shared" si="22"/>
        <v>Ambiente Educacional</v>
      </c>
      <c r="O108" s="29" t="str">
        <f t="shared" si="22"/>
        <v>Amb Infantil</v>
      </c>
      <c r="P108" s="30" t="s">
        <v>355</v>
      </c>
      <c r="Q108" s="30" t="s">
        <v>732</v>
      </c>
      <c r="R108" s="30" t="s">
        <v>555</v>
      </c>
      <c r="S108" s="63" t="s">
        <v>10</v>
      </c>
      <c r="T108" s="30" t="str">
        <f t="shared" si="35"/>
        <v>De Espacialidade</v>
      </c>
      <c r="U108" s="30" t="str">
        <f t="shared" si="35"/>
        <v>Elementos Espaciais</v>
      </c>
      <c r="V108" s="30" t="str">
        <f t="shared" si="35"/>
        <v>Ambiente Educacional</v>
      </c>
      <c r="W108" s="30" t="s">
        <v>78</v>
      </c>
      <c r="X108" s="45" t="str">
        <f t="shared" si="33"/>
        <v>Key-AMB-108</v>
      </c>
      <c r="Y108" s="30" t="s">
        <v>442</v>
      </c>
      <c r="Z108" s="61" t="s">
        <v>10</v>
      </c>
      <c r="AA108" s="41" t="s">
        <v>179</v>
      </c>
      <c r="AB108" s="61" t="s">
        <v>10</v>
      </c>
      <c r="AC108" s="56" t="s">
        <v>923</v>
      </c>
      <c r="AD108" s="61" t="s">
        <v>10</v>
      </c>
    </row>
    <row r="109" spans="1:30" s="34" customFormat="1" ht="6.75" customHeight="1" x14ac:dyDescent="0.25">
      <c r="A109" s="49">
        <v>109</v>
      </c>
      <c r="B109" s="27" t="s">
        <v>408</v>
      </c>
      <c r="C109" s="27" t="s">
        <v>413</v>
      </c>
      <c r="D109" s="27" t="s">
        <v>224</v>
      </c>
      <c r="E109" s="27" t="s">
        <v>934</v>
      </c>
      <c r="F109" s="28" t="s">
        <v>900</v>
      </c>
      <c r="G109" s="44" t="s">
        <v>10</v>
      </c>
      <c r="H109" s="44" t="s">
        <v>10</v>
      </c>
      <c r="I109" s="44" t="s">
        <v>10</v>
      </c>
      <c r="J109" s="44" t="s">
        <v>10</v>
      </c>
      <c r="K109" s="44" t="s">
        <v>10</v>
      </c>
      <c r="L109" s="29" t="str">
        <f t="shared" si="34"/>
        <v>De.Espacialidade</v>
      </c>
      <c r="M109" s="29" t="str">
        <f t="shared" si="34"/>
        <v>Elementos.Espaciais</v>
      </c>
      <c r="N109" s="29" t="str">
        <f t="shared" si="22"/>
        <v>Ambiente Educacional</v>
      </c>
      <c r="O109" s="29" t="str">
        <f t="shared" si="22"/>
        <v>Amb Ensino</v>
      </c>
      <c r="P109" s="30" t="s">
        <v>356</v>
      </c>
      <c r="Q109" s="30" t="s">
        <v>733</v>
      </c>
      <c r="R109" s="30" t="s">
        <v>556</v>
      </c>
      <c r="S109" s="63" t="s">
        <v>10</v>
      </c>
      <c r="T109" s="30" t="str">
        <f t="shared" si="35"/>
        <v>De Espacialidade</v>
      </c>
      <c r="U109" s="30" t="str">
        <f t="shared" si="35"/>
        <v>Elementos Espaciais</v>
      </c>
      <c r="V109" s="30" t="str">
        <f t="shared" si="35"/>
        <v>Ambiente Educacional</v>
      </c>
      <c r="W109" s="30" t="s">
        <v>78</v>
      </c>
      <c r="X109" s="45" t="str">
        <f t="shared" si="33"/>
        <v>Key-AMB-109</v>
      </c>
      <c r="Y109" s="30" t="s">
        <v>442</v>
      </c>
      <c r="Z109" s="61" t="s">
        <v>10</v>
      </c>
      <c r="AA109" s="41" t="s">
        <v>179</v>
      </c>
      <c r="AB109" s="61" t="s">
        <v>10</v>
      </c>
      <c r="AC109" s="56" t="s">
        <v>923</v>
      </c>
      <c r="AD109" s="61" t="s">
        <v>10</v>
      </c>
    </row>
    <row r="110" spans="1:30" s="34" customFormat="1" ht="6.75" customHeight="1" x14ac:dyDescent="0.25">
      <c r="A110" s="49">
        <v>110</v>
      </c>
      <c r="B110" s="27" t="s">
        <v>408</v>
      </c>
      <c r="C110" s="27" t="s">
        <v>413</v>
      </c>
      <c r="D110" s="27" t="s">
        <v>224</v>
      </c>
      <c r="E110" s="27" t="s">
        <v>934</v>
      </c>
      <c r="F110" s="28" t="s">
        <v>901</v>
      </c>
      <c r="G110" s="44" t="s">
        <v>10</v>
      </c>
      <c r="H110" s="44" t="s">
        <v>10</v>
      </c>
      <c r="I110" s="44" t="s">
        <v>10</v>
      </c>
      <c r="J110" s="44" t="s">
        <v>10</v>
      </c>
      <c r="K110" s="44" t="s">
        <v>10</v>
      </c>
      <c r="L110" s="29" t="str">
        <f t="shared" si="34"/>
        <v>De.Espacialidade</v>
      </c>
      <c r="M110" s="29" t="str">
        <f t="shared" si="34"/>
        <v>Elementos.Espaciais</v>
      </c>
      <c r="N110" s="29" t="str">
        <f t="shared" si="22"/>
        <v>Ambiente Educacional</v>
      </c>
      <c r="O110" s="29" t="str">
        <f t="shared" si="22"/>
        <v>Amb Ensino Artístico</v>
      </c>
      <c r="P110" s="30" t="s">
        <v>352</v>
      </c>
      <c r="Q110" s="30" t="s">
        <v>734</v>
      </c>
      <c r="R110" s="30" t="s">
        <v>557</v>
      </c>
      <c r="S110" s="63" t="s">
        <v>10</v>
      </c>
      <c r="T110" s="30" t="str">
        <f t="shared" si="35"/>
        <v>De Espacialidade</v>
      </c>
      <c r="U110" s="30" t="str">
        <f t="shared" si="35"/>
        <v>Elementos Espaciais</v>
      </c>
      <c r="V110" s="30" t="str">
        <f t="shared" si="35"/>
        <v>Ambiente Educacional</v>
      </c>
      <c r="W110" s="30" t="s">
        <v>78</v>
      </c>
      <c r="X110" s="45" t="str">
        <f t="shared" si="33"/>
        <v>Key-AMB-110</v>
      </c>
      <c r="Y110" s="30" t="s">
        <v>442</v>
      </c>
      <c r="Z110" s="61" t="s">
        <v>10</v>
      </c>
      <c r="AA110" s="41" t="s">
        <v>179</v>
      </c>
      <c r="AB110" s="61" t="s">
        <v>10</v>
      </c>
      <c r="AC110" s="56" t="s">
        <v>923</v>
      </c>
      <c r="AD110" s="61" t="s">
        <v>10</v>
      </c>
    </row>
    <row r="111" spans="1:30" s="34" customFormat="1" ht="6.75" customHeight="1" x14ac:dyDescent="0.25">
      <c r="A111" s="49">
        <v>111</v>
      </c>
      <c r="B111" s="27" t="s">
        <v>408</v>
      </c>
      <c r="C111" s="27" t="s">
        <v>413</v>
      </c>
      <c r="D111" s="27" t="s">
        <v>224</v>
      </c>
      <c r="E111" s="27" t="s">
        <v>934</v>
      </c>
      <c r="F111" s="28" t="s">
        <v>902</v>
      </c>
      <c r="G111" s="44" t="s">
        <v>10</v>
      </c>
      <c r="H111" s="44" t="s">
        <v>10</v>
      </c>
      <c r="I111" s="44" t="s">
        <v>10</v>
      </c>
      <c r="J111" s="44" t="s">
        <v>10</v>
      </c>
      <c r="K111" s="44" t="s">
        <v>10</v>
      </c>
      <c r="L111" s="29" t="str">
        <f t="shared" si="34"/>
        <v>De.Espacialidade</v>
      </c>
      <c r="M111" s="29" t="str">
        <f t="shared" si="34"/>
        <v>Elementos.Espaciais</v>
      </c>
      <c r="N111" s="29" t="str">
        <f t="shared" si="22"/>
        <v>Ambiente Educacional</v>
      </c>
      <c r="O111" s="29" t="str">
        <f t="shared" si="22"/>
        <v>Amb Ensino Científico</v>
      </c>
      <c r="P111" s="30" t="s">
        <v>353</v>
      </c>
      <c r="Q111" s="30" t="s">
        <v>735</v>
      </c>
      <c r="R111" s="30" t="s">
        <v>558</v>
      </c>
      <c r="S111" s="63" t="s">
        <v>10</v>
      </c>
      <c r="T111" s="30" t="str">
        <f t="shared" si="35"/>
        <v>De Espacialidade</v>
      </c>
      <c r="U111" s="30" t="str">
        <f t="shared" si="35"/>
        <v>Elementos Espaciais</v>
      </c>
      <c r="V111" s="30" t="str">
        <f t="shared" si="35"/>
        <v>Ambiente Educacional</v>
      </c>
      <c r="W111" s="30" t="s">
        <v>78</v>
      </c>
      <c r="X111" s="45" t="str">
        <f t="shared" si="33"/>
        <v>Key-AMB-111</v>
      </c>
      <c r="Y111" s="30" t="s">
        <v>442</v>
      </c>
      <c r="Z111" s="61" t="s">
        <v>10</v>
      </c>
      <c r="AA111" s="41" t="s">
        <v>179</v>
      </c>
      <c r="AB111" s="61" t="s">
        <v>10</v>
      </c>
      <c r="AC111" s="56" t="s">
        <v>923</v>
      </c>
      <c r="AD111" s="61" t="s">
        <v>10</v>
      </c>
    </row>
    <row r="112" spans="1:30" s="34" customFormat="1" ht="6.75" customHeight="1" x14ac:dyDescent="0.25">
      <c r="A112" s="49">
        <v>112</v>
      </c>
      <c r="B112" s="27" t="s">
        <v>408</v>
      </c>
      <c r="C112" s="27" t="s">
        <v>413</v>
      </c>
      <c r="D112" s="27" t="s">
        <v>224</v>
      </c>
      <c r="E112" s="27" t="s">
        <v>934</v>
      </c>
      <c r="F112" s="28" t="s">
        <v>903</v>
      </c>
      <c r="G112" s="44" t="s">
        <v>10</v>
      </c>
      <c r="H112" s="44" t="s">
        <v>10</v>
      </c>
      <c r="I112" s="44" t="s">
        <v>10</v>
      </c>
      <c r="J112" s="44" t="s">
        <v>10</v>
      </c>
      <c r="K112" s="44" t="s">
        <v>10</v>
      </c>
      <c r="L112" s="29" t="str">
        <f t="shared" si="34"/>
        <v>De.Espacialidade</v>
      </c>
      <c r="M112" s="29" t="str">
        <f t="shared" si="34"/>
        <v>Elementos.Espaciais</v>
      </c>
      <c r="N112" s="29" t="str">
        <f t="shared" si="22"/>
        <v>Ambiente Educacional</v>
      </c>
      <c r="O112" s="29" t="str">
        <f t="shared" si="22"/>
        <v>Amb Ensino Técnico</v>
      </c>
      <c r="P112" s="30" t="s">
        <v>362</v>
      </c>
      <c r="Q112" s="30" t="s">
        <v>736</v>
      </c>
      <c r="R112" s="30" t="s">
        <v>559</v>
      </c>
      <c r="S112" s="63" t="s">
        <v>10</v>
      </c>
      <c r="T112" s="30" t="str">
        <f t="shared" si="35"/>
        <v>De Espacialidade</v>
      </c>
      <c r="U112" s="30" t="str">
        <f t="shared" si="35"/>
        <v>Elementos Espaciais</v>
      </c>
      <c r="V112" s="30" t="str">
        <f t="shared" si="35"/>
        <v>Ambiente Educacional</v>
      </c>
      <c r="W112" s="30" t="s">
        <v>78</v>
      </c>
      <c r="X112" s="45" t="str">
        <f t="shared" si="33"/>
        <v>Key-AMB-112</v>
      </c>
      <c r="Y112" s="30" t="s">
        <v>442</v>
      </c>
      <c r="Z112" s="61" t="s">
        <v>10</v>
      </c>
      <c r="AA112" s="41" t="s">
        <v>179</v>
      </c>
      <c r="AB112" s="61" t="s">
        <v>10</v>
      </c>
      <c r="AC112" s="56" t="s">
        <v>923</v>
      </c>
      <c r="AD112" s="61" t="s">
        <v>10</v>
      </c>
    </row>
    <row r="113" spans="1:30" s="34" customFormat="1" ht="6.75" customHeight="1" x14ac:dyDescent="0.25">
      <c r="A113" s="49">
        <v>113</v>
      </c>
      <c r="B113" s="27" t="s">
        <v>408</v>
      </c>
      <c r="C113" s="27" t="s">
        <v>413</v>
      </c>
      <c r="D113" s="27" t="s">
        <v>224</v>
      </c>
      <c r="E113" s="27" t="s">
        <v>934</v>
      </c>
      <c r="F113" s="28" t="s">
        <v>904</v>
      </c>
      <c r="G113" s="44" t="s">
        <v>10</v>
      </c>
      <c r="H113" s="44" t="s">
        <v>10</v>
      </c>
      <c r="I113" s="44" t="s">
        <v>10</v>
      </c>
      <c r="J113" s="44" t="s">
        <v>10</v>
      </c>
      <c r="K113" s="44" t="s">
        <v>10</v>
      </c>
      <c r="L113" s="29" t="str">
        <f t="shared" si="34"/>
        <v>De.Espacialidade</v>
      </c>
      <c r="M113" s="29" t="str">
        <f t="shared" si="34"/>
        <v>Elementos.Espaciais</v>
      </c>
      <c r="N113" s="29" t="str">
        <f t="shared" si="22"/>
        <v>Ambiente Educacional</v>
      </c>
      <c r="O113" s="29" t="str">
        <f t="shared" si="22"/>
        <v>Amb Ensino Informática</v>
      </c>
      <c r="P113" s="30" t="s">
        <v>357</v>
      </c>
      <c r="Q113" s="30" t="s">
        <v>737</v>
      </c>
      <c r="R113" s="30" t="s">
        <v>560</v>
      </c>
      <c r="S113" s="63" t="s">
        <v>10</v>
      </c>
      <c r="T113" s="30" t="str">
        <f t="shared" si="35"/>
        <v>De Espacialidade</v>
      </c>
      <c r="U113" s="30" t="str">
        <f t="shared" si="35"/>
        <v>Elementos Espaciais</v>
      </c>
      <c r="V113" s="30" t="str">
        <f t="shared" si="35"/>
        <v>Ambiente Educacional</v>
      </c>
      <c r="W113" s="30" t="s">
        <v>78</v>
      </c>
      <c r="X113" s="45" t="str">
        <f t="shared" si="33"/>
        <v>Key-AMB-113</v>
      </c>
      <c r="Y113" s="30" t="s">
        <v>442</v>
      </c>
      <c r="Z113" s="61" t="s">
        <v>10</v>
      </c>
      <c r="AA113" s="41" t="s">
        <v>179</v>
      </c>
      <c r="AB113" s="61" t="s">
        <v>10</v>
      </c>
      <c r="AC113" s="56" t="s">
        <v>923</v>
      </c>
      <c r="AD113" s="61" t="s">
        <v>10</v>
      </c>
    </row>
    <row r="114" spans="1:30" s="34" customFormat="1" ht="6.75" customHeight="1" x14ac:dyDescent="0.25">
      <c r="A114" s="49">
        <v>114</v>
      </c>
      <c r="B114" s="27" t="s">
        <v>408</v>
      </c>
      <c r="C114" s="27" t="s">
        <v>413</v>
      </c>
      <c r="D114" s="27" t="s">
        <v>224</v>
      </c>
      <c r="E114" s="27" t="s">
        <v>934</v>
      </c>
      <c r="F114" s="28" t="s">
        <v>905</v>
      </c>
      <c r="G114" s="44" t="s">
        <v>10</v>
      </c>
      <c r="H114" s="44" t="s">
        <v>10</v>
      </c>
      <c r="I114" s="44" t="s">
        <v>10</v>
      </c>
      <c r="J114" s="44" t="s">
        <v>10</v>
      </c>
      <c r="K114" s="44" t="s">
        <v>10</v>
      </c>
      <c r="L114" s="29" t="str">
        <f t="shared" si="34"/>
        <v>De.Espacialidade</v>
      </c>
      <c r="M114" s="29" t="str">
        <f t="shared" si="34"/>
        <v>Elementos.Espaciais</v>
      </c>
      <c r="N114" s="29" t="str">
        <f t="shared" si="22"/>
        <v>Ambiente Educacional</v>
      </c>
      <c r="O114" s="29" t="str">
        <f t="shared" si="22"/>
        <v>Amb Ensino Química</v>
      </c>
      <c r="P114" s="30" t="s">
        <v>358</v>
      </c>
      <c r="Q114" s="30" t="s">
        <v>738</v>
      </c>
      <c r="R114" s="30" t="s">
        <v>561</v>
      </c>
      <c r="S114" s="63" t="s">
        <v>10</v>
      </c>
      <c r="T114" s="30" t="str">
        <f t="shared" si="35"/>
        <v>De Espacialidade</v>
      </c>
      <c r="U114" s="30" t="str">
        <f t="shared" si="35"/>
        <v>Elementos Espaciais</v>
      </c>
      <c r="V114" s="30" t="str">
        <f t="shared" si="35"/>
        <v>Ambiente Educacional</v>
      </c>
      <c r="W114" s="30" t="s">
        <v>78</v>
      </c>
      <c r="X114" s="45" t="str">
        <f t="shared" si="33"/>
        <v>Key-AMB-114</v>
      </c>
      <c r="Y114" s="30" t="s">
        <v>442</v>
      </c>
      <c r="Z114" s="61" t="s">
        <v>10</v>
      </c>
      <c r="AA114" s="41" t="s">
        <v>179</v>
      </c>
      <c r="AB114" s="61" t="s">
        <v>10</v>
      </c>
      <c r="AC114" s="56" t="s">
        <v>923</v>
      </c>
      <c r="AD114" s="61" t="s">
        <v>10</v>
      </c>
    </row>
    <row r="115" spans="1:30" s="34" customFormat="1" ht="6.75" customHeight="1" x14ac:dyDescent="0.25">
      <c r="A115" s="49">
        <v>115</v>
      </c>
      <c r="B115" s="27" t="s">
        <v>408</v>
      </c>
      <c r="C115" s="27" t="s">
        <v>413</v>
      </c>
      <c r="D115" s="27" t="s">
        <v>224</v>
      </c>
      <c r="E115" s="27" t="s">
        <v>934</v>
      </c>
      <c r="F115" s="28" t="s">
        <v>906</v>
      </c>
      <c r="G115" s="44" t="s">
        <v>10</v>
      </c>
      <c r="H115" s="44" t="s">
        <v>10</v>
      </c>
      <c r="I115" s="44" t="s">
        <v>10</v>
      </c>
      <c r="J115" s="44" t="s">
        <v>10</v>
      </c>
      <c r="K115" s="44" t="s">
        <v>10</v>
      </c>
      <c r="L115" s="29" t="str">
        <f t="shared" si="34"/>
        <v>De.Espacialidade</v>
      </c>
      <c r="M115" s="29" t="str">
        <f t="shared" si="34"/>
        <v>Elementos.Espaciais</v>
      </c>
      <c r="N115" s="29" t="str">
        <f t="shared" si="22"/>
        <v>Ambiente Educacional</v>
      </c>
      <c r="O115" s="29" t="str">
        <f t="shared" si="22"/>
        <v>Amb Ensino Física</v>
      </c>
      <c r="P115" s="30" t="s">
        <v>359</v>
      </c>
      <c r="Q115" s="30" t="s">
        <v>739</v>
      </c>
      <c r="R115" s="30" t="s">
        <v>562</v>
      </c>
      <c r="S115" s="63" t="s">
        <v>10</v>
      </c>
      <c r="T115" s="30" t="str">
        <f t="shared" si="35"/>
        <v>De Espacialidade</v>
      </c>
      <c r="U115" s="30" t="str">
        <f t="shared" si="35"/>
        <v>Elementos Espaciais</v>
      </c>
      <c r="V115" s="30" t="str">
        <f t="shared" si="35"/>
        <v>Ambiente Educacional</v>
      </c>
      <c r="W115" s="30" t="s">
        <v>78</v>
      </c>
      <c r="X115" s="45" t="str">
        <f t="shared" si="33"/>
        <v>Key-AMB-115</v>
      </c>
      <c r="Y115" s="30" t="s">
        <v>442</v>
      </c>
      <c r="Z115" s="61" t="s">
        <v>10</v>
      </c>
      <c r="AA115" s="41" t="s">
        <v>179</v>
      </c>
      <c r="AB115" s="61" t="s">
        <v>10</v>
      </c>
      <c r="AC115" s="56" t="s">
        <v>923</v>
      </c>
      <c r="AD115" s="61" t="s">
        <v>10</v>
      </c>
    </row>
    <row r="116" spans="1:30" s="34" customFormat="1" ht="6.75" customHeight="1" x14ac:dyDescent="0.25">
      <c r="A116" s="49">
        <v>116</v>
      </c>
      <c r="B116" s="27" t="s">
        <v>408</v>
      </c>
      <c r="C116" s="27" t="s">
        <v>413</v>
      </c>
      <c r="D116" s="27" t="s">
        <v>224</v>
      </c>
      <c r="E116" s="27" t="s">
        <v>934</v>
      </c>
      <c r="F116" s="28" t="s">
        <v>907</v>
      </c>
      <c r="G116" s="44" t="s">
        <v>10</v>
      </c>
      <c r="H116" s="44" t="s">
        <v>10</v>
      </c>
      <c r="I116" s="44" t="s">
        <v>10</v>
      </c>
      <c r="J116" s="44" t="s">
        <v>10</v>
      </c>
      <c r="K116" s="44" t="s">
        <v>10</v>
      </c>
      <c r="L116" s="29" t="str">
        <f t="shared" si="34"/>
        <v>De.Espacialidade</v>
      </c>
      <c r="M116" s="29" t="str">
        <f t="shared" si="34"/>
        <v>Elementos.Espaciais</v>
      </c>
      <c r="N116" s="29" t="str">
        <f t="shared" si="22"/>
        <v>Ambiente Educacional</v>
      </c>
      <c r="O116" s="29" t="str">
        <f t="shared" si="22"/>
        <v>Amb Ensino Biologia</v>
      </c>
      <c r="P116" s="30" t="s">
        <v>360</v>
      </c>
      <c r="Q116" s="30" t="s">
        <v>740</v>
      </c>
      <c r="R116" s="30" t="s">
        <v>563</v>
      </c>
      <c r="S116" s="63" t="s">
        <v>10</v>
      </c>
      <c r="T116" s="30" t="str">
        <f t="shared" si="35"/>
        <v>De Espacialidade</v>
      </c>
      <c r="U116" s="30" t="str">
        <f t="shared" si="35"/>
        <v>Elementos Espaciais</v>
      </c>
      <c r="V116" s="30" t="str">
        <f t="shared" si="35"/>
        <v>Ambiente Educacional</v>
      </c>
      <c r="W116" s="30" t="s">
        <v>78</v>
      </c>
      <c r="X116" s="45" t="str">
        <f t="shared" si="33"/>
        <v>Key-AMB-116</v>
      </c>
      <c r="Y116" s="30" t="s">
        <v>442</v>
      </c>
      <c r="Z116" s="61" t="s">
        <v>10</v>
      </c>
      <c r="AA116" s="41" t="s">
        <v>179</v>
      </c>
      <c r="AB116" s="61" t="s">
        <v>10</v>
      </c>
      <c r="AC116" s="56" t="s">
        <v>923</v>
      </c>
      <c r="AD116" s="61" t="s">
        <v>10</v>
      </c>
    </row>
    <row r="117" spans="1:30" s="34" customFormat="1" ht="6.75" customHeight="1" x14ac:dyDescent="0.25">
      <c r="A117" s="49">
        <v>117</v>
      </c>
      <c r="B117" s="27" t="s">
        <v>408</v>
      </c>
      <c r="C117" s="27" t="s">
        <v>413</v>
      </c>
      <c r="D117" s="27" t="s">
        <v>224</v>
      </c>
      <c r="E117" s="27" t="s">
        <v>934</v>
      </c>
      <c r="F117" s="28" t="s">
        <v>908</v>
      </c>
      <c r="G117" s="44" t="s">
        <v>10</v>
      </c>
      <c r="H117" s="44" t="s">
        <v>10</v>
      </c>
      <c r="I117" s="44" t="s">
        <v>10</v>
      </c>
      <c r="J117" s="44" t="s">
        <v>10</v>
      </c>
      <c r="K117" s="44" t="s">
        <v>10</v>
      </c>
      <c r="L117" s="29" t="str">
        <f t="shared" si="34"/>
        <v>De.Espacialidade</v>
      </c>
      <c r="M117" s="29" t="str">
        <f t="shared" si="34"/>
        <v>Elementos.Espaciais</v>
      </c>
      <c r="N117" s="29" t="str">
        <f t="shared" si="22"/>
        <v>Ambiente Educacional</v>
      </c>
      <c r="O117" s="29" t="str">
        <f t="shared" si="22"/>
        <v>Amb Ensino Música</v>
      </c>
      <c r="P117" s="30" t="s">
        <v>361</v>
      </c>
      <c r="Q117" s="30" t="s">
        <v>741</v>
      </c>
      <c r="R117" s="30" t="s">
        <v>564</v>
      </c>
      <c r="S117" s="63" t="s">
        <v>10</v>
      </c>
      <c r="T117" s="30" t="str">
        <f t="shared" si="35"/>
        <v>De Espacialidade</v>
      </c>
      <c r="U117" s="30" t="str">
        <f t="shared" si="35"/>
        <v>Elementos Espaciais</v>
      </c>
      <c r="V117" s="30" t="str">
        <f t="shared" si="35"/>
        <v>Ambiente Educacional</v>
      </c>
      <c r="W117" s="30" t="s">
        <v>78</v>
      </c>
      <c r="X117" s="45" t="str">
        <f t="shared" si="33"/>
        <v>Key-AMB-117</v>
      </c>
      <c r="Y117" s="30" t="s">
        <v>442</v>
      </c>
      <c r="Z117" s="61" t="s">
        <v>10</v>
      </c>
      <c r="AA117" s="41" t="s">
        <v>179</v>
      </c>
      <c r="AB117" s="61" t="s">
        <v>10</v>
      </c>
      <c r="AC117" s="56" t="s">
        <v>923</v>
      </c>
      <c r="AD117" s="61" t="s">
        <v>10</v>
      </c>
    </row>
    <row r="118" spans="1:30" s="34" customFormat="1" ht="6.75" customHeight="1" x14ac:dyDescent="0.25">
      <c r="A118" s="49">
        <v>118</v>
      </c>
      <c r="B118" s="27" t="s">
        <v>408</v>
      </c>
      <c r="C118" s="27" t="s">
        <v>413</v>
      </c>
      <c r="D118" s="27" t="s">
        <v>224</v>
      </c>
      <c r="E118" s="27" t="s">
        <v>934</v>
      </c>
      <c r="F118" s="28" t="s">
        <v>909</v>
      </c>
      <c r="G118" s="44" t="s">
        <v>10</v>
      </c>
      <c r="H118" s="44" t="s">
        <v>10</v>
      </c>
      <c r="I118" s="44" t="s">
        <v>10</v>
      </c>
      <c r="J118" s="44" t="s">
        <v>10</v>
      </c>
      <c r="K118" s="44" t="s">
        <v>10</v>
      </c>
      <c r="L118" s="29" t="str">
        <f t="shared" si="34"/>
        <v>De.Espacialidade</v>
      </c>
      <c r="M118" s="29" t="str">
        <f t="shared" si="34"/>
        <v>Elementos.Espaciais</v>
      </c>
      <c r="N118" s="29" t="str">
        <f t="shared" si="22"/>
        <v>Ambiente Educacional</v>
      </c>
      <c r="O118" s="29" t="str">
        <f t="shared" si="22"/>
        <v>Amb Ensino FabLab</v>
      </c>
      <c r="P118" s="30" t="s">
        <v>304</v>
      </c>
      <c r="Q118" s="30" t="s">
        <v>742</v>
      </c>
      <c r="R118" s="30" t="s">
        <v>565</v>
      </c>
      <c r="S118" s="63" t="s">
        <v>10</v>
      </c>
      <c r="T118" s="30" t="str">
        <f t="shared" si="35"/>
        <v>De Espacialidade</v>
      </c>
      <c r="U118" s="30" t="str">
        <f t="shared" si="35"/>
        <v>Elementos Espaciais</v>
      </c>
      <c r="V118" s="30" t="str">
        <f t="shared" si="35"/>
        <v>Ambiente Educacional</v>
      </c>
      <c r="W118" s="30" t="s">
        <v>78</v>
      </c>
      <c r="X118" s="45" t="str">
        <f t="shared" si="33"/>
        <v>Key-AMB-118</v>
      </c>
      <c r="Y118" s="30" t="s">
        <v>442</v>
      </c>
      <c r="Z118" s="61" t="s">
        <v>10</v>
      </c>
      <c r="AA118" s="41" t="s">
        <v>179</v>
      </c>
      <c r="AB118" s="61" t="s">
        <v>10</v>
      </c>
      <c r="AC118" s="56" t="s">
        <v>923</v>
      </c>
      <c r="AD118" s="61" t="s">
        <v>10</v>
      </c>
    </row>
    <row r="119" spans="1:30" s="34" customFormat="1" ht="6.75" customHeight="1" x14ac:dyDescent="0.25">
      <c r="A119" s="49">
        <v>119</v>
      </c>
      <c r="B119" s="27" t="s">
        <v>408</v>
      </c>
      <c r="C119" s="27" t="s">
        <v>413</v>
      </c>
      <c r="D119" s="27" t="s">
        <v>224</v>
      </c>
      <c r="E119" s="27" t="s">
        <v>934</v>
      </c>
      <c r="F119" s="28" t="s">
        <v>910</v>
      </c>
      <c r="G119" s="44" t="s">
        <v>10</v>
      </c>
      <c r="H119" s="44" t="s">
        <v>10</v>
      </c>
      <c r="I119" s="44" t="s">
        <v>10</v>
      </c>
      <c r="J119" s="44" t="s">
        <v>10</v>
      </c>
      <c r="K119" s="44" t="s">
        <v>10</v>
      </c>
      <c r="L119" s="29" t="str">
        <f t="shared" si="34"/>
        <v>De.Espacialidade</v>
      </c>
      <c r="M119" s="29" t="str">
        <f t="shared" si="34"/>
        <v>Elementos.Espaciais</v>
      </c>
      <c r="N119" s="29" t="str">
        <f t="shared" si="22"/>
        <v>Ambiente Educacional</v>
      </c>
      <c r="O119" s="29" t="str">
        <f t="shared" si="22"/>
        <v>Amb Recreativo</v>
      </c>
      <c r="P119" s="30" t="s">
        <v>363</v>
      </c>
      <c r="Q119" s="30" t="s">
        <v>743</v>
      </c>
      <c r="R119" s="30" t="s">
        <v>566</v>
      </c>
      <c r="S119" s="63" t="s">
        <v>10</v>
      </c>
      <c r="T119" s="30" t="str">
        <f t="shared" si="35"/>
        <v>De Espacialidade</v>
      </c>
      <c r="U119" s="30" t="str">
        <f t="shared" si="35"/>
        <v>Elementos Espaciais</v>
      </c>
      <c r="V119" s="30" t="str">
        <f t="shared" si="35"/>
        <v>Ambiente Educacional</v>
      </c>
      <c r="W119" s="30" t="s">
        <v>78</v>
      </c>
      <c r="X119" s="45" t="str">
        <f t="shared" si="33"/>
        <v>Key-AMB-119</v>
      </c>
      <c r="Y119" s="30" t="s">
        <v>442</v>
      </c>
      <c r="Z119" s="61" t="s">
        <v>10</v>
      </c>
      <c r="AA119" s="41" t="s">
        <v>179</v>
      </c>
      <c r="AB119" s="61" t="s">
        <v>10</v>
      </c>
      <c r="AC119" s="56" t="s">
        <v>923</v>
      </c>
      <c r="AD119" s="61" t="s">
        <v>10</v>
      </c>
    </row>
    <row r="120" spans="1:30" s="34" customFormat="1" ht="6.75" customHeight="1" x14ac:dyDescent="0.25">
      <c r="A120" s="49">
        <v>120</v>
      </c>
      <c r="B120" s="27" t="s">
        <v>408</v>
      </c>
      <c r="C120" s="27" t="s">
        <v>413</v>
      </c>
      <c r="D120" s="27" t="s">
        <v>224</v>
      </c>
      <c r="E120" s="27" t="s">
        <v>935</v>
      </c>
      <c r="F120" s="28" t="s">
        <v>911</v>
      </c>
      <c r="G120" s="44" t="s">
        <v>10</v>
      </c>
      <c r="H120" s="44" t="s">
        <v>10</v>
      </c>
      <c r="I120" s="44" t="s">
        <v>10</v>
      </c>
      <c r="J120" s="44" t="s">
        <v>10</v>
      </c>
      <c r="K120" s="44" t="s">
        <v>10</v>
      </c>
      <c r="L120" s="29" t="str">
        <f t="shared" si="34"/>
        <v>De.Espacialidade</v>
      </c>
      <c r="M120" s="29" t="str">
        <f t="shared" si="34"/>
        <v>Elementos.Espaciais</v>
      </c>
      <c r="N120" s="29" t="str">
        <f t="shared" si="22"/>
        <v>Ambiente Cultural</v>
      </c>
      <c r="O120" s="29" t="str">
        <f t="shared" si="22"/>
        <v>Amb Camarim</v>
      </c>
      <c r="P120" s="30" t="s">
        <v>300</v>
      </c>
      <c r="Q120" s="30" t="s">
        <v>744</v>
      </c>
      <c r="R120" s="30" t="s">
        <v>567</v>
      </c>
      <c r="S120" s="63" t="s">
        <v>10</v>
      </c>
      <c r="T120" s="30" t="str">
        <f t="shared" si="35"/>
        <v>De Espacialidade</v>
      </c>
      <c r="U120" s="30" t="str">
        <f t="shared" si="35"/>
        <v>Elementos Espaciais</v>
      </c>
      <c r="V120" s="30" t="str">
        <f t="shared" si="35"/>
        <v>Ambiente Cultural</v>
      </c>
      <c r="W120" s="30" t="s">
        <v>78</v>
      </c>
      <c r="X120" s="45" t="str">
        <f t="shared" si="33"/>
        <v>Key-AMB-120</v>
      </c>
      <c r="Y120" s="30" t="s">
        <v>442</v>
      </c>
      <c r="Z120" s="61" t="s">
        <v>10</v>
      </c>
      <c r="AA120" s="41" t="s">
        <v>179</v>
      </c>
      <c r="AB120" s="61" t="s">
        <v>10</v>
      </c>
      <c r="AC120" s="56" t="s">
        <v>923</v>
      </c>
      <c r="AD120" s="61" t="s">
        <v>10</v>
      </c>
    </row>
    <row r="121" spans="1:30" s="34" customFormat="1" ht="6.75" customHeight="1" x14ac:dyDescent="0.25">
      <c r="A121" s="49">
        <v>121</v>
      </c>
      <c r="B121" s="27" t="s">
        <v>408</v>
      </c>
      <c r="C121" s="27" t="s">
        <v>413</v>
      </c>
      <c r="D121" s="27" t="s">
        <v>224</v>
      </c>
      <c r="E121" s="27" t="s">
        <v>935</v>
      </c>
      <c r="F121" s="28" t="s">
        <v>912</v>
      </c>
      <c r="G121" s="44" t="s">
        <v>10</v>
      </c>
      <c r="H121" s="44" t="s">
        <v>10</v>
      </c>
      <c r="I121" s="44" t="s">
        <v>10</v>
      </c>
      <c r="J121" s="44" t="s">
        <v>10</v>
      </c>
      <c r="K121" s="44" t="s">
        <v>10</v>
      </c>
      <c r="L121" s="29" t="str">
        <f t="shared" si="34"/>
        <v>De.Espacialidade</v>
      </c>
      <c r="M121" s="29" t="str">
        <f t="shared" si="34"/>
        <v>Elementos.Espaciais</v>
      </c>
      <c r="N121" s="29" t="str">
        <f t="shared" si="22"/>
        <v>Ambiente Cultural</v>
      </c>
      <c r="O121" s="29" t="str">
        <f t="shared" si="22"/>
        <v>Amb Palco</v>
      </c>
      <c r="P121" s="30" t="s">
        <v>119</v>
      </c>
      <c r="Q121" s="30" t="s">
        <v>746</v>
      </c>
      <c r="R121" s="30" t="s">
        <v>569</v>
      </c>
      <c r="S121" s="63" t="s">
        <v>10</v>
      </c>
      <c r="T121" s="30" t="str">
        <f t="shared" si="35"/>
        <v>De Espacialidade</v>
      </c>
      <c r="U121" s="30" t="str">
        <f t="shared" si="35"/>
        <v>Elementos Espaciais</v>
      </c>
      <c r="V121" s="30" t="str">
        <f t="shared" si="35"/>
        <v>Ambiente Cultural</v>
      </c>
      <c r="W121" s="30" t="s">
        <v>78</v>
      </c>
      <c r="X121" s="45" t="str">
        <f t="shared" si="33"/>
        <v>Key-AMB-121</v>
      </c>
      <c r="Y121" s="30" t="s">
        <v>442</v>
      </c>
      <c r="Z121" s="61" t="s">
        <v>10</v>
      </c>
      <c r="AA121" s="41" t="s">
        <v>179</v>
      </c>
      <c r="AB121" s="61" t="s">
        <v>10</v>
      </c>
      <c r="AC121" s="56" t="s">
        <v>923</v>
      </c>
      <c r="AD121" s="61" t="s">
        <v>10</v>
      </c>
    </row>
    <row r="122" spans="1:30" s="34" customFormat="1" ht="6.75" customHeight="1" x14ac:dyDescent="0.25">
      <c r="A122" s="49">
        <v>122</v>
      </c>
      <c r="B122" s="27" t="s">
        <v>408</v>
      </c>
      <c r="C122" s="27" t="s">
        <v>413</v>
      </c>
      <c r="D122" s="27" t="s">
        <v>224</v>
      </c>
      <c r="E122" s="27" t="s">
        <v>935</v>
      </c>
      <c r="F122" s="28" t="s">
        <v>948</v>
      </c>
      <c r="G122" s="44" t="s">
        <v>10</v>
      </c>
      <c r="H122" s="44" t="s">
        <v>10</v>
      </c>
      <c r="I122" s="44" t="s">
        <v>10</v>
      </c>
      <c r="J122" s="44" t="s">
        <v>10</v>
      </c>
      <c r="K122" s="44" t="s">
        <v>10</v>
      </c>
      <c r="L122" s="29" t="str">
        <f t="shared" ref="L122:L123" si="36">CONCATENATE("", C122)</f>
        <v>De.Espacialidade</v>
      </c>
      <c r="M122" s="29" t="str">
        <f t="shared" ref="M122:M123" si="37">CONCATENATE("", D122)</f>
        <v>Elementos.Espaciais</v>
      </c>
      <c r="N122" s="29" t="str">
        <f t="shared" ref="N122:N123" si="38">(SUBSTITUTE(SUBSTITUTE(CONCATENATE("",E122),"."," ")," De "," de "))</f>
        <v>Ambiente Cultural</v>
      </c>
      <c r="O122" s="29" t="str">
        <f t="shared" ref="O122:O123" si="39">(SUBSTITUTE(SUBSTITUTE(CONCATENATE("",F122),"."," ")," De "," de "))</f>
        <v>Amb Palco Coxia</v>
      </c>
      <c r="P122" s="30" t="s">
        <v>230</v>
      </c>
      <c r="Q122" s="30" t="s">
        <v>748</v>
      </c>
      <c r="R122" s="30" t="s">
        <v>571</v>
      </c>
      <c r="S122" s="63" t="s">
        <v>10</v>
      </c>
      <c r="T122" s="30" t="str">
        <f t="shared" ref="T122:T123" si="40">SUBSTITUTE(C122, ".", " ")</f>
        <v>De Espacialidade</v>
      </c>
      <c r="U122" s="30" t="str">
        <f t="shared" ref="U122:U123" si="41">SUBSTITUTE(D122, ".", " ")</f>
        <v>Elementos Espaciais</v>
      </c>
      <c r="V122" s="30" t="str">
        <f t="shared" ref="V122:V123" si="42">SUBSTITUTE(E122, ".", " ")</f>
        <v>Ambiente Cultural</v>
      </c>
      <c r="W122" s="30" t="s">
        <v>78</v>
      </c>
      <c r="X122" s="45" t="str">
        <f t="shared" ref="X122:X123" si="43">CONCATENATE("Key-AMB-",A122)</f>
        <v>Key-AMB-122</v>
      </c>
      <c r="Y122" s="30" t="s">
        <v>442</v>
      </c>
      <c r="Z122" s="61" t="s">
        <v>10</v>
      </c>
      <c r="AA122" s="41" t="s">
        <v>179</v>
      </c>
      <c r="AB122" s="61" t="s">
        <v>10</v>
      </c>
      <c r="AC122" s="56" t="s">
        <v>923</v>
      </c>
      <c r="AD122" s="61" t="s">
        <v>10</v>
      </c>
    </row>
    <row r="123" spans="1:30" s="34" customFormat="1" ht="6.75" customHeight="1" x14ac:dyDescent="0.25">
      <c r="A123" s="49">
        <v>123</v>
      </c>
      <c r="B123" s="27" t="s">
        <v>408</v>
      </c>
      <c r="C123" s="27" t="s">
        <v>413</v>
      </c>
      <c r="D123" s="27" t="s">
        <v>224</v>
      </c>
      <c r="E123" s="27" t="s">
        <v>935</v>
      </c>
      <c r="F123" s="28" t="s">
        <v>949</v>
      </c>
      <c r="G123" s="44" t="s">
        <v>10</v>
      </c>
      <c r="H123" s="44" t="s">
        <v>10</v>
      </c>
      <c r="I123" s="44" t="s">
        <v>10</v>
      </c>
      <c r="J123" s="44" t="s">
        <v>10</v>
      </c>
      <c r="K123" s="44" t="s">
        <v>10</v>
      </c>
      <c r="L123" s="29" t="str">
        <f t="shared" si="36"/>
        <v>De.Espacialidade</v>
      </c>
      <c r="M123" s="29" t="str">
        <f t="shared" si="37"/>
        <v>Elementos.Espaciais</v>
      </c>
      <c r="N123" s="29" t="str">
        <f t="shared" si="38"/>
        <v>Ambiente Cultural</v>
      </c>
      <c r="O123" s="29" t="str">
        <f t="shared" si="39"/>
        <v>Amb Palco Foso</v>
      </c>
      <c r="P123" s="30" t="s">
        <v>121</v>
      </c>
      <c r="Q123" s="30" t="s">
        <v>749</v>
      </c>
      <c r="R123" s="30" t="s">
        <v>572</v>
      </c>
      <c r="S123" s="63" t="s">
        <v>10</v>
      </c>
      <c r="T123" s="30" t="str">
        <f t="shared" si="40"/>
        <v>De Espacialidade</v>
      </c>
      <c r="U123" s="30" t="str">
        <f t="shared" si="41"/>
        <v>Elementos Espaciais</v>
      </c>
      <c r="V123" s="30" t="str">
        <f t="shared" si="42"/>
        <v>Ambiente Cultural</v>
      </c>
      <c r="W123" s="30" t="s">
        <v>78</v>
      </c>
      <c r="X123" s="45" t="str">
        <f t="shared" si="43"/>
        <v>Key-AMB-123</v>
      </c>
      <c r="Y123" s="30" t="s">
        <v>442</v>
      </c>
      <c r="Z123" s="61" t="s">
        <v>10</v>
      </c>
      <c r="AA123" s="41" t="s">
        <v>179</v>
      </c>
      <c r="AB123" s="61" t="s">
        <v>10</v>
      </c>
      <c r="AC123" s="56" t="s">
        <v>923</v>
      </c>
      <c r="AD123" s="61" t="s">
        <v>10</v>
      </c>
    </row>
    <row r="124" spans="1:30" s="34" customFormat="1" ht="6.75" customHeight="1" x14ac:dyDescent="0.25">
      <c r="A124" s="49">
        <v>124</v>
      </c>
      <c r="B124" s="27" t="s">
        <v>408</v>
      </c>
      <c r="C124" s="27" t="s">
        <v>413</v>
      </c>
      <c r="D124" s="27" t="s">
        <v>224</v>
      </c>
      <c r="E124" s="27" t="s">
        <v>935</v>
      </c>
      <c r="F124" s="28" t="s">
        <v>946</v>
      </c>
      <c r="G124" s="44" t="s">
        <v>10</v>
      </c>
      <c r="H124" s="44" t="s">
        <v>10</v>
      </c>
      <c r="I124" s="44" t="s">
        <v>10</v>
      </c>
      <c r="J124" s="44" t="s">
        <v>10</v>
      </c>
      <c r="K124" s="44" t="s">
        <v>10</v>
      </c>
      <c r="L124" s="29" t="str">
        <f t="shared" si="34"/>
        <v>De.Espacialidade</v>
      </c>
      <c r="M124" s="29" t="str">
        <f t="shared" si="34"/>
        <v>Elementos.Espaciais</v>
      </c>
      <c r="N124" s="29" t="str">
        <f t="shared" si="22"/>
        <v>Ambiente Cultural</v>
      </c>
      <c r="O124" s="29" t="str">
        <f t="shared" si="22"/>
        <v>Amb Palco Fundo</v>
      </c>
      <c r="P124" s="30" t="s">
        <v>120</v>
      </c>
      <c r="Q124" s="30" t="s">
        <v>747</v>
      </c>
      <c r="R124" s="30" t="s">
        <v>570</v>
      </c>
      <c r="S124" s="63" t="s">
        <v>10</v>
      </c>
      <c r="T124" s="30" t="str">
        <f t="shared" si="35"/>
        <v>De Espacialidade</v>
      </c>
      <c r="U124" s="30" t="str">
        <f t="shared" si="35"/>
        <v>Elementos Espaciais</v>
      </c>
      <c r="V124" s="30" t="str">
        <f t="shared" si="35"/>
        <v>Ambiente Cultural</v>
      </c>
      <c r="W124" s="30" t="s">
        <v>78</v>
      </c>
      <c r="X124" s="45" t="str">
        <f t="shared" si="33"/>
        <v>Key-AMB-124</v>
      </c>
      <c r="Y124" s="30" t="s">
        <v>442</v>
      </c>
      <c r="Z124" s="61" t="s">
        <v>10</v>
      </c>
      <c r="AA124" s="41" t="s">
        <v>179</v>
      </c>
      <c r="AB124" s="61" t="s">
        <v>10</v>
      </c>
      <c r="AC124" s="56" t="s">
        <v>923</v>
      </c>
      <c r="AD124" s="61" t="s">
        <v>10</v>
      </c>
    </row>
    <row r="125" spans="1:30" s="34" customFormat="1" ht="6.75" customHeight="1" x14ac:dyDescent="0.25">
      <c r="A125" s="49">
        <v>125</v>
      </c>
      <c r="B125" s="27" t="s">
        <v>408</v>
      </c>
      <c r="C125" s="27" t="s">
        <v>413</v>
      </c>
      <c r="D125" s="27" t="s">
        <v>224</v>
      </c>
      <c r="E125" s="27" t="s">
        <v>935</v>
      </c>
      <c r="F125" s="28" t="s">
        <v>947</v>
      </c>
      <c r="G125" s="44" t="s">
        <v>10</v>
      </c>
      <c r="H125" s="44" t="s">
        <v>10</v>
      </c>
      <c r="I125" s="44" t="s">
        <v>10</v>
      </c>
      <c r="J125" s="44" t="s">
        <v>10</v>
      </c>
      <c r="K125" s="44" t="s">
        <v>10</v>
      </c>
      <c r="L125" s="29" t="str">
        <f t="shared" ref="L125" si="44">CONCATENATE("", C125)</f>
        <v>De.Espacialidade</v>
      </c>
      <c r="M125" s="29" t="str">
        <f t="shared" ref="M125" si="45">CONCATENATE("", D125)</f>
        <v>Elementos.Espaciais</v>
      </c>
      <c r="N125" s="29" t="str">
        <f t="shared" ref="N125" si="46">(SUBSTITUTE(SUBSTITUTE(CONCATENATE("",E125),"."," ")," De "," de "))</f>
        <v>Ambiente Cultural</v>
      </c>
      <c r="O125" s="29" t="str">
        <f t="shared" ref="O125" si="47">(SUBSTITUTE(SUBSTITUTE(CONCATENATE("",F125),"."," ")," De "," de "))</f>
        <v>Amb Palco Proscênio</v>
      </c>
      <c r="P125" s="30" t="s">
        <v>232</v>
      </c>
      <c r="Q125" s="30" t="s">
        <v>745</v>
      </c>
      <c r="R125" s="30" t="s">
        <v>568</v>
      </c>
      <c r="S125" s="63" t="s">
        <v>10</v>
      </c>
      <c r="T125" s="30" t="str">
        <f t="shared" ref="T125" si="48">SUBSTITUTE(C125, ".", " ")</f>
        <v>De Espacialidade</v>
      </c>
      <c r="U125" s="30" t="str">
        <f t="shared" ref="U125" si="49">SUBSTITUTE(D125, ".", " ")</f>
        <v>Elementos Espaciais</v>
      </c>
      <c r="V125" s="30" t="str">
        <f t="shared" ref="V125" si="50">SUBSTITUTE(E125, ".", " ")</f>
        <v>Ambiente Cultural</v>
      </c>
      <c r="W125" s="30" t="s">
        <v>78</v>
      </c>
      <c r="X125" s="45" t="str">
        <f t="shared" ref="X125" si="51">CONCATENATE("Key-AMB-",A125)</f>
        <v>Key-AMB-125</v>
      </c>
      <c r="Y125" s="30" t="s">
        <v>442</v>
      </c>
      <c r="Z125" s="61" t="s">
        <v>10</v>
      </c>
      <c r="AA125" s="41" t="s">
        <v>179</v>
      </c>
      <c r="AB125" s="61" t="s">
        <v>10</v>
      </c>
      <c r="AC125" s="56" t="s">
        <v>923</v>
      </c>
      <c r="AD125" s="61" t="s">
        <v>10</v>
      </c>
    </row>
    <row r="126" spans="1:30" s="34" customFormat="1" ht="6.75" customHeight="1" x14ac:dyDescent="0.25">
      <c r="A126" s="49">
        <v>126</v>
      </c>
      <c r="B126" s="27" t="s">
        <v>408</v>
      </c>
      <c r="C126" s="27" t="s">
        <v>413</v>
      </c>
      <c r="D126" s="27" t="s">
        <v>224</v>
      </c>
      <c r="E126" s="27" t="s">
        <v>935</v>
      </c>
      <c r="F126" s="28" t="s">
        <v>913</v>
      </c>
      <c r="G126" s="44" t="s">
        <v>10</v>
      </c>
      <c r="H126" s="44" t="s">
        <v>10</v>
      </c>
      <c r="I126" s="44" t="s">
        <v>10</v>
      </c>
      <c r="J126" s="44" t="s">
        <v>10</v>
      </c>
      <c r="K126" s="44" t="s">
        <v>10</v>
      </c>
      <c r="L126" s="29" t="str">
        <f t="shared" si="34"/>
        <v>De.Espacialidade</v>
      </c>
      <c r="M126" s="29" t="str">
        <f t="shared" si="34"/>
        <v>Elementos.Espaciais</v>
      </c>
      <c r="N126" s="29" t="str">
        <f t="shared" si="22"/>
        <v>Ambiente Cultural</v>
      </c>
      <c r="O126" s="29" t="str">
        <f t="shared" si="22"/>
        <v>Amb Plateia</v>
      </c>
      <c r="P126" s="30" t="s">
        <v>122</v>
      </c>
      <c r="Q126" s="30" t="s">
        <v>750</v>
      </c>
      <c r="R126" s="30" t="s">
        <v>573</v>
      </c>
      <c r="S126" s="63" t="s">
        <v>10</v>
      </c>
      <c r="T126" s="30" t="str">
        <f t="shared" si="35"/>
        <v>De Espacialidade</v>
      </c>
      <c r="U126" s="30" t="str">
        <f t="shared" si="35"/>
        <v>Elementos Espaciais</v>
      </c>
      <c r="V126" s="30" t="str">
        <f t="shared" si="35"/>
        <v>Ambiente Cultural</v>
      </c>
      <c r="W126" s="30" t="s">
        <v>78</v>
      </c>
      <c r="X126" s="45" t="str">
        <f t="shared" si="33"/>
        <v>Key-AMB-126</v>
      </c>
      <c r="Y126" s="30" t="s">
        <v>442</v>
      </c>
      <c r="Z126" s="61" t="s">
        <v>10</v>
      </c>
      <c r="AA126" s="41" t="s">
        <v>179</v>
      </c>
      <c r="AB126" s="61" t="s">
        <v>10</v>
      </c>
      <c r="AC126" s="56" t="s">
        <v>923</v>
      </c>
      <c r="AD126" s="61" t="s">
        <v>10</v>
      </c>
    </row>
    <row r="127" spans="1:30" s="34" customFormat="1" ht="6.75" customHeight="1" x14ac:dyDescent="0.25">
      <c r="A127" s="49">
        <v>127</v>
      </c>
      <c r="B127" s="27" t="s">
        <v>408</v>
      </c>
      <c r="C127" s="27" t="s">
        <v>413</v>
      </c>
      <c r="D127" s="27" t="s">
        <v>224</v>
      </c>
      <c r="E127" s="27" t="s">
        <v>935</v>
      </c>
      <c r="F127" s="28" t="s">
        <v>914</v>
      </c>
      <c r="G127" s="44" t="s">
        <v>10</v>
      </c>
      <c r="H127" s="44" t="s">
        <v>10</v>
      </c>
      <c r="I127" s="44" t="s">
        <v>10</v>
      </c>
      <c r="J127" s="44" t="s">
        <v>10</v>
      </c>
      <c r="K127" s="44" t="s">
        <v>10</v>
      </c>
      <c r="L127" s="29" t="str">
        <f t="shared" si="34"/>
        <v>De.Espacialidade</v>
      </c>
      <c r="M127" s="29" t="str">
        <f t="shared" si="34"/>
        <v>Elementos.Espaciais</v>
      </c>
      <c r="N127" s="29" t="str">
        <f t="shared" si="22"/>
        <v>Ambiente Cultural</v>
      </c>
      <c r="O127" s="29" t="str">
        <f t="shared" si="22"/>
        <v>Amb Balção</v>
      </c>
      <c r="P127" s="30" t="s">
        <v>123</v>
      </c>
      <c r="Q127" s="30" t="s">
        <v>751</v>
      </c>
      <c r="R127" s="30" t="s">
        <v>574</v>
      </c>
      <c r="S127" s="63" t="s">
        <v>10</v>
      </c>
      <c r="T127" s="30" t="str">
        <f t="shared" si="35"/>
        <v>De Espacialidade</v>
      </c>
      <c r="U127" s="30" t="str">
        <f t="shared" si="35"/>
        <v>Elementos Espaciais</v>
      </c>
      <c r="V127" s="30" t="str">
        <f t="shared" si="35"/>
        <v>Ambiente Cultural</v>
      </c>
      <c r="W127" s="30" t="s">
        <v>78</v>
      </c>
      <c r="X127" s="45" t="str">
        <f t="shared" si="33"/>
        <v>Key-AMB-127</v>
      </c>
      <c r="Y127" s="30" t="s">
        <v>442</v>
      </c>
      <c r="Z127" s="61" t="s">
        <v>10</v>
      </c>
      <c r="AA127" s="41" t="s">
        <v>179</v>
      </c>
      <c r="AB127" s="61" t="s">
        <v>10</v>
      </c>
      <c r="AC127" s="56" t="s">
        <v>923</v>
      </c>
      <c r="AD127" s="61" t="s">
        <v>10</v>
      </c>
    </row>
    <row r="128" spans="1:30" s="34" customFormat="1" ht="6.75" customHeight="1" x14ac:dyDescent="0.25">
      <c r="A128" s="49">
        <v>128</v>
      </c>
      <c r="B128" s="27" t="s">
        <v>408</v>
      </c>
      <c r="C128" s="27" t="s">
        <v>413</v>
      </c>
      <c r="D128" s="27" t="s">
        <v>224</v>
      </c>
      <c r="E128" s="27" t="s">
        <v>935</v>
      </c>
      <c r="F128" s="28" t="s">
        <v>915</v>
      </c>
      <c r="G128" s="44" t="s">
        <v>10</v>
      </c>
      <c r="H128" s="44" t="s">
        <v>10</v>
      </c>
      <c r="I128" s="44" t="s">
        <v>10</v>
      </c>
      <c r="J128" s="44" t="s">
        <v>10</v>
      </c>
      <c r="K128" s="44" t="s">
        <v>10</v>
      </c>
      <c r="L128" s="29" t="str">
        <f t="shared" si="34"/>
        <v>De.Espacialidade</v>
      </c>
      <c r="M128" s="29" t="str">
        <f t="shared" si="34"/>
        <v>Elementos.Espaciais</v>
      </c>
      <c r="N128" s="29" t="str">
        <f t="shared" si="22"/>
        <v>Ambiente Cultural</v>
      </c>
      <c r="O128" s="29" t="str">
        <f t="shared" si="22"/>
        <v>Amb Camarote</v>
      </c>
      <c r="P128" s="30" t="s">
        <v>124</v>
      </c>
      <c r="Q128" s="30" t="s">
        <v>752</v>
      </c>
      <c r="R128" s="30" t="s">
        <v>575</v>
      </c>
      <c r="S128" s="63" t="s">
        <v>10</v>
      </c>
      <c r="T128" s="30" t="str">
        <f t="shared" si="35"/>
        <v>De Espacialidade</v>
      </c>
      <c r="U128" s="30" t="str">
        <f t="shared" si="35"/>
        <v>Elementos Espaciais</v>
      </c>
      <c r="V128" s="30" t="str">
        <f t="shared" si="35"/>
        <v>Ambiente Cultural</v>
      </c>
      <c r="W128" s="30" t="s">
        <v>78</v>
      </c>
      <c r="X128" s="45" t="str">
        <f t="shared" si="33"/>
        <v>Key-AMB-128</v>
      </c>
      <c r="Y128" s="30" t="s">
        <v>442</v>
      </c>
      <c r="Z128" s="61" t="s">
        <v>10</v>
      </c>
      <c r="AA128" s="41" t="s">
        <v>179</v>
      </c>
      <c r="AB128" s="61" t="s">
        <v>10</v>
      </c>
      <c r="AC128" s="56" t="s">
        <v>923</v>
      </c>
      <c r="AD128" s="61" t="s">
        <v>10</v>
      </c>
    </row>
    <row r="129" spans="1:30" s="34" customFormat="1" ht="6.75" customHeight="1" x14ac:dyDescent="0.25">
      <c r="A129" s="49">
        <v>129</v>
      </c>
      <c r="B129" s="27" t="s">
        <v>408</v>
      </c>
      <c r="C129" s="27" t="s">
        <v>413</v>
      </c>
      <c r="D129" s="27" t="s">
        <v>224</v>
      </c>
      <c r="E129" s="27" t="s">
        <v>935</v>
      </c>
      <c r="F129" s="28" t="s">
        <v>916</v>
      </c>
      <c r="G129" s="44" t="s">
        <v>10</v>
      </c>
      <c r="H129" s="44" t="s">
        <v>10</v>
      </c>
      <c r="I129" s="44" t="s">
        <v>10</v>
      </c>
      <c r="J129" s="44" t="s">
        <v>10</v>
      </c>
      <c r="K129" s="44" t="s">
        <v>10</v>
      </c>
      <c r="L129" s="29" t="str">
        <f t="shared" si="34"/>
        <v>De.Espacialidade</v>
      </c>
      <c r="M129" s="29" t="str">
        <f t="shared" si="34"/>
        <v>Elementos.Espaciais</v>
      </c>
      <c r="N129" s="29" t="str">
        <f t="shared" si="22"/>
        <v>Ambiente Cultural</v>
      </c>
      <c r="O129" s="29" t="str">
        <f t="shared" si="22"/>
        <v>Amb Galeria</v>
      </c>
      <c r="P129" s="30" t="s">
        <v>229</v>
      </c>
      <c r="Q129" s="30" t="s">
        <v>753</v>
      </c>
      <c r="R129" s="30" t="s">
        <v>576</v>
      </c>
      <c r="S129" s="63" t="s">
        <v>10</v>
      </c>
      <c r="T129" s="30" t="str">
        <f t="shared" si="35"/>
        <v>De Espacialidade</v>
      </c>
      <c r="U129" s="30" t="str">
        <f t="shared" si="35"/>
        <v>Elementos Espaciais</v>
      </c>
      <c r="V129" s="30" t="str">
        <f t="shared" si="35"/>
        <v>Ambiente Cultural</v>
      </c>
      <c r="W129" s="30" t="s">
        <v>78</v>
      </c>
      <c r="X129" s="45" t="str">
        <f t="shared" si="33"/>
        <v>Key-AMB-129</v>
      </c>
      <c r="Y129" s="30" t="s">
        <v>442</v>
      </c>
      <c r="Z129" s="61" t="s">
        <v>10</v>
      </c>
      <c r="AA129" s="41" t="s">
        <v>179</v>
      </c>
      <c r="AB129" s="61" t="s">
        <v>10</v>
      </c>
      <c r="AC129" s="56" t="s">
        <v>923</v>
      </c>
      <c r="AD129" s="61" t="s">
        <v>10</v>
      </c>
    </row>
    <row r="130" spans="1:30" s="34" customFormat="1" ht="6.75" customHeight="1" x14ac:dyDescent="0.25">
      <c r="A130" s="49">
        <v>130</v>
      </c>
      <c r="B130" s="27" t="s">
        <v>408</v>
      </c>
      <c r="C130" s="27" t="s">
        <v>413</v>
      </c>
      <c r="D130" s="27" t="s">
        <v>224</v>
      </c>
      <c r="E130" s="27" t="s">
        <v>936</v>
      </c>
      <c r="F130" s="28" t="s">
        <v>917</v>
      </c>
      <c r="G130" s="44" t="s">
        <v>10</v>
      </c>
      <c r="H130" s="44" t="s">
        <v>10</v>
      </c>
      <c r="I130" s="44" t="s">
        <v>10</v>
      </c>
      <c r="J130" s="44" t="s">
        <v>10</v>
      </c>
      <c r="K130" s="44" t="s">
        <v>10</v>
      </c>
      <c r="L130" s="29" t="str">
        <f t="shared" si="34"/>
        <v>De.Espacialidade</v>
      </c>
      <c r="M130" s="29" t="str">
        <f t="shared" si="34"/>
        <v>Elementos.Espaciais</v>
      </c>
      <c r="N130" s="29" t="str">
        <f t="shared" si="22"/>
        <v>Ambiente Industrial</v>
      </c>
      <c r="O130" s="29" t="str">
        <f t="shared" si="22"/>
        <v>Amb Nave Industrial</v>
      </c>
      <c r="P130" s="41" t="s">
        <v>308</v>
      </c>
      <c r="Q130" s="30" t="s">
        <v>754</v>
      </c>
      <c r="R130" s="30" t="s">
        <v>577</v>
      </c>
      <c r="S130" s="63" t="s">
        <v>10</v>
      </c>
      <c r="T130" s="30" t="str">
        <f t="shared" si="35"/>
        <v>De Espacialidade</v>
      </c>
      <c r="U130" s="30" t="str">
        <f t="shared" si="35"/>
        <v>Elementos Espaciais</v>
      </c>
      <c r="V130" s="30" t="str">
        <f t="shared" si="35"/>
        <v>Ambiente Industrial</v>
      </c>
      <c r="W130" s="30" t="s">
        <v>78</v>
      </c>
      <c r="X130" s="45" t="str">
        <f t="shared" si="33"/>
        <v>Key-AMB-130</v>
      </c>
      <c r="Y130" s="30" t="s">
        <v>442</v>
      </c>
      <c r="Z130" s="61" t="s">
        <v>10</v>
      </c>
      <c r="AA130" s="41" t="s">
        <v>179</v>
      </c>
      <c r="AB130" s="61" t="s">
        <v>10</v>
      </c>
      <c r="AC130" s="56" t="s">
        <v>923</v>
      </c>
      <c r="AD130" s="61" t="s">
        <v>10</v>
      </c>
    </row>
    <row r="131" spans="1:30" s="34" customFormat="1" ht="6.75" customHeight="1" x14ac:dyDescent="0.25">
      <c r="A131" s="49">
        <v>131</v>
      </c>
      <c r="B131" s="27" t="s">
        <v>408</v>
      </c>
      <c r="C131" s="27" t="s">
        <v>413</v>
      </c>
      <c r="D131" s="27" t="s">
        <v>224</v>
      </c>
      <c r="E131" s="27" t="s">
        <v>936</v>
      </c>
      <c r="F131" s="28" t="s">
        <v>918</v>
      </c>
      <c r="G131" s="44" t="s">
        <v>10</v>
      </c>
      <c r="H131" s="44" t="s">
        <v>10</v>
      </c>
      <c r="I131" s="44" t="s">
        <v>10</v>
      </c>
      <c r="J131" s="44" t="s">
        <v>10</v>
      </c>
      <c r="K131" s="44" t="s">
        <v>10</v>
      </c>
      <c r="L131" s="29" t="str">
        <f t="shared" si="34"/>
        <v>De.Espacialidade</v>
      </c>
      <c r="M131" s="29" t="str">
        <f t="shared" si="34"/>
        <v>Elementos.Espaciais</v>
      </c>
      <c r="N131" s="29" t="str">
        <f t="shared" si="22"/>
        <v>Ambiente Industrial</v>
      </c>
      <c r="O131" s="29" t="str">
        <f t="shared" si="22"/>
        <v>Amb Galpão Industrial</v>
      </c>
      <c r="P131" s="41" t="s">
        <v>303</v>
      </c>
      <c r="Q131" s="30" t="s">
        <v>755</v>
      </c>
      <c r="R131" s="30" t="s">
        <v>578</v>
      </c>
      <c r="S131" s="63" t="s">
        <v>10</v>
      </c>
      <c r="T131" s="30" t="str">
        <f t="shared" si="35"/>
        <v>De Espacialidade</v>
      </c>
      <c r="U131" s="30" t="str">
        <f t="shared" si="35"/>
        <v>Elementos Espaciais</v>
      </c>
      <c r="V131" s="30" t="str">
        <f t="shared" si="35"/>
        <v>Ambiente Industrial</v>
      </c>
      <c r="W131" s="30" t="s">
        <v>78</v>
      </c>
      <c r="X131" s="45" t="str">
        <f t="shared" si="33"/>
        <v>Key-AMB-131</v>
      </c>
      <c r="Y131" s="30" t="s">
        <v>442</v>
      </c>
      <c r="Z131" s="61" t="s">
        <v>10</v>
      </c>
      <c r="AA131" s="41" t="s">
        <v>179</v>
      </c>
      <c r="AB131" s="61" t="s">
        <v>10</v>
      </c>
      <c r="AC131" s="56" t="s">
        <v>923</v>
      </c>
      <c r="AD131" s="61" t="s">
        <v>10</v>
      </c>
    </row>
    <row r="132" spans="1:30" s="34" customFormat="1" ht="6.75" customHeight="1" x14ac:dyDescent="0.25">
      <c r="A132" s="49">
        <v>132</v>
      </c>
      <c r="B132" s="27" t="s">
        <v>408</v>
      </c>
      <c r="C132" s="27" t="s">
        <v>413</v>
      </c>
      <c r="D132" s="27" t="s">
        <v>224</v>
      </c>
      <c r="E132" s="27" t="s">
        <v>936</v>
      </c>
      <c r="F132" s="28" t="s">
        <v>919</v>
      </c>
      <c r="G132" s="44" t="s">
        <v>10</v>
      </c>
      <c r="H132" s="44" t="s">
        <v>10</v>
      </c>
      <c r="I132" s="44" t="s">
        <v>10</v>
      </c>
      <c r="J132" s="44" t="s">
        <v>10</v>
      </c>
      <c r="K132" s="44" t="s">
        <v>10</v>
      </c>
      <c r="L132" s="29" t="str">
        <f t="shared" si="34"/>
        <v>De.Espacialidade</v>
      </c>
      <c r="M132" s="29" t="str">
        <f t="shared" si="34"/>
        <v>Elementos.Espaciais</v>
      </c>
      <c r="N132" s="29" t="str">
        <f t="shared" si="22"/>
        <v>Ambiente Industrial</v>
      </c>
      <c r="O132" s="29" t="str">
        <f t="shared" si="22"/>
        <v>Amb Siderúrgico</v>
      </c>
      <c r="P132" s="41" t="s">
        <v>301</v>
      </c>
      <c r="Q132" s="30" t="s">
        <v>756</v>
      </c>
      <c r="R132" s="30" t="s">
        <v>579</v>
      </c>
      <c r="S132" s="63" t="s">
        <v>10</v>
      </c>
      <c r="T132" s="30" t="str">
        <f t="shared" si="35"/>
        <v>De Espacialidade</v>
      </c>
      <c r="U132" s="30" t="str">
        <f t="shared" si="35"/>
        <v>Elementos Espaciais</v>
      </c>
      <c r="V132" s="30" t="str">
        <f t="shared" si="35"/>
        <v>Ambiente Industrial</v>
      </c>
      <c r="W132" s="30" t="s">
        <v>78</v>
      </c>
      <c r="X132" s="45" t="str">
        <f t="shared" si="33"/>
        <v>Key-AMB-132</v>
      </c>
      <c r="Y132" s="30" t="s">
        <v>442</v>
      </c>
      <c r="Z132" s="61" t="s">
        <v>10</v>
      </c>
      <c r="AA132" s="41" t="s">
        <v>179</v>
      </c>
      <c r="AB132" s="61" t="s">
        <v>10</v>
      </c>
      <c r="AC132" s="56" t="s">
        <v>923</v>
      </c>
      <c r="AD132" s="61" t="s">
        <v>10</v>
      </c>
    </row>
    <row r="133" spans="1:30" s="34" customFormat="1" ht="6.75" customHeight="1" x14ac:dyDescent="0.25">
      <c r="A133" s="49">
        <v>133</v>
      </c>
      <c r="B133" s="27" t="s">
        <v>408</v>
      </c>
      <c r="C133" s="27" t="s">
        <v>413</v>
      </c>
      <c r="D133" s="27" t="s">
        <v>224</v>
      </c>
      <c r="E133" s="27" t="s">
        <v>936</v>
      </c>
      <c r="F133" s="28" t="s">
        <v>920</v>
      </c>
      <c r="G133" s="44" t="s">
        <v>10</v>
      </c>
      <c r="H133" s="44" t="s">
        <v>10</v>
      </c>
      <c r="I133" s="44" t="s">
        <v>10</v>
      </c>
      <c r="J133" s="44" t="s">
        <v>10</v>
      </c>
      <c r="K133" s="44" t="s">
        <v>10</v>
      </c>
      <c r="L133" s="29" t="str">
        <f t="shared" si="34"/>
        <v>De.Espacialidade</v>
      </c>
      <c r="M133" s="29" t="str">
        <f t="shared" si="34"/>
        <v>Elementos.Espaciais</v>
      </c>
      <c r="N133" s="29" t="str">
        <f t="shared" si="22"/>
        <v>Ambiente Industrial</v>
      </c>
      <c r="O133" s="29" t="str">
        <f t="shared" si="22"/>
        <v>Amb Manufatura</v>
      </c>
      <c r="P133" s="41" t="s">
        <v>302</v>
      </c>
      <c r="Q133" s="30" t="s">
        <v>757</v>
      </c>
      <c r="R133" s="30" t="s">
        <v>580</v>
      </c>
      <c r="S133" s="63" t="s">
        <v>10</v>
      </c>
      <c r="T133" s="30" t="str">
        <f t="shared" si="35"/>
        <v>De Espacialidade</v>
      </c>
      <c r="U133" s="30" t="str">
        <f t="shared" si="35"/>
        <v>Elementos Espaciais</v>
      </c>
      <c r="V133" s="30" t="str">
        <f t="shared" si="35"/>
        <v>Ambiente Industrial</v>
      </c>
      <c r="W133" s="30" t="s">
        <v>78</v>
      </c>
      <c r="X133" s="45" t="str">
        <f t="shared" si="33"/>
        <v>Key-AMB-133</v>
      </c>
      <c r="Y133" s="30" t="s">
        <v>442</v>
      </c>
      <c r="Z133" s="61" t="s">
        <v>10</v>
      </c>
      <c r="AA133" s="41" t="s">
        <v>179</v>
      </c>
      <c r="AB133" s="61" t="s">
        <v>10</v>
      </c>
      <c r="AC133" s="56" t="s">
        <v>923</v>
      </c>
      <c r="AD133" s="61" t="s">
        <v>10</v>
      </c>
    </row>
    <row r="134" spans="1:30" s="34" customFormat="1" ht="6.75" customHeight="1" x14ac:dyDescent="0.25">
      <c r="A134" s="49">
        <v>134</v>
      </c>
      <c r="B134" s="27" t="s">
        <v>408</v>
      </c>
      <c r="C134" s="27" t="s">
        <v>413</v>
      </c>
      <c r="D134" s="27" t="s">
        <v>224</v>
      </c>
      <c r="E134" s="27" t="s">
        <v>936</v>
      </c>
      <c r="F134" s="28" t="s">
        <v>921</v>
      </c>
      <c r="G134" s="44" t="s">
        <v>10</v>
      </c>
      <c r="H134" s="44" t="s">
        <v>10</v>
      </c>
      <c r="I134" s="44" t="s">
        <v>10</v>
      </c>
      <c r="J134" s="44" t="s">
        <v>10</v>
      </c>
      <c r="K134" s="44" t="s">
        <v>10</v>
      </c>
      <c r="L134" s="29" t="str">
        <f t="shared" si="34"/>
        <v>De.Espacialidade</v>
      </c>
      <c r="M134" s="29" t="str">
        <f t="shared" si="34"/>
        <v>Elementos.Espaciais</v>
      </c>
      <c r="N134" s="29" t="str">
        <f t="shared" si="22"/>
        <v>Ambiente Industrial</v>
      </c>
      <c r="O134" s="29" t="str">
        <f t="shared" si="22"/>
        <v>Amb Oficina</v>
      </c>
      <c r="P134" s="41" t="s">
        <v>306</v>
      </c>
      <c r="Q134" s="30" t="s">
        <v>758</v>
      </c>
      <c r="R134" s="30" t="s">
        <v>581</v>
      </c>
      <c r="S134" s="63" t="s">
        <v>10</v>
      </c>
      <c r="T134" s="30" t="str">
        <f t="shared" si="35"/>
        <v>De Espacialidade</v>
      </c>
      <c r="U134" s="30" t="str">
        <f t="shared" si="35"/>
        <v>Elementos Espaciais</v>
      </c>
      <c r="V134" s="30" t="str">
        <f t="shared" si="35"/>
        <v>Ambiente Industrial</v>
      </c>
      <c r="W134" s="30" t="s">
        <v>78</v>
      </c>
      <c r="X134" s="45" t="str">
        <f t="shared" si="33"/>
        <v>Key-AMB-134</v>
      </c>
      <c r="Y134" s="30" t="s">
        <v>442</v>
      </c>
      <c r="Z134" s="61" t="s">
        <v>10</v>
      </c>
      <c r="AA134" s="41" t="s">
        <v>179</v>
      </c>
      <c r="AB134" s="61" t="s">
        <v>10</v>
      </c>
      <c r="AC134" s="56" t="s">
        <v>923</v>
      </c>
      <c r="AD134" s="61" t="s">
        <v>10</v>
      </c>
    </row>
    <row r="135" spans="1:30" s="34" customFormat="1" ht="6.75" customHeight="1" x14ac:dyDescent="0.25">
      <c r="A135" s="49">
        <v>135</v>
      </c>
      <c r="B135" s="27" t="s">
        <v>408</v>
      </c>
      <c r="C135" s="27" t="s">
        <v>413</v>
      </c>
      <c r="D135" s="27" t="s">
        <v>224</v>
      </c>
      <c r="E135" s="27" t="s">
        <v>936</v>
      </c>
      <c r="F135" s="28" t="s">
        <v>922</v>
      </c>
      <c r="G135" s="44" t="s">
        <v>10</v>
      </c>
      <c r="H135" s="44" t="s">
        <v>10</v>
      </c>
      <c r="I135" s="44" t="s">
        <v>10</v>
      </c>
      <c r="J135" s="44" t="s">
        <v>10</v>
      </c>
      <c r="K135" s="44" t="s">
        <v>10</v>
      </c>
      <c r="L135" s="29" t="str">
        <f t="shared" si="34"/>
        <v>De.Espacialidade</v>
      </c>
      <c r="M135" s="29" t="str">
        <f t="shared" si="34"/>
        <v>Elementos.Espaciais</v>
      </c>
      <c r="N135" s="29" t="str">
        <f t="shared" si="22"/>
        <v>Ambiente Industrial</v>
      </c>
      <c r="O135" s="29" t="str">
        <f t="shared" si="22"/>
        <v>Amb Oficina de Pintura</v>
      </c>
      <c r="P135" s="41" t="s">
        <v>307</v>
      </c>
      <c r="Q135" s="30" t="s">
        <v>759</v>
      </c>
      <c r="R135" s="30" t="s">
        <v>582</v>
      </c>
      <c r="S135" s="63" t="s">
        <v>10</v>
      </c>
      <c r="T135" s="30" t="str">
        <f t="shared" si="35"/>
        <v>De Espacialidade</v>
      </c>
      <c r="U135" s="30" t="str">
        <f t="shared" si="35"/>
        <v>Elementos Espaciais</v>
      </c>
      <c r="V135" s="30" t="str">
        <f t="shared" si="35"/>
        <v>Ambiente Industrial</v>
      </c>
      <c r="W135" s="30" t="s">
        <v>78</v>
      </c>
      <c r="X135" s="45" t="str">
        <f t="shared" si="33"/>
        <v>Key-AMB-135</v>
      </c>
      <c r="Y135" s="30" t="s">
        <v>442</v>
      </c>
      <c r="Z135" s="61" t="s">
        <v>10</v>
      </c>
      <c r="AA135" s="41" t="s">
        <v>179</v>
      </c>
      <c r="AB135" s="61" t="s">
        <v>10</v>
      </c>
      <c r="AC135" s="56" t="s">
        <v>923</v>
      </c>
      <c r="AD135" s="61" t="s">
        <v>10</v>
      </c>
    </row>
    <row r="136" spans="1:30" s="34" customFormat="1" ht="6.75" customHeight="1" x14ac:dyDescent="0.25">
      <c r="A136" s="49">
        <v>136</v>
      </c>
      <c r="B136" s="27" t="s">
        <v>408</v>
      </c>
      <c r="C136" s="27" t="s">
        <v>413</v>
      </c>
      <c r="D136" s="27" t="s">
        <v>289</v>
      </c>
      <c r="E136" s="27" t="s">
        <v>937</v>
      </c>
      <c r="F136" s="28" t="s">
        <v>366</v>
      </c>
      <c r="G136" s="44" t="s">
        <v>10</v>
      </c>
      <c r="H136" s="44" t="s">
        <v>10</v>
      </c>
      <c r="I136" s="44" t="s">
        <v>10</v>
      </c>
      <c r="J136" s="44" t="s">
        <v>10</v>
      </c>
      <c r="K136" s="44" t="s">
        <v>10</v>
      </c>
      <c r="L136" s="29" t="str">
        <f t="shared" ref="L136:M149" si="52">CONCATENATE("", C136)</f>
        <v>De.Espacialidade</v>
      </c>
      <c r="M136" s="29" t="str">
        <f t="shared" si="52"/>
        <v>Elementos.Englobantes</v>
      </c>
      <c r="N136" s="29" t="str">
        <f t="shared" si="15"/>
        <v>Unidade Autônoma</v>
      </c>
      <c r="O136" s="29" t="str">
        <f t="shared" si="15"/>
        <v>HIS</v>
      </c>
      <c r="P136" s="30" t="s">
        <v>367</v>
      </c>
      <c r="Q136" s="30" t="s">
        <v>760</v>
      </c>
      <c r="R136" s="30" t="s">
        <v>583</v>
      </c>
      <c r="S136" s="63" t="s">
        <v>10</v>
      </c>
      <c r="T136" s="30" t="str">
        <f t="shared" ref="T136:V140" si="53">SUBSTITUTE(C136, ".", " ")</f>
        <v>De Espacialidade</v>
      </c>
      <c r="U136" s="30" t="str">
        <f t="shared" si="53"/>
        <v>Elementos Englobantes</v>
      </c>
      <c r="V136" s="30" t="str">
        <f t="shared" si="53"/>
        <v>Unidade Autônoma</v>
      </c>
      <c r="W136" s="30" t="s">
        <v>78</v>
      </c>
      <c r="X136" s="45" t="str">
        <f t="shared" ref="X136:X188" si="54">CONCATENATE("Key-AMB-",A136)</f>
        <v>Key-AMB-136</v>
      </c>
      <c r="Y136" s="30" t="s">
        <v>443</v>
      </c>
      <c r="Z136" s="61" t="s">
        <v>10</v>
      </c>
      <c r="AA136" s="41" t="s">
        <v>180</v>
      </c>
      <c r="AB136" s="61" t="s">
        <v>10</v>
      </c>
      <c r="AC136" s="56" t="s">
        <v>439</v>
      </c>
      <c r="AD136" s="61" t="s">
        <v>10</v>
      </c>
    </row>
    <row r="137" spans="1:30" s="34" customFormat="1" ht="6.75" customHeight="1" x14ac:dyDescent="0.25">
      <c r="A137" s="49">
        <v>137</v>
      </c>
      <c r="B137" s="27" t="s">
        <v>408</v>
      </c>
      <c r="C137" s="27" t="s">
        <v>413</v>
      </c>
      <c r="D137" s="27" t="s">
        <v>289</v>
      </c>
      <c r="E137" s="27" t="s">
        <v>937</v>
      </c>
      <c r="F137" s="28" t="s">
        <v>125</v>
      </c>
      <c r="G137" s="44" t="s">
        <v>10</v>
      </c>
      <c r="H137" s="44" t="s">
        <v>10</v>
      </c>
      <c r="I137" s="44" t="s">
        <v>10</v>
      </c>
      <c r="J137" s="44" t="s">
        <v>10</v>
      </c>
      <c r="K137" s="44" t="s">
        <v>10</v>
      </c>
      <c r="L137" s="29" t="str">
        <f t="shared" si="52"/>
        <v>De.Espacialidade</v>
      </c>
      <c r="M137" s="29" t="str">
        <f t="shared" si="52"/>
        <v>Elementos.Englobantes</v>
      </c>
      <c r="N137" s="29" t="str">
        <f t="shared" si="15"/>
        <v>Unidade Autônoma</v>
      </c>
      <c r="O137" s="29" t="str">
        <f t="shared" si="15"/>
        <v>Apartamento</v>
      </c>
      <c r="P137" s="30" t="s">
        <v>233</v>
      </c>
      <c r="Q137" s="30" t="s">
        <v>761</v>
      </c>
      <c r="R137" s="30" t="s">
        <v>584</v>
      </c>
      <c r="S137" s="63" t="s">
        <v>10</v>
      </c>
      <c r="T137" s="30" t="str">
        <f t="shared" si="53"/>
        <v>De Espacialidade</v>
      </c>
      <c r="U137" s="30" t="str">
        <f t="shared" si="53"/>
        <v>Elementos Englobantes</v>
      </c>
      <c r="V137" s="30" t="str">
        <f t="shared" si="53"/>
        <v>Unidade Autônoma</v>
      </c>
      <c r="W137" s="30" t="s">
        <v>78</v>
      </c>
      <c r="X137" s="45" t="str">
        <f t="shared" si="54"/>
        <v>Key-AMB-137</v>
      </c>
      <c r="Y137" s="30" t="s">
        <v>443</v>
      </c>
      <c r="Z137" s="61" t="s">
        <v>10</v>
      </c>
      <c r="AA137" s="41" t="s">
        <v>180</v>
      </c>
      <c r="AB137" s="61" t="s">
        <v>10</v>
      </c>
      <c r="AC137" s="56" t="s">
        <v>439</v>
      </c>
      <c r="AD137" s="61" t="s">
        <v>10</v>
      </c>
    </row>
    <row r="138" spans="1:30" s="34" customFormat="1" ht="6.75" customHeight="1" x14ac:dyDescent="0.25">
      <c r="A138" s="49">
        <v>138</v>
      </c>
      <c r="B138" s="27" t="s">
        <v>408</v>
      </c>
      <c r="C138" s="27" t="s">
        <v>413</v>
      </c>
      <c r="D138" s="27" t="s">
        <v>289</v>
      </c>
      <c r="E138" s="27" t="s">
        <v>937</v>
      </c>
      <c r="F138" s="28" t="s">
        <v>247</v>
      </c>
      <c r="G138" s="44" t="s">
        <v>10</v>
      </c>
      <c r="H138" s="44" t="s">
        <v>10</v>
      </c>
      <c r="I138" s="44" t="s">
        <v>10</v>
      </c>
      <c r="J138" s="44" t="s">
        <v>10</v>
      </c>
      <c r="K138" s="44" t="s">
        <v>10</v>
      </c>
      <c r="L138" s="29" t="str">
        <f t="shared" si="52"/>
        <v>De.Espacialidade</v>
      </c>
      <c r="M138" s="29" t="str">
        <f t="shared" si="52"/>
        <v>Elementos.Englobantes</v>
      </c>
      <c r="N138" s="29" t="str">
        <f t="shared" si="15"/>
        <v>Unidade Autônoma</v>
      </c>
      <c r="O138" s="29" t="str">
        <f t="shared" si="15"/>
        <v>Departamento</v>
      </c>
      <c r="P138" s="30" t="s">
        <v>251</v>
      </c>
      <c r="Q138" s="30" t="s">
        <v>762</v>
      </c>
      <c r="R138" s="30" t="s">
        <v>585</v>
      </c>
      <c r="S138" s="63" t="s">
        <v>10</v>
      </c>
      <c r="T138" s="30" t="str">
        <f t="shared" si="53"/>
        <v>De Espacialidade</v>
      </c>
      <c r="U138" s="30" t="str">
        <f t="shared" si="53"/>
        <v>Elementos Englobantes</v>
      </c>
      <c r="V138" s="30" t="str">
        <f t="shared" si="53"/>
        <v>Unidade Autônoma</v>
      </c>
      <c r="W138" s="30" t="s">
        <v>78</v>
      </c>
      <c r="X138" s="45" t="str">
        <f t="shared" si="54"/>
        <v>Key-AMB-138</v>
      </c>
      <c r="Y138" s="30" t="s">
        <v>443</v>
      </c>
      <c r="Z138" s="61" t="s">
        <v>10</v>
      </c>
      <c r="AA138" s="41" t="s">
        <v>180</v>
      </c>
      <c r="AB138" s="61" t="s">
        <v>10</v>
      </c>
      <c r="AC138" s="56" t="s">
        <v>439</v>
      </c>
      <c r="AD138" s="61" t="s">
        <v>10</v>
      </c>
    </row>
    <row r="139" spans="1:30" s="34" customFormat="1" ht="6.75" customHeight="1" x14ac:dyDescent="0.25">
      <c r="A139" s="49">
        <v>139</v>
      </c>
      <c r="B139" s="27" t="s">
        <v>408</v>
      </c>
      <c r="C139" s="27" t="s">
        <v>413</v>
      </c>
      <c r="D139" s="27" t="s">
        <v>289</v>
      </c>
      <c r="E139" s="27" t="s">
        <v>937</v>
      </c>
      <c r="F139" s="28" t="s">
        <v>248</v>
      </c>
      <c r="G139" s="44" t="s">
        <v>10</v>
      </c>
      <c r="H139" s="44" t="s">
        <v>10</v>
      </c>
      <c r="I139" s="44" t="s">
        <v>10</v>
      </c>
      <c r="J139" s="44" t="s">
        <v>10</v>
      </c>
      <c r="K139" s="44" t="s">
        <v>10</v>
      </c>
      <c r="L139" s="29" t="str">
        <f t="shared" si="52"/>
        <v>De.Espacialidade</v>
      </c>
      <c r="M139" s="29" t="str">
        <f t="shared" si="52"/>
        <v>Elementos.Englobantes</v>
      </c>
      <c r="N139" s="29" t="str">
        <f t="shared" si="15"/>
        <v>Unidade Autônoma</v>
      </c>
      <c r="O139" s="29" t="str">
        <f t="shared" si="15"/>
        <v>Divisão</v>
      </c>
      <c r="P139" s="30" t="s">
        <v>250</v>
      </c>
      <c r="Q139" s="30" t="s">
        <v>763</v>
      </c>
      <c r="R139" s="30" t="s">
        <v>586</v>
      </c>
      <c r="S139" s="63" t="s">
        <v>10</v>
      </c>
      <c r="T139" s="30" t="str">
        <f t="shared" si="53"/>
        <v>De Espacialidade</v>
      </c>
      <c r="U139" s="30" t="str">
        <f t="shared" si="53"/>
        <v>Elementos Englobantes</v>
      </c>
      <c r="V139" s="30" t="str">
        <f t="shared" si="53"/>
        <v>Unidade Autônoma</v>
      </c>
      <c r="W139" s="30" t="s">
        <v>78</v>
      </c>
      <c r="X139" s="45" t="str">
        <f t="shared" si="54"/>
        <v>Key-AMB-139</v>
      </c>
      <c r="Y139" s="30" t="s">
        <v>443</v>
      </c>
      <c r="Z139" s="61" t="s">
        <v>10</v>
      </c>
      <c r="AA139" s="41" t="s">
        <v>180</v>
      </c>
      <c r="AB139" s="61" t="s">
        <v>10</v>
      </c>
      <c r="AC139" s="56" t="s">
        <v>439</v>
      </c>
      <c r="AD139" s="61" t="s">
        <v>10</v>
      </c>
    </row>
    <row r="140" spans="1:30" s="34" customFormat="1" ht="6.75" customHeight="1" x14ac:dyDescent="0.25">
      <c r="A140" s="49">
        <v>140</v>
      </c>
      <c r="B140" s="27" t="s">
        <v>408</v>
      </c>
      <c r="C140" s="27" t="s">
        <v>413</v>
      </c>
      <c r="D140" s="27" t="s">
        <v>289</v>
      </c>
      <c r="E140" s="27" t="s">
        <v>937</v>
      </c>
      <c r="F140" s="28" t="s">
        <v>246</v>
      </c>
      <c r="G140" s="44" t="s">
        <v>10</v>
      </c>
      <c r="H140" s="44" t="s">
        <v>10</v>
      </c>
      <c r="I140" s="44" t="s">
        <v>10</v>
      </c>
      <c r="J140" s="44" t="s">
        <v>10</v>
      </c>
      <c r="K140" s="44" t="s">
        <v>10</v>
      </c>
      <c r="L140" s="29" t="str">
        <f t="shared" si="52"/>
        <v>De.Espacialidade</v>
      </c>
      <c r="M140" s="29" t="str">
        <f t="shared" si="52"/>
        <v>Elementos.Englobantes</v>
      </c>
      <c r="N140" s="29" t="str">
        <f t="shared" si="15"/>
        <v>Unidade Autônoma</v>
      </c>
      <c r="O140" s="29" t="str">
        <f t="shared" si="15"/>
        <v>Setor</v>
      </c>
      <c r="P140" s="30" t="s">
        <v>249</v>
      </c>
      <c r="Q140" s="30" t="s">
        <v>764</v>
      </c>
      <c r="R140" s="30" t="s">
        <v>587</v>
      </c>
      <c r="S140" s="63" t="s">
        <v>10</v>
      </c>
      <c r="T140" s="30" t="str">
        <f t="shared" si="53"/>
        <v>De Espacialidade</v>
      </c>
      <c r="U140" s="30" t="str">
        <f t="shared" si="53"/>
        <v>Elementos Englobantes</v>
      </c>
      <c r="V140" s="30" t="str">
        <f t="shared" si="53"/>
        <v>Unidade Autônoma</v>
      </c>
      <c r="W140" s="30" t="s">
        <v>78</v>
      </c>
      <c r="X140" s="45" t="str">
        <f t="shared" si="54"/>
        <v>Key-AMB-140</v>
      </c>
      <c r="Y140" s="30" t="s">
        <v>443</v>
      </c>
      <c r="Z140" s="61" t="s">
        <v>10</v>
      </c>
      <c r="AA140" s="41" t="s">
        <v>180</v>
      </c>
      <c r="AB140" s="61" t="s">
        <v>10</v>
      </c>
      <c r="AC140" s="56" t="s">
        <v>439</v>
      </c>
      <c r="AD140" s="61" t="s">
        <v>10</v>
      </c>
    </row>
    <row r="141" spans="1:30" s="34" customFormat="1" ht="6.75" customHeight="1" x14ac:dyDescent="0.25">
      <c r="A141" s="49">
        <v>141</v>
      </c>
      <c r="B141" s="27" t="s">
        <v>408</v>
      </c>
      <c r="C141" s="27" t="s">
        <v>413</v>
      </c>
      <c r="D141" s="27" t="s">
        <v>158</v>
      </c>
      <c r="E141" s="27" t="s">
        <v>938</v>
      </c>
      <c r="F141" s="28" t="s">
        <v>252</v>
      </c>
      <c r="G141" s="44" t="s">
        <v>10</v>
      </c>
      <c r="H141" s="44" t="s">
        <v>10</v>
      </c>
      <c r="I141" s="44" t="s">
        <v>10</v>
      </c>
      <c r="J141" s="44" t="s">
        <v>10</v>
      </c>
      <c r="K141" s="44" t="s">
        <v>10</v>
      </c>
      <c r="L141" s="29" t="str">
        <f t="shared" si="52"/>
        <v>De.Espacialidade</v>
      </c>
      <c r="M141" s="29" t="str">
        <f t="shared" si="52"/>
        <v>Elementos.Prediais</v>
      </c>
      <c r="N141" s="29" t="str">
        <f t="shared" si="15"/>
        <v>Bloco Edilício</v>
      </c>
      <c r="O141" s="29" t="str">
        <f t="shared" si="15"/>
        <v>Prédio Indiferenciado</v>
      </c>
      <c r="P141" s="30" t="s">
        <v>234</v>
      </c>
      <c r="Q141" s="30" t="s">
        <v>765</v>
      </c>
      <c r="R141" s="30" t="s">
        <v>588</v>
      </c>
      <c r="S141" s="63" t="s">
        <v>10</v>
      </c>
      <c r="T141" s="30" t="str">
        <f t="shared" ref="T141:V156" si="55">SUBSTITUTE(C141, ".", " ")</f>
        <v>De Espacialidade</v>
      </c>
      <c r="U141" s="30" t="str">
        <f t="shared" si="55"/>
        <v>Elementos Prediais</v>
      </c>
      <c r="V141" s="30" t="str">
        <f t="shared" si="55"/>
        <v>Bloco Edilício</v>
      </c>
      <c r="W141" s="30" t="s">
        <v>78</v>
      </c>
      <c r="X141" s="45" t="str">
        <f t="shared" si="54"/>
        <v>Key-AMB-141</v>
      </c>
      <c r="Y141" s="30" t="s">
        <v>442</v>
      </c>
      <c r="Z141" s="61" t="s">
        <v>10</v>
      </c>
      <c r="AA141" s="41" t="s">
        <v>180</v>
      </c>
      <c r="AB141" s="61" t="s">
        <v>10</v>
      </c>
      <c r="AC141" s="56" t="s">
        <v>200</v>
      </c>
      <c r="AD141" s="61" t="s">
        <v>10</v>
      </c>
    </row>
    <row r="142" spans="1:30" s="34" customFormat="1" ht="6.75" customHeight="1" x14ac:dyDescent="0.25">
      <c r="A142" s="49">
        <v>142</v>
      </c>
      <c r="B142" s="27" t="s">
        <v>408</v>
      </c>
      <c r="C142" s="27" t="s">
        <v>413</v>
      </c>
      <c r="D142" s="27" t="s">
        <v>158</v>
      </c>
      <c r="E142" s="27" t="s">
        <v>938</v>
      </c>
      <c r="F142" s="28" t="s">
        <v>258</v>
      </c>
      <c r="G142" s="44" t="s">
        <v>10</v>
      </c>
      <c r="H142" s="44" t="s">
        <v>10</v>
      </c>
      <c r="I142" s="44" t="s">
        <v>10</v>
      </c>
      <c r="J142" s="44" t="s">
        <v>10</v>
      </c>
      <c r="K142" s="44" t="s">
        <v>10</v>
      </c>
      <c r="L142" s="29" t="str">
        <f t="shared" si="52"/>
        <v>De.Espacialidade</v>
      </c>
      <c r="M142" s="29" t="str">
        <f t="shared" si="52"/>
        <v>Elementos.Prediais</v>
      </c>
      <c r="N142" s="29" t="str">
        <f t="shared" si="15"/>
        <v>Bloco Edilício</v>
      </c>
      <c r="O142" s="29" t="str">
        <f t="shared" si="15"/>
        <v>Prédio Casa</v>
      </c>
      <c r="P142" s="30" t="s">
        <v>259</v>
      </c>
      <c r="Q142" s="30" t="s">
        <v>766</v>
      </c>
      <c r="R142" s="30" t="s">
        <v>589</v>
      </c>
      <c r="S142" s="63" t="s">
        <v>10</v>
      </c>
      <c r="T142" s="30" t="str">
        <f t="shared" si="55"/>
        <v>De Espacialidade</v>
      </c>
      <c r="U142" s="30" t="str">
        <f t="shared" si="55"/>
        <v>Elementos Prediais</v>
      </c>
      <c r="V142" s="30" t="str">
        <f t="shared" si="55"/>
        <v>Bloco Edilício</v>
      </c>
      <c r="W142" s="30" t="s">
        <v>78</v>
      </c>
      <c r="X142" s="45" t="str">
        <f t="shared" si="54"/>
        <v>Key-AMB-142</v>
      </c>
      <c r="Y142" s="30" t="s">
        <v>442</v>
      </c>
      <c r="Z142" s="61" t="s">
        <v>10</v>
      </c>
      <c r="AA142" s="41" t="s">
        <v>180</v>
      </c>
      <c r="AB142" s="61" t="s">
        <v>10</v>
      </c>
      <c r="AC142" s="56" t="s">
        <v>200</v>
      </c>
      <c r="AD142" s="61" t="s">
        <v>10</v>
      </c>
    </row>
    <row r="143" spans="1:30" s="34" customFormat="1" ht="6.75" customHeight="1" x14ac:dyDescent="0.25">
      <c r="A143" s="49">
        <v>143</v>
      </c>
      <c r="B143" s="27" t="s">
        <v>408</v>
      </c>
      <c r="C143" s="27" t="s">
        <v>413</v>
      </c>
      <c r="D143" s="27" t="s">
        <v>158</v>
      </c>
      <c r="E143" s="27" t="s">
        <v>938</v>
      </c>
      <c r="F143" s="28" t="s">
        <v>253</v>
      </c>
      <c r="G143" s="44" t="s">
        <v>10</v>
      </c>
      <c r="H143" s="44" t="s">
        <v>10</v>
      </c>
      <c r="I143" s="44" t="s">
        <v>10</v>
      </c>
      <c r="J143" s="44" t="s">
        <v>10</v>
      </c>
      <c r="K143" s="44" t="s">
        <v>10</v>
      </c>
      <c r="L143" s="29" t="str">
        <f t="shared" si="52"/>
        <v>De.Espacialidade</v>
      </c>
      <c r="M143" s="29" t="str">
        <f t="shared" si="52"/>
        <v>Elementos.Prediais</v>
      </c>
      <c r="N143" s="29" t="str">
        <f t="shared" si="15"/>
        <v>Bloco Edilício</v>
      </c>
      <c r="O143" s="29" t="str">
        <f t="shared" si="15"/>
        <v>Prédio Residencial</v>
      </c>
      <c r="P143" s="30" t="s">
        <v>236</v>
      </c>
      <c r="Q143" s="30" t="s">
        <v>767</v>
      </c>
      <c r="R143" s="30" t="s">
        <v>590</v>
      </c>
      <c r="S143" s="63" t="s">
        <v>10</v>
      </c>
      <c r="T143" s="30" t="str">
        <f t="shared" si="55"/>
        <v>De Espacialidade</v>
      </c>
      <c r="U143" s="30" t="str">
        <f t="shared" si="55"/>
        <v>Elementos Prediais</v>
      </c>
      <c r="V143" s="30" t="str">
        <f t="shared" si="55"/>
        <v>Bloco Edilício</v>
      </c>
      <c r="W143" s="30" t="s">
        <v>78</v>
      </c>
      <c r="X143" s="45" t="str">
        <f t="shared" si="54"/>
        <v>Key-AMB-143</v>
      </c>
      <c r="Y143" s="30" t="s">
        <v>442</v>
      </c>
      <c r="Z143" s="61" t="s">
        <v>10</v>
      </c>
      <c r="AA143" s="41" t="s">
        <v>180</v>
      </c>
      <c r="AB143" s="61" t="s">
        <v>10</v>
      </c>
      <c r="AC143" s="56" t="s">
        <v>199</v>
      </c>
      <c r="AD143" s="61" t="s">
        <v>10</v>
      </c>
    </row>
    <row r="144" spans="1:30" s="34" customFormat="1" ht="6.75" customHeight="1" x14ac:dyDescent="0.25">
      <c r="A144" s="49">
        <v>144</v>
      </c>
      <c r="B144" s="27" t="s">
        <v>408</v>
      </c>
      <c r="C144" s="27" t="s">
        <v>413</v>
      </c>
      <c r="D144" s="27" t="s">
        <v>158</v>
      </c>
      <c r="E144" s="27" t="s">
        <v>938</v>
      </c>
      <c r="F144" s="28" t="s">
        <v>254</v>
      </c>
      <c r="G144" s="44" t="s">
        <v>10</v>
      </c>
      <c r="H144" s="44" t="s">
        <v>10</v>
      </c>
      <c r="I144" s="44" t="s">
        <v>10</v>
      </c>
      <c r="J144" s="44" t="s">
        <v>10</v>
      </c>
      <c r="K144" s="44" t="s">
        <v>10</v>
      </c>
      <c r="L144" s="29" t="str">
        <f t="shared" si="52"/>
        <v>De.Espacialidade</v>
      </c>
      <c r="M144" s="29" t="str">
        <f t="shared" si="52"/>
        <v>Elementos.Prediais</v>
      </c>
      <c r="N144" s="29" t="str">
        <f t="shared" si="15"/>
        <v>Bloco Edilício</v>
      </c>
      <c r="O144" s="29" t="str">
        <f t="shared" si="15"/>
        <v>Prédio Educativo</v>
      </c>
      <c r="P144" s="30" t="s">
        <v>235</v>
      </c>
      <c r="Q144" s="30" t="s">
        <v>768</v>
      </c>
      <c r="R144" s="30" t="s">
        <v>591</v>
      </c>
      <c r="S144" s="63" t="s">
        <v>10</v>
      </c>
      <c r="T144" s="30" t="str">
        <f t="shared" si="55"/>
        <v>De Espacialidade</v>
      </c>
      <c r="U144" s="30" t="str">
        <f t="shared" si="55"/>
        <v>Elementos Prediais</v>
      </c>
      <c r="V144" s="30" t="str">
        <f t="shared" si="55"/>
        <v>Bloco Edilício</v>
      </c>
      <c r="W144" s="30" t="s">
        <v>78</v>
      </c>
      <c r="X144" s="45" t="str">
        <f t="shared" si="54"/>
        <v>Key-AMB-144</v>
      </c>
      <c r="Y144" s="30" t="s">
        <v>442</v>
      </c>
      <c r="Z144" s="61" t="s">
        <v>10</v>
      </c>
      <c r="AA144" s="41" t="s">
        <v>180</v>
      </c>
      <c r="AB144" s="61" t="s">
        <v>10</v>
      </c>
      <c r="AC144" s="56" t="s">
        <v>197</v>
      </c>
      <c r="AD144" s="61" t="s">
        <v>10</v>
      </c>
    </row>
    <row r="145" spans="1:30" s="34" customFormat="1" ht="6.75" customHeight="1" x14ac:dyDescent="0.25">
      <c r="A145" s="49">
        <v>145</v>
      </c>
      <c r="B145" s="27" t="s">
        <v>408</v>
      </c>
      <c r="C145" s="27" t="s">
        <v>413</v>
      </c>
      <c r="D145" s="27" t="s">
        <v>158</v>
      </c>
      <c r="E145" s="27" t="s">
        <v>938</v>
      </c>
      <c r="F145" s="28" t="s">
        <v>255</v>
      </c>
      <c r="G145" s="44" t="s">
        <v>10</v>
      </c>
      <c r="H145" s="44" t="s">
        <v>10</v>
      </c>
      <c r="I145" s="44" t="s">
        <v>10</v>
      </c>
      <c r="J145" s="44" t="s">
        <v>10</v>
      </c>
      <c r="K145" s="44" t="s">
        <v>10</v>
      </c>
      <c r="L145" s="29" t="str">
        <f t="shared" si="52"/>
        <v>De.Espacialidade</v>
      </c>
      <c r="M145" s="29" t="str">
        <f t="shared" si="52"/>
        <v>Elementos.Prediais</v>
      </c>
      <c r="N145" s="29" t="str">
        <f t="shared" si="15"/>
        <v>Bloco Edilício</v>
      </c>
      <c r="O145" s="29" t="str">
        <f t="shared" si="15"/>
        <v>Prédio Hospital SUS</v>
      </c>
      <c r="P145" s="30" t="s">
        <v>237</v>
      </c>
      <c r="Q145" s="30" t="s">
        <v>769</v>
      </c>
      <c r="R145" s="30" t="s">
        <v>592</v>
      </c>
      <c r="S145" s="63" t="s">
        <v>10</v>
      </c>
      <c r="T145" s="30" t="str">
        <f t="shared" si="55"/>
        <v>De Espacialidade</v>
      </c>
      <c r="U145" s="30" t="str">
        <f t="shared" si="55"/>
        <v>Elementos Prediais</v>
      </c>
      <c r="V145" s="30" t="str">
        <f t="shared" si="55"/>
        <v>Bloco Edilício</v>
      </c>
      <c r="W145" s="30" t="s">
        <v>78</v>
      </c>
      <c r="X145" s="45" t="str">
        <f t="shared" si="54"/>
        <v>Key-AMB-145</v>
      </c>
      <c r="Y145" s="30" t="s">
        <v>442</v>
      </c>
      <c r="Z145" s="61" t="s">
        <v>10</v>
      </c>
      <c r="AA145" s="41" t="s">
        <v>180</v>
      </c>
      <c r="AB145" s="61" t="s">
        <v>10</v>
      </c>
      <c r="AC145" s="56" t="s">
        <v>198</v>
      </c>
      <c r="AD145" s="61" t="s">
        <v>10</v>
      </c>
    </row>
    <row r="146" spans="1:30" s="34" customFormat="1" ht="6.75" customHeight="1" x14ac:dyDescent="0.25">
      <c r="A146" s="49">
        <v>146</v>
      </c>
      <c r="B146" s="27" t="s">
        <v>408</v>
      </c>
      <c r="C146" s="27" t="s">
        <v>413</v>
      </c>
      <c r="D146" s="27" t="s">
        <v>158</v>
      </c>
      <c r="E146" s="27" t="s">
        <v>938</v>
      </c>
      <c r="F146" s="28" t="s">
        <v>256</v>
      </c>
      <c r="G146" s="44" t="s">
        <v>10</v>
      </c>
      <c r="H146" s="44" t="s">
        <v>10</v>
      </c>
      <c r="I146" s="44" t="s">
        <v>10</v>
      </c>
      <c r="J146" s="44" t="s">
        <v>10</v>
      </c>
      <c r="K146" s="44" t="s">
        <v>10</v>
      </c>
      <c r="L146" s="29" t="str">
        <f t="shared" si="52"/>
        <v>De.Espacialidade</v>
      </c>
      <c r="M146" s="29" t="str">
        <f t="shared" si="52"/>
        <v>Elementos.Prediais</v>
      </c>
      <c r="N146" s="29" t="str">
        <f t="shared" si="15"/>
        <v>Bloco Edilício</v>
      </c>
      <c r="O146" s="29" t="str">
        <f t="shared" si="15"/>
        <v>Prédio Hospital Privado</v>
      </c>
      <c r="P146" s="30" t="s">
        <v>238</v>
      </c>
      <c r="Q146" s="30" t="s">
        <v>770</v>
      </c>
      <c r="R146" s="30" t="s">
        <v>593</v>
      </c>
      <c r="S146" s="63" t="s">
        <v>10</v>
      </c>
      <c r="T146" s="30" t="str">
        <f t="shared" si="55"/>
        <v>De Espacialidade</v>
      </c>
      <c r="U146" s="30" t="str">
        <f t="shared" si="55"/>
        <v>Elementos Prediais</v>
      </c>
      <c r="V146" s="30" t="str">
        <f t="shared" si="55"/>
        <v>Bloco Edilício</v>
      </c>
      <c r="W146" s="30" t="s">
        <v>78</v>
      </c>
      <c r="X146" s="45" t="str">
        <f t="shared" si="54"/>
        <v>Key-AMB-146</v>
      </c>
      <c r="Y146" s="30" t="s">
        <v>442</v>
      </c>
      <c r="Z146" s="61" t="s">
        <v>10</v>
      </c>
      <c r="AA146" s="41" t="s">
        <v>180</v>
      </c>
      <c r="AB146" s="61" t="s">
        <v>10</v>
      </c>
      <c r="AC146" s="56" t="s">
        <v>198</v>
      </c>
      <c r="AD146" s="61" t="s">
        <v>10</v>
      </c>
    </row>
    <row r="147" spans="1:30" s="34" customFormat="1" ht="6.75" customHeight="1" x14ac:dyDescent="0.25">
      <c r="A147" s="49">
        <v>147</v>
      </c>
      <c r="B147" s="27" t="s">
        <v>408</v>
      </c>
      <c r="C147" s="27" t="s">
        <v>413</v>
      </c>
      <c r="D147" s="27" t="s">
        <v>158</v>
      </c>
      <c r="E147" s="27" t="s">
        <v>938</v>
      </c>
      <c r="F147" s="28" t="s">
        <v>257</v>
      </c>
      <c r="G147" s="44" t="s">
        <v>10</v>
      </c>
      <c r="H147" s="44" t="s">
        <v>10</v>
      </c>
      <c r="I147" s="44" t="s">
        <v>10</v>
      </c>
      <c r="J147" s="44" t="s">
        <v>10</v>
      </c>
      <c r="K147" s="44" t="s">
        <v>10</v>
      </c>
      <c r="L147" s="29" t="str">
        <f t="shared" si="52"/>
        <v>De.Espacialidade</v>
      </c>
      <c r="M147" s="29" t="str">
        <f t="shared" si="52"/>
        <v>Elementos.Prediais</v>
      </c>
      <c r="N147" s="29" t="str">
        <f t="shared" si="15"/>
        <v>Bloco Edilício</v>
      </c>
      <c r="O147" s="29" t="str">
        <f t="shared" si="15"/>
        <v>Prédio Hospital Conveniado</v>
      </c>
      <c r="P147" s="30" t="s">
        <v>239</v>
      </c>
      <c r="Q147" s="30" t="s">
        <v>771</v>
      </c>
      <c r="R147" s="30" t="s">
        <v>594</v>
      </c>
      <c r="S147" s="63" t="s">
        <v>10</v>
      </c>
      <c r="T147" s="30" t="str">
        <f t="shared" si="55"/>
        <v>De Espacialidade</v>
      </c>
      <c r="U147" s="30" t="str">
        <f t="shared" si="55"/>
        <v>Elementos Prediais</v>
      </c>
      <c r="V147" s="30" t="str">
        <f t="shared" si="55"/>
        <v>Bloco Edilício</v>
      </c>
      <c r="W147" s="30" t="s">
        <v>78</v>
      </c>
      <c r="X147" s="45" t="str">
        <f t="shared" si="54"/>
        <v>Key-AMB-147</v>
      </c>
      <c r="Y147" s="30" t="s">
        <v>442</v>
      </c>
      <c r="Z147" s="61" t="s">
        <v>10</v>
      </c>
      <c r="AA147" s="41" t="s">
        <v>180</v>
      </c>
      <c r="AB147" s="61" t="s">
        <v>10</v>
      </c>
      <c r="AC147" s="56" t="s">
        <v>198</v>
      </c>
      <c r="AD147" s="61" t="s">
        <v>10</v>
      </c>
    </row>
    <row r="148" spans="1:30" s="34" customFormat="1" ht="6.75" customHeight="1" x14ac:dyDescent="0.25">
      <c r="A148" s="49">
        <v>148</v>
      </c>
      <c r="B148" s="27" t="s">
        <v>408</v>
      </c>
      <c r="C148" s="27" t="s">
        <v>413</v>
      </c>
      <c r="D148" s="27" t="s">
        <v>392</v>
      </c>
      <c r="E148" s="27" t="s">
        <v>939</v>
      </c>
      <c r="F148" s="28" t="s">
        <v>195</v>
      </c>
      <c r="G148" s="44" t="s">
        <v>10</v>
      </c>
      <c r="H148" s="44" t="s">
        <v>10</v>
      </c>
      <c r="I148" s="44" t="s">
        <v>10</v>
      </c>
      <c r="J148" s="44" t="s">
        <v>10</v>
      </c>
      <c r="K148" s="44" t="s">
        <v>10</v>
      </c>
      <c r="L148" s="29" t="str">
        <f t="shared" si="52"/>
        <v>De.Espacialidade</v>
      </c>
      <c r="M148" s="29" t="str">
        <f t="shared" si="52"/>
        <v>Zonificação</v>
      </c>
      <c r="N148" s="29" t="str">
        <f t="shared" si="15"/>
        <v>Zona Predial</v>
      </c>
      <c r="O148" s="29" t="str">
        <f t="shared" si="15"/>
        <v>Zona Definida</v>
      </c>
      <c r="P148" s="30" t="s">
        <v>126</v>
      </c>
      <c r="Q148" s="30" t="s">
        <v>772</v>
      </c>
      <c r="R148" s="30" t="s">
        <v>595</v>
      </c>
      <c r="S148" s="63" t="s">
        <v>10</v>
      </c>
      <c r="T148" s="30" t="str">
        <f t="shared" si="55"/>
        <v>De Espacialidade</v>
      </c>
      <c r="U148" s="30" t="str">
        <f t="shared" si="55"/>
        <v>Zonificação</v>
      </c>
      <c r="V148" s="30" t="str">
        <f t="shared" si="55"/>
        <v>Zona Predial</v>
      </c>
      <c r="W148" s="30" t="s">
        <v>78</v>
      </c>
      <c r="X148" s="45" t="str">
        <f t="shared" si="54"/>
        <v>Key-AMB-148</v>
      </c>
      <c r="Y148" s="30" t="s">
        <v>444</v>
      </c>
      <c r="Z148" s="61" t="s">
        <v>10</v>
      </c>
      <c r="AA148" s="41" t="s">
        <v>181</v>
      </c>
      <c r="AB148" s="61" t="s">
        <v>10</v>
      </c>
      <c r="AC148" s="56" t="s">
        <v>438</v>
      </c>
      <c r="AD148" s="61" t="s">
        <v>10</v>
      </c>
    </row>
    <row r="149" spans="1:30" s="34" customFormat="1" ht="6.75" customHeight="1" x14ac:dyDescent="0.25">
      <c r="A149" s="49">
        <v>149</v>
      </c>
      <c r="B149" s="27" t="s">
        <v>408</v>
      </c>
      <c r="C149" s="27" t="s">
        <v>413</v>
      </c>
      <c r="D149" s="27" t="s">
        <v>392</v>
      </c>
      <c r="E149" s="27" t="s">
        <v>939</v>
      </c>
      <c r="F149" s="28" t="s">
        <v>127</v>
      </c>
      <c r="G149" s="44" t="s">
        <v>10</v>
      </c>
      <c r="H149" s="44" t="s">
        <v>10</v>
      </c>
      <c r="I149" s="44" t="s">
        <v>10</v>
      </c>
      <c r="J149" s="44" t="s">
        <v>10</v>
      </c>
      <c r="K149" s="44" t="s">
        <v>10</v>
      </c>
      <c r="L149" s="29" t="str">
        <f t="shared" si="52"/>
        <v>De.Espacialidade</v>
      </c>
      <c r="M149" s="29" t="str">
        <f t="shared" si="52"/>
        <v>Zonificação</v>
      </c>
      <c r="N149" s="29" t="str">
        <f t="shared" si="15"/>
        <v>Zona Predial</v>
      </c>
      <c r="O149" s="29" t="str">
        <f t="shared" si="15"/>
        <v>Zona de Construção</v>
      </c>
      <c r="P149" s="30" t="s">
        <v>128</v>
      </c>
      <c r="Q149" s="30" t="s">
        <v>773</v>
      </c>
      <c r="R149" s="30" t="s">
        <v>596</v>
      </c>
      <c r="S149" s="63" t="s">
        <v>10</v>
      </c>
      <c r="T149" s="30" t="str">
        <f t="shared" si="55"/>
        <v>De Espacialidade</v>
      </c>
      <c r="U149" s="30" t="str">
        <f t="shared" si="55"/>
        <v>Zonificação</v>
      </c>
      <c r="V149" s="30" t="str">
        <f t="shared" si="55"/>
        <v>Zona Predial</v>
      </c>
      <c r="W149" s="30" t="s">
        <v>78</v>
      </c>
      <c r="X149" s="45" t="str">
        <f t="shared" si="54"/>
        <v>Key-AMB-149</v>
      </c>
      <c r="Y149" s="30" t="s">
        <v>444</v>
      </c>
      <c r="Z149" s="61" t="s">
        <v>10</v>
      </c>
      <c r="AA149" s="41" t="s">
        <v>182</v>
      </c>
      <c r="AB149" s="61" t="s">
        <v>10</v>
      </c>
      <c r="AC149" s="56" t="s">
        <v>438</v>
      </c>
      <c r="AD149" s="61" t="s">
        <v>10</v>
      </c>
    </row>
    <row r="150" spans="1:30" s="34" customFormat="1" ht="6.75" customHeight="1" x14ac:dyDescent="0.25">
      <c r="A150" s="49">
        <v>150</v>
      </c>
      <c r="B150" s="27" t="s">
        <v>408</v>
      </c>
      <c r="C150" s="27" t="s">
        <v>413</v>
      </c>
      <c r="D150" s="27" t="s">
        <v>392</v>
      </c>
      <c r="E150" s="27" t="s">
        <v>939</v>
      </c>
      <c r="F150" s="28" t="s">
        <v>129</v>
      </c>
      <c r="G150" s="44" t="s">
        <v>10</v>
      </c>
      <c r="H150" s="44" t="s">
        <v>10</v>
      </c>
      <c r="I150" s="44" t="s">
        <v>10</v>
      </c>
      <c r="J150" s="44" t="s">
        <v>10</v>
      </c>
      <c r="K150" s="44" t="s">
        <v>10</v>
      </c>
      <c r="L150" s="29" t="str">
        <f t="shared" ref="L150:M180" si="56">CONCATENATE("", C150)</f>
        <v>De.Espacialidade</v>
      </c>
      <c r="M150" s="29" t="str">
        <f t="shared" si="56"/>
        <v>Zonificação</v>
      </c>
      <c r="N150" s="29" t="str">
        <f t="shared" si="15"/>
        <v>Zona Predial</v>
      </c>
      <c r="O150" s="29" t="str">
        <f t="shared" si="15"/>
        <v>Zona de Interferência</v>
      </c>
      <c r="P150" s="30" t="s">
        <v>130</v>
      </c>
      <c r="Q150" s="30" t="s">
        <v>774</v>
      </c>
      <c r="R150" s="30" t="s">
        <v>597</v>
      </c>
      <c r="S150" s="63" t="s">
        <v>10</v>
      </c>
      <c r="T150" s="30" t="str">
        <f t="shared" si="55"/>
        <v>De Espacialidade</v>
      </c>
      <c r="U150" s="30" t="str">
        <f t="shared" si="55"/>
        <v>Zonificação</v>
      </c>
      <c r="V150" s="30" t="str">
        <f t="shared" si="55"/>
        <v>Zona Predial</v>
      </c>
      <c r="W150" s="30" t="s">
        <v>78</v>
      </c>
      <c r="X150" s="45" t="str">
        <f t="shared" si="54"/>
        <v>Key-AMB-150</v>
      </c>
      <c r="Y150" s="30" t="s">
        <v>444</v>
      </c>
      <c r="Z150" s="61" t="s">
        <v>10</v>
      </c>
      <c r="AA150" s="41" t="s">
        <v>183</v>
      </c>
      <c r="AB150" s="61" t="s">
        <v>10</v>
      </c>
      <c r="AC150" s="56" t="s">
        <v>438</v>
      </c>
      <c r="AD150" s="61" t="s">
        <v>10</v>
      </c>
    </row>
    <row r="151" spans="1:30" s="34" customFormat="1" ht="6.75" customHeight="1" x14ac:dyDescent="0.25">
      <c r="A151" s="49">
        <v>151</v>
      </c>
      <c r="B151" s="27" t="s">
        <v>408</v>
      </c>
      <c r="C151" s="27" t="s">
        <v>413</v>
      </c>
      <c r="D151" s="27" t="s">
        <v>392</v>
      </c>
      <c r="E151" s="27" t="s">
        <v>939</v>
      </c>
      <c r="F151" s="28" t="s">
        <v>131</v>
      </c>
      <c r="G151" s="44" t="s">
        <v>10</v>
      </c>
      <c r="H151" s="44" t="s">
        <v>10</v>
      </c>
      <c r="I151" s="44" t="s">
        <v>10</v>
      </c>
      <c r="J151" s="44" t="s">
        <v>10</v>
      </c>
      <c r="K151" s="44" t="s">
        <v>10</v>
      </c>
      <c r="L151" s="29" t="str">
        <f t="shared" si="56"/>
        <v>De.Espacialidade</v>
      </c>
      <c r="M151" s="29" t="str">
        <f t="shared" si="56"/>
        <v>Zonificação</v>
      </c>
      <c r="N151" s="29" t="str">
        <f t="shared" si="15"/>
        <v>Zona Predial</v>
      </c>
      <c r="O151" s="29" t="str">
        <f t="shared" si="15"/>
        <v>Zona de Ocupação</v>
      </c>
      <c r="P151" s="30" t="s">
        <v>132</v>
      </c>
      <c r="Q151" s="30" t="s">
        <v>775</v>
      </c>
      <c r="R151" s="30" t="s">
        <v>598</v>
      </c>
      <c r="S151" s="63" t="s">
        <v>10</v>
      </c>
      <c r="T151" s="30" t="str">
        <f t="shared" si="55"/>
        <v>De Espacialidade</v>
      </c>
      <c r="U151" s="30" t="str">
        <f t="shared" si="55"/>
        <v>Zonificação</v>
      </c>
      <c r="V151" s="30" t="str">
        <f t="shared" si="55"/>
        <v>Zona Predial</v>
      </c>
      <c r="W151" s="30" t="s">
        <v>78</v>
      </c>
      <c r="X151" s="45" t="str">
        <f t="shared" si="54"/>
        <v>Key-AMB-151</v>
      </c>
      <c r="Y151" s="30" t="s">
        <v>444</v>
      </c>
      <c r="Z151" s="61" t="s">
        <v>10</v>
      </c>
      <c r="AA151" s="41" t="s">
        <v>184</v>
      </c>
      <c r="AB151" s="61" t="s">
        <v>10</v>
      </c>
      <c r="AC151" s="56" t="s">
        <v>438</v>
      </c>
      <c r="AD151" s="61" t="s">
        <v>10</v>
      </c>
    </row>
    <row r="152" spans="1:30" s="34" customFormat="1" ht="6.75" customHeight="1" x14ac:dyDescent="0.25">
      <c r="A152" s="49">
        <v>152</v>
      </c>
      <c r="B152" s="27" t="s">
        <v>408</v>
      </c>
      <c r="C152" s="27" t="s">
        <v>413</v>
      </c>
      <c r="D152" s="27" t="s">
        <v>392</v>
      </c>
      <c r="E152" s="27" t="s">
        <v>939</v>
      </c>
      <c r="F152" s="28" t="s">
        <v>133</v>
      </c>
      <c r="G152" s="44" t="s">
        <v>10</v>
      </c>
      <c r="H152" s="44" t="s">
        <v>10</v>
      </c>
      <c r="I152" s="44" t="s">
        <v>10</v>
      </c>
      <c r="J152" s="44" t="s">
        <v>10</v>
      </c>
      <c r="K152" s="44" t="s">
        <v>10</v>
      </c>
      <c r="L152" s="29" t="str">
        <f t="shared" si="56"/>
        <v>De.Espacialidade</v>
      </c>
      <c r="M152" s="29" t="str">
        <f t="shared" si="56"/>
        <v>Zonificação</v>
      </c>
      <c r="N152" s="29" t="str">
        <f t="shared" si="15"/>
        <v>Zona Predial</v>
      </c>
      <c r="O152" s="29" t="str">
        <f t="shared" si="15"/>
        <v>Zona de Reserva</v>
      </c>
      <c r="P152" s="30" t="s">
        <v>134</v>
      </c>
      <c r="Q152" s="30" t="s">
        <v>776</v>
      </c>
      <c r="R152" s="30" t="s">
        <v>599</v>
      </c>
      <c r="S152" s="63" t="s">
        <v>10</v>
      </c>
      <c r="T152" s="30" t="str">
        <f t="shared" si="55"/>
        <v>De Espacialidade</v>
      </c>
      <c r="U152" s="30" t="str">
        <f t="shared" si="55"/>
        <v>Zonificação</v>
      </c>
      <c r="V152" s="30" t="str">
        <f t="shared" si="55"/>
        <v>Zona Predial</v>
      </c>
      <c r="W152" s="30" t="s">
        <v>78</v>
      </c>
      <c r="X152" s="45" t="str">
        <f t="shared" si="54"/>
        <v>Key-AMB-152</v>
      </c>
      <c r="Y152" s="30" t="s">
        <v>444</v>
      </c>
      <c r="Z152" s="61" t="s">
        <v>10</v>
      </c>
      <c r="AA152" s="41" t="s">
        <v>185</v>
      </c>
      <c r="AB152" s="61" t="s">
        <v>10</v>
      </c>
      <c r="AC152" s="56" t="s">
        <v>438</v>
      </c>
      <c r="AD152" s="61" t="s">
        <v>10</v>
      </c>
    </row>
    <row r="153" spans="1:30" s="34" customFormat="1" ht="6.75" customHeight="1" x14ac:dyDescent="0.25">
      <c r="A153" s="49">
        <v>153</v>
      </c>
      <c r="B153" s="27" t="s">
        <v>408</v>
      </c>
      <c r="C153" s="27" t="s">
        <v>413</v>
      </c>
      <c r="D153" s="27" t="s">
        <v>392</v>
      </c>
      <c r="E153" s="27" t="s">
        <v>939</v>
      </c>
      <c r="F153" s="28" t="s">
        <v>135</v>
      </c>
      <c r="G153" s="44" t="s">
        <v>10</v>
      </c>
      <c r="H153" s="44" t="s">
        <v>10</v>
      </c>
      <c r="I153" s="44" t="s">
        <v>10</v>
      </c>
      <c r="J153" s="44" t="s">
        <v>10</v>
      </c>
      <c r="K153" s="44" t="s">
        <v>10</v>
      </c>
      <c r="L153" s="29" t="str">
        <f t="shared" si="56"/>
        <v>De.Espacialidade</v>
      </c>
      <c r="M153" s="29" t="str">
        <f t="shared" si="56"/>
        <v>Zonificação</v>
      </c>
      <c r="N153" s="29" t="str">
        <f t="shared" si="15"/>
        <v>Zona Predial</v>
      </c>
      <c r="O153" s="29" t="str">
        <f t="shared" si="15"/>
        <v>Zona de Transporte</v>
      </c>
      <c r="P153" s="30" t="s">
        <v>136</v>
      </c>
      <c r="Q153" s="30" t="s">
        <v>777</v>
      </c>
      <c r="R153" s="30" t="s">
        <v>600</v>
      </c>
      <c r="S153" s="63" t="s">
        <v>10</v>
      </c>
      <c r="T153" s="30" t="str">
        <f t="shared" si="55"/>
        <v>De Espacialidade</v>
      </c>
      <c r="U153" s="30" t="str">
        <f t="shared" si="55"/>
        <v>Zonificação</v>
      </c>
      <c r="V153" s="30" t="str">
        <f t="shared" si="55"/>
        <v>Zona Predial</v>
      </c>
      <c r="W153" s="30" t="s">
        <v>78</v>
      </c>
      <c r="X153" s="45" t="str">
        <f t="shared" si="54"/>
        <v>Key-AMB-153</v>
      </c>
      <c r="Y153" s="30" t="s">
        <v>444</v>
      </c>
      <c r="Z153" s="61" t="s">
        <v>10</v>
      </c>
      <c r="AA153" s="41" t="s">
        <v>186</v>
      </c>
      <c r="AB153" s="61" t="s">
        <v>10</v>
      </c>
      <c r="AC153" s="56" t="s">
        <v>438</v>
      </c>
      <c r="AD153" s="61" t="s">
        <v>10</v>
      </c>
    </row>
    <row r="154" spans="1:30" s="34" customFormat="1" ht="6.75" customHeight="1" x14ac:dyDescent="0.25">
      <c r="A154" s="49">
        <v>154</v>
      </c>
      <c r="B154" s="27" t="s">
        <v>408</v>
      </c>
      <c r="C154" s="27" t="s">
        <v>413</v>
      </c>
      <c r="D154" s="27" t="s">
        <v>392</v>
      </c>
      <c r="E154" s="27" t="s">
        <v>940</v>
      </c>
      <c r="F154" s="28" t="s">
        <v>137</v>
      </c>
      <c r="G154" s="44" t="s">
        <v>10</v>
      </c>
      <c r="H154" s="44" t="s">
        <v>10</v>
      </c>
      <c r="I154" s="44" t="s">
        <v>10</v>
      </c>
      <c r="J154" s="44" t="s">
        <v>10</v>
      </c>
      <c r="K154" s="44" t="s">
        <v>10</v>
      </c>
      <c r="L154" s="29" t="str">
        <f t="shared" si="56"/>
        <v>De.Espacialidade</v>
      </c>
      <c r="M154" s="29" t="str">
        <f t="shared" si="56"/>
        <v>Zonificação</v>
      </c>
      <c r="N154" s="29" t="str">
        <f t="shared" si="15"/>
        <v>Zona Sistema</v>
      </c>
      <c r="O154" s="29" t="str">
        <f t="shared" si="15"/>
        <v>Zona de Térmica</v>
      </c>
      <c r="P154" s="30" t="s">
        <v>138</v>
      </c>
      <c r="Q154" s="30" t="s">
        <v>778</v>
      </c>
      <c r="R154" s="30" t="s">
        <v>601</v>
      </c>
      <c r="S154" s="63" t="s">
        <v>10</v>
      </c>
      <c r="T154" s="30" t="str">
        <f t="shared" si="55"/>
        <v>De Espacialidade</v>
      </c>
      <c r="U154" s="30" t="str">
        <f t="shared" si="55"/>
        <v>Zonificação</v>
      </c>
      <c r="V154" s="30" t="str">
        <f t="shared" si="55"/>
        <v>Zona Sistema</v>
      </c>
      <c r="W154" s="30" t="s">
        <v>78</v>
      </c>
      <c r="X154" s="45" t="str">
        <f t="shared" si="54"/>
        <v>Key-AMB-154</v>
      </c>
      <c r="Y154" s="30" t="s">
        <v>444</v>
      </c>
      <c r="Z154" s="61" t="s">
        <v>10</v>
      </c>
      <c r="AA154" s="41" t="s">
        <v>187</v>
      </c>
      <c r="AB154" s="61" t="s">
        <v>10</v>
      </c>
      <c r="AC154" s="56" t="s">
        <v>438</v>
      </c>
      <c r="AD154" s="61" t="s">
        <v>10</v>
      </c>
    </row>
    <row r="155" spans="1:30" s="34" customFormat="1" ht="6.75" customHeight="1" x14ac:dyDescent="0.25">
      <c r="A155" s="49">
        <v>155</v>
      </c>
      <c r="B155" s="27" t="s">
        <v>408</v>
      </c>
      <c r="C155" s="27" t="s">
        <v>413</v>
      </c>
      <c r="D155" s="27" t="s">
        <v>392</v>
      </c>
      <c r="E155" s="27" t="s">
        <v>940</v>
      </c>
      <c r="F155" s="28" t="s">
        <v>139</v>
      </c>
      <c r="G155" s="44" t="s">
        <v>10</v>
      </c>
      <c r="H155" s="44" t="s">
        <v>10</v>
      </c>
      <c r="I155" s="44" t="s">
        <v>10</v>
      </c>
      <c r="J155" s="44" t="s">
        <v>10</v>
      </c>
      <c r="K155" s="44" t="s">
        <v>10</v>
      </c>
      <c r="L155" s="29" t="str">
        <f t="shared" si="56"/>
        <v>De.Espacialidade</v>
      </c>
      <c r="M155" s="29" t="str">
        <f t="shared" si="56"/>
        <v>Zonificação</v>
      </c>
      <c r="N155" s="29" t="str">
        <f t="shared" si="15"/>
        <v>Zona Sistema</v>
      </c>
      <c r="O155" s="29" t="str">
        <f t="shared" si="15"/>
        <v>Zona de Iluminação</v>
      </c>
      <c r="P155" s="30" t="s">
        <v>140</v>
      </c>
      <c r="Q155" s="30" t="s">
        <v>779</v>
      </c>
      <c r="R155" s="30" t="s">
        <v>602</v>
      </c>
      <c r="S155" s="63" t="s">
        <v>10</v>
      </c>
      <c r="T155" s="30" t="str">
        <f t="shared" si="55"/>
        <v>De Espacialidade</v>
      </c>
      <c r="U155" s="30" t="str">
        <f t="shared" si="55"/>
        <v>Zonificação</v>
      </c>
      <c r="V155" s="30" t="str">
        <f t="shared" si="55"/>
        <v>Zona Sistema</v>
      </c>
      <c r="W155" s="30" t="s">
        <v>78</v>
      </c>
      <c r="X155" s="45" t="str">
        <f t="shared" si="54"/>
        <v>Key-AMB-155</v>
      </c>
      <c r="Y155" s="30" t="s">
        <v>444</v>
      </c>
      <c r="Z155" s="61" t="s">
        <v>10</v>
      </c>
      <c r="AA155" s="41" t="s">
        <v>188</v>
      </c>
      <c r="AB155" s="61" t="s">
        <v>10</v>
      </c>
      <c r="AC155" s="56" t="s">
        <v>438</v>
      </c>
      <c r="AD155" s="61" t="s">
        <v>10</v>
      </c>
    </row>
    <row r="156" spans="1:30" s="34" customFormat="1" ht="6.75" customHeight="1" x14ac:dyDescent="0.25">
      <c r="A156" s="49">
        <v>156</v>
      </c>
      <c r="B156" s="27" t="s">
        <v>408</v>
      </c>
      <c r="C156" s="27" t="s">
        <v>413</v>
      </c>
      <c r="D156" s="27" t="s">
        <v>392</v>
      </c>
      <c r="E156" s="27" t="s">
        <v>940</v>
      </c>
      <c r="F156" s="28" t="s">
        <v>141</v>
      </c>
      <c r="G156" s="44" t="s">
        <v>10</v>
      </c>
      <c r="H156" s="44" t="s">
        <v>10</v>
      </c>
      <c r="I156" s="44" t="s">
        <v>10</v>
      </c>
      <c r="J156" s="44" t="s">
        <v>10</v>
      </c>
      <c r="K156" s="44" t="s">
        <v>10</v>
      </c>
      <c r="L156" s="29" t="str">
        <f t="shared" si="56"/>
        <v>De.Espacialidade</v>
      </c>
      <c r="M156" s="29" t="str">
        <f t="shared" si="56"/>
        <v>Zonificação</v>
      </c>
      <c r="N156" s="29" t="str">
        <f t="shared" si="15"/>
        <v>Zona Sistema</v>
      </c>
      <c r="O156" s="29" t="str">
        <f t="shared" si="15"/>
        <v>Zona de Ventilação</v>
      </c>
      <c r="P156" s="30" t="s">
        <v>142</v>
      </c>
      <c r="Q156" s="30" t="s">
        <v>780</v>
      </c>
      <c r="R156" s="30" t="s">
        <v>603</v>
      </c>
      <c r="S156" s="63" t="s">
        <v>10</v>
      </c>
      <c r="T156" s="30" t="str">
        <f t="shared" si="55"/>
        <v>De Espacialidade</v>
      </c>
      <c r="U156" s="30" t="str">
        <f t="shared" si="55"/>
        <v>Zonificação</v>
      </c>
      <c r="V156" s="30" t="str">
        <f t="shared" si="55"/>
        <v>Zona Sistema</v>
      </c>
      <c r="W156" s="30" t="s">
        <v>78</v>
      </c>
      <c r="X156" s="45" t="str">
        <f t="shared" si="54"/>
        <v>Key-AMB-156</v>
      </c>
      <c r="Y156" s="30" t="s">
        <v>444</v>
      </c>
      <c r="Z156" s="61" t="s">
        <v>10</v>
      </c>
      <c r="AA156" s="41" t="s">
        <v>189</v>
      </c>
      <c r="AB156" s="61" t="s">
        <v>10</v>
      </c>
      <c r="AC156" s="56" t="s">
        <v>438</v>
      </c>
      <c r="AD156" s="61" t="s">
        <v>10</v>
      </c>
    </row>
    <row r="157" spans="1:30" s="34" customFormat="1" ht="6.75" customHeight="1" x14ac:dyDescent="0.25">
      <c r="A157" s="49">
        <v>157</v>
      </c>
      <c r="B157" s="27" t="s">
        <v>408</v>
      </c>
      <c r="C157" s="27" t="s">
        <v>413</v>
      </c>
      <c r="D157" s="27" t="s">
        <v>392</v>
      </c>
      <c r="E157" s="27" t="s">
        <v>941</v>
      </c>
      <c r="F157" s="28" t="s">
        <v>145</v>
      </c>
      <c r="G157" s="44" t="s">
        <v>10</v>
      </c>
      <c r="H157" s="44" t="s">
        <v>10</v>
      </c>
      <c r="I157" s="44" t="s">
        <v>10</v>
      </c>
      <c r="J157" s="44" t="s">
        <v>10</v>
      </c>
      <c r="K157" s="44" t="s">
        <v>10</v>
      </c>
      <c r="L157" s="29" t="str">
        <f t="shared" si="56"/>
        <v>De.Espacialidade</v>
      </c>
      <c r="M157" s="29" t="str">
        <f t="shared" si="56"/>
        <v>Zonificação</v>
      </c>
      <c r="N157" s="29" t="str">
        <f t="shared" si="15"/>
        <v>Zona Segurança</v>
      </c>
      <c r="O157" s="29" t="str">
        <f t="shared" si="15"/>
        <v>Zona de Segurança</v>
      </c>
      <c r="P157" s="30" t="s">
        <v>146</v>
      </c>
      <c r="Q157" s="30" t="s">
        <v>781</v>
      </c>
      <c r="R157" s="30" t="s">
        <v>604</v>
      </c>
      <c r="S157" s="63" t="s">
        <v>10</v>
      </c>
      <c r="T157" s="30" t="str">
        <f t="shared" ref="T157:V174" si="57">SUBSTITUTE(C157, ".", " ")</f>
        <v>De Espacialidade</v>
      </c>
      <c r="U157" s="30" t="str">
        <f t="shared" si="57"/>
        <v>Zonificação</v>
      </c>
      <c r="V157" s="30" t="str">
        <f t="shared" si="57"/>
        <v>Zona Segurança</v>
      </c>
      <c r="W157" s="30" t="s">
        <v>78</v>
      </c>
      <c r="X157" s="45" t="str">
        <f t="shared" si="54"/>
        <v>Key-AMB-157</v>
      </c>
      <c r="Y157" s="30" t="s">
        <v>444</v>
      </c>
      <c r="Z157" s="61" t="s">
        <v>10</v>
      </c>
      <c r="AA157" s="41" t="s">
        <v>191</v>
      </c>
      <c r="AB157" s="61" t="s">
        <v>10</v>
      </c>
      <c r="AC157" s="56" t="s">
        <v>438</v>
      </c>
      <c r="AD157" s="61" t="s">
        <v>10</v>
      </c>
    </row>
    <row r="158" spans="1:30" s="34" customFormat="1" ht="6.75" customHeight="1" x14ac:dyDescent="0.25">
      <c r="A158" s="49">
        <v>158</v>
      </c>
      <c r="B158" s="27" t="s">
        <v>408</v>
      </c>
      <c r="C158" s="27" t="s">
        <v>413</v>
      </c>
      <c r="D158" s="27" t="s">
        <v>392</v>
      </c>
      <c r="E158" s="27" t="s">
        <v>941</v>
      </c>
      <c r="F158" s="28" t="s">
        <v>143</v>
      </c>
      <c r="G158" s="44" t="s">
        <v>10</v>
      </c>
      <c r="H158" s="44" t="s">
        <v>10</v>
      </c>
      <c r="I158" s="44" t="s">
        <v>10</v>
      </c>
      <c r="J158" s="44" t="s">
        <v>10</v>
      </c>
      <c r="K158" s="44" t="s">
        <v>10</v>
      </c>
      <c r="L158" s="29" t="str">
        <f t="shared" si="56"/>
        <v>De.Espacialidade</v>
      </c>
      <c r="M158" s="29" t="str">
        <f t="shared" si="56"/>
        <v>Zonificação</v>
      </c>
      <c r="N158" s="29" t="str">
        <f t="shared" si="15"/>
        <v>Zona Segurança</v>
      </c>
      <c r="O158" s="29" t="str">
        <f t="shared" si="15"/>
        <v>Zona de Segurança Incêndio</v>
      </c>
      <c r="P158" s="30" t="s">
        <v>144</v>
      </c>
      <c r="Q158" s="30" t="s">
        <v>782</v>
      </c>
      <c r="R158" s="30" t="s">
        <v>605</v>
      </c>
      <c r="S158" s="63" t="s">
        <v>10</v>
      </c>
      <c r="T158" s="30" t="str">
        <f t="shared" si="57"/>
        <v>De Espacialidade</v>
      </c>
      <c r="U158" s="30" t="str">
        <f t="shared" si="57"/>
        <v>Zonificação</v>
      </c>
      <c r="V158" s="30" t="str">
        <f t="shared" si="57"/>
        <v>Zona Segurança</v>
      </c>
      <c r="W158" s="30" t="s">
        <v>78</v>
      </c>
      <c r="X158" s="45" t="str">
        <f t="shared" si="54"/>
        <v>Key-AMB-158</v>
      </c>
      <c r="Y158" s="30" t="s">
        <v>444</v>
      </c>
      <c r="Z158" s="61" t="s">
        <v>10</v>
      </c>
      <c r="AA158" s="41" t="s">
        <v>190</v>
      </c>
      <c r="AB158" s="61" t="s">
        <v>10</v>
      </c>
      <c r="AC158" s="56" t="s">
        <v>438</v>
      </c>
      <c r="AD158" s="61" t="s">
        <v>10</v>
      </c>
    </row>
    <row r="159" spans="1:30" s="34" customFormat="1" ht="6.75" customHeight="1" x14ac:dyDescent="0.25">
      <c r="A159" s="49">
        <v>159</v>
      </c>
      <c r="B159" s="27" t="s">
        <v>408</v>
      </c>
      <c r="C159" s="27" t="s">
        <v>413</v>
      </c>
      <c r="D159" s="27" t="s">
        <v>392</v>
      </c>
      <c r="E159" s="27" t="s">
        <v>941</v>
      </c>
      <c r="F159" s="28" t="s">
        <v>312</v>
      </c>
      <c r="G159" s="44" t="s">
        <v>10</v>
      </c>
      <c r="H159" s="44" t="s">
        <v>10</v>
      </c>
      <c r="I159" s="44" t="s">
        <v>10</v>
      </c>
      <c r="J159" s="44" t="s">
        <v>10</v>
      </c>
      <c r="K159" s="46" t="s">
        <v>945</v>
      </c>
      <c r="L159" s="29" t="str">
        <f t="shared" si="56"/>
        <v>De.Espacialidade</v>
      </c>
      <c r="M159" s="29" t="str">
        <f t="shared" si="56"/>
        <v>Zonificação</v>
      </c>
      <c r="N159" s="29" t="str">
        <f t="shared" si="15"/>
        <v>Zona Segurança</v>
      </c>
      <c r="O159" s="29" t="str">
        <f t="shared" ref="O159:O168" si="58">(SUBSTITUTE(SUBSTITUTE(CONCATENATE("",F159),"."," ")," De "," de "))</f>
        <v>Zona de Biossegurança</v>
      </c>
      <c r="P159" s="30" t="s">
        <v>313</v>
      </c>
      <c r="Q159" s="30" t="s">
        <v>783</v>
      </c>
      <c r="R159" s="30" t="s">
        <v>606</v>
      </c>
      <c r="S159" s="63" t="s">
        <v>10</v>
      </c>
      <c r="T159" s="30" t="str">
        <f t="shared" si="57"/>
        <v>De Espacialidade</v>
      </c>
      <c r="U159" s="30" t="str">
        <f t="shared" si="57"/>
        <v>Zonificação</v>
      </c>
      <c r="V159" s="30" t="str">
        <f t="shared" si="57"/>
        <v>Zona Segurança</v>
      </c>
      <c r="W159" s="30" t="s">
        <v>78</v>
      </c>
      <c r="X159" s="45" t="str">
        <f t="shared" si="54"/>
        <v>Key-AMB-159</v>
      </c>
      <c r="Y159" s="30" t="s">
        <v>444</v>
      </c>
      <c r="Z159" s="61" t="s">
        <v>10</v>
      </c>
      <c r="AA159" s="41" t="s">
        <v>189</v>
      </c>
      <c r="AB159" s="61" t="s">
        <v>10</v>
      </c>
      <c r="AC159" s="56" t="s">
        <v>438</v>
      </c>
      <c r="AD159" s="61" t="s">
        <v>10</v>
      </c>
    </row>
    <row r="160" spans="1:30" s="34" customFormat="1" ht="6.75" customHeight="1" x14ac:dyDescent="0.25">
      <c r="A160" s="49">
        <v>160</v>
      </c>
      <c r="B160" s="27" t="s">
        <v>408</v>
      </c>
      <c r="C160" s="27" t="s">
        <v>413</v>
      </c>
      <c r="D160" s="27" t="s">
        <v>319</v>
      </c>
      <c r="E160" s="27" t="s">
        <v>203</v>
      </c>
      <c r="F160" s="47" t="s">
        <v>211</v>
      </c>
      <c r="G160" s="44" t="s">
        <v>10</v>
      </c>
      <c r="H160" s="44" t="s">
        <v>10</v>
      </c>
      <c r="I160" s="44" t="s">
        <v>10</v>
      </c>
      <c r="J160" s="44" t="s">
        <v>10</v>
      </c>
      <c r="K160" s="44" t="s">
        <v>10</v>
      </c>
      <c r="L160" s="29" t="str">
        <f t="shared" si="56"/>
        <v>De.Espacialidade</v>
      </c>
      <c r="M160" s="29" t="str">
        <f t="shared" si="56"/>
        <v>Analítica.Espacial</v>
      </c>
      <c r="N160" s="29" t="str">
        <f t="shared" ref="N160:N168" si="59">(SUBSTITUTE(SUBSTITUTE(CONCATENATE("",E160),"."," ")," De "," de "))</f>
        <v>Analema Solar</v>
      </c>
      <c r="O160" s="29" t="str">
        <f t="shared" si="58"/>
        <v>Sol</v>
      </c>
      <c r="P160" s="30" t="s">
        <v>320</v>
      </c>
      <c r="Q160" s="30" t="s">
        <v>784</v>
      </c>
      <c r="R160" s="30" t="s">
        <v>607</v>
      </c>
      <c r="S160" s="63" t="s">
        <v>10</v>
      </c>
      <c r="T160" s="30" t="str">
        <f t="shared" si="57"/>
        <v>De Espacialidade</v>
      </c>
      <c r="U160" s="30" t="str">
        <f t="shared" si="57"/>
        <v>Analítica Espacial</v>
      </c>
      <c r="V160" s="30" t="str">
        <f t="shared" si="57"/>
        <v>Analema Solar</v>
      </c>
      <c r="W160" s="30" t="s">
        <v>78</v>
      </c>
      <c r="X160" s="45" t="str">
        <f t="shared" si="54"/>
        <v>Key-AMB-160</v>
      </c>
      <c r="Y160" s="48" t="s">
        <v>204</v>
      </c>
      <c r="Z160" s="61" t="s">
        <v>10</v>
      </c>
      <c r="AA160" s="56" t="s">
        <v>10</v>
      </c>
      <c r="AB160" s="61" t="s">
        <v>10</v>
      </c>
      <c r="AC160" s="56" t="s">
        <v>10</v>
      </c>
      <c r="AD160" s="61" t="s">
        <v>10</v>
      </c>
    </row>
    <row r="161" spans="1:30" s="34" customFormat="1" ht="6.75" customHeight="1" x14ac:dyDescent="0.25">
      <c r="A161" s="49">
        <v>161</v>
      </c>
      <c r="B161" s="27" t="s">
        <v>408</v>
      </c>
      <c r="C161" s="27" t="s">
        <v>413</v>
      </c>
      <c r="D161" s="27" t="s">
        <v>319</v>
      </c>
      <c r="E161" s="27" t="s">
        <v>203</v>
      </c>
      <c r="F161" s="47" t="s">
        <v>212</v>
      </c>
      <c r="G161" s="44" t="s">
        <v>10</v>
      </c>
      <c r="H161" s="44" t="s">
        <v>10</v>
      </c>
      <c r="I161" s="44" t="s">
        <v>10</v>
      </c>
      <c r="J161" s="44" t="s">
        <v>10</v>
      </c>
      <c r="K161" s="44" t="s">
        <v>10</v>
      </c>
      <c r="L161" s="29" t="str">
        <f t="shared" si="56"/>
        <v>De.Espacialidade</v>
      </c>
      <c r="M161" s="29" t="str">
        <f t="shared" si="56"/>
        <v>Analítica.Espacial</v>
      </c>
      <c r="N161" s="29" t="str">
        <f t="shared" si="59"/>
        <v>Analema Solar</v>
      </c>
      <c r="O161" s="29" t="str">
        <f t="shared" si="58"/>
        <v>Sol Percurso 1</v>
      </c>
      <c r="P161" s="30" t="s">
        <v>321</v>
      </c>
      <c r="Q161" s="30" t="s">
        <v>785</v>
      </c>
      <c r="R161" s="30" t="s">
        <v>608</v>
      </c>
      <c r="S161" s="63" t="s">
        <v>10</v>
      </c>
      <c r="T161" s="30" t="str">
        <f t="shared" si="57"/>
        <v>De Espacialidade</v>
      </c>
      <c r="U161" s="30" t="str">
        <f t="shared" si="57"/>
        <v>Analítica Espacial</v>
      </c>
      <c r="V161" s="30" t="str">
        <f t="shared" si="57"/>
        <v>Analema Solar</v>
      </c>
      <c r="W161" s="30" t="s">
        <v>78</v>
      </c>
      <c r="X161" s="45" t="str">
        <f t="shared" si="54"/>
        <v>Key-AMB-161</v>
      </c>
      <c r="Y161" s="48" t="s">
        <v>210</v>
      </c>
      <c r="Z161" s="61" t="s">
        <v>10</v>
      </c>
      <c r="AA161" s="56" t="s">
        <v>10</v>
      </c>
      <c r="AB161" s="61" t="s">
        <v>10</v>
      </c>
      <c r="AC161" s="56" t="s">
        <v>10</v>
      </c>
      <c r="AD161" s="61" t="s">
        <v>10</v>
      </c>
    </row>
    <row r="162" spans="1:30" s="34" customFormat="1" ht="6.75" customHeight="1" x14ac:dyDescent="0.25">
      <c r="A162" s="49">
        <v>162</v>
      </c>
      <c r="B162" s="27" t="s">
        <v>408</v>
      </c>
      <c r="C162" s="27" t="s">
        <v>413</v>
      </c>
      <c r="D162" s="27" t="s">
        <v>319</v>
      </c>
      <c r="E162" s="27" t="s">
        <v>203</v>
      </c>
      <c r="F162" s="47" t="s">
        <v>213</v>
      </c>
      <c r="G162" s="44" t="s">
        <v>10</v>
      </c>
      <c r="H162" s="44" t="s">
        <v>10</v>
      </c>
      <c r="I162" s="44" t="s">
        <v>10</v>
      </c>
      <c r="J162" s="44" t="s">
        <v>10</v>
      </c>
      <c r="K162" s="44" t="s">
        <v>10</v>
      </c>
      <c r="L162" s="29" t="str">
        <f t="shared" si="56"/>
        <v>De.Espacialidade</v>
      </c>
      <c r="M162" s="29" t="str">
        <f t="shared" si="56"/>
        <v>Analítica.Espacial</v>
      </c>
      <c r="N162" s="29" t="str">
        <f t="shared" si="59"/>
        <v>Analema Solar</v>
      </c>
      <c r="O162" s="29" t="str">
        <f t="shared" si="58"/>
        <v>Sol Percurso 2</v>
      </c>
      <c r="P162" s="30" t="s">
        <v>321</v>
      </c>
      <c r="Q162" s="30" t="s">
        <v>785</v>
      </c>
      <c r="R162" s="30" t="s">
        <v>608</v>
      </c>
      <c r="S162" s="63" t="s">
        <v>10</v>
      </c>
      <c r="T162" s="30" t="str">
        <f t="shared" si="57"/>
        <v>De Espacialidade</v>
      </c>
      <c r="U162" s="30" t="str">
        <f t="shared" si="57"/>
        <v>Analítica Espacial</v>
      </c>
      <c r="V162" s="30" t="str">
        <f t="shared" si="57"/>
        <v>Analema Solar</v>
      </c>
      <c r="W162" s="30" t="s">
        <v>78</v>
      </c>
      <c r="X162" s="45" t="str">
        <f t="shared" si="54"/>
        <v>Key-AMB-162</v>
      </c>
      <c r="Y162" s="48" t="s">
        <v>205</v>
      </c>
      <c r="Z162" s="61" t="s">
        <v>10</v>
      </c>
      <c r="AA162" s="56" t="s">
        <v>10</v>
      </c>
      <c r="AB162" s="61" t="s">
        <v>10</v>
      </c>
      <c r="AC162" s="56" t="s">
        <v>10</v>
      </c>
      <c r="AD162" s="61" t="s">
        <v>10</v>
      </c>
    </row>
    <row r="163" spans="1:30" s="34" customFormat="1" ht="6.75" customHeight="1" x14ac:dyDescent="0.25">
      <c r="A163" s="49">
        <v>163</v>
      </c>
      <c r="B163" s="27" t="s">
        <v>408</v>
      </c>
      <c r="C163" s="27" t="s">
        <v>413</v>
      </c>
      <c r="D163" s="27" t="s">
        <v>319</v>
      </c>
      <c r="E163" s="27" t="s">
        <v>203</v>
      </c>
      <c r="F163" s="47" t="s">
        <v>214</v>
      </c>
      <c r="G163" s="44" t="s">
        <v>10</v>
      </c>
      <c r="H163" s="44" t="s">
        <v>10</v>
      </c>
      <c r="I163" s="44" t="s">
        <v>10</v>
      </c>
      <c r="J163" s="44" t="s">
        <v>10</v>
      </c>
      <c r="K163" s="44" t="s">
        <v>10</v>
      </c>
      <c r="L163" s="29" t="str">
        <f t="shared" si="56"/>
        <v>De.Espacialidade</v>
      </c>
      <c r="M163" s="29" t="str">
        <f t="shared" si="56"/>
        <v>Analítica.Espacial</v>
      </c>
      <c r="N163" s="29" t="str">
        <f t="shared" si="59"/>
        <v>Analema Solar</v>
      </c>
      <c r="O163" s="29" t="str">
        <f t="shared" si="58"/>
        <v>Sol Texto Amanhecer</v>
      </c>
      <c r="P163" s="30" t="s">
        <v>322</v>
      </c>
      <c r="Q163" s="30" t="s">
        <v>786</v>
      </c>
      <c r="R163" s="30" t="s">
        <v>609</v>
      </c>
      <c r="S163" s="63" t="s">
        <v>10</v>
      </c>
      <c r="T163" s="30" t="str">
        <f t="shared" si="57"/>
        <v>De Espacialidade</v>
      </c>
      <c r="U163" s="30" t="str">
        <f t="shared" si="57"/>
        <v>Analítica Espacial</v>
      </c>
      <c r="V163" s="30" t="str">
        <f t="shared" si="57"/>
        <v>Analema Solar</v>
      </c>
      <c r="W163" s="30" t="s">
        <v>78</v>
      </c>
      <c r="X163" s="45" t="str">
        <f t="shared" si="54"/>
        <v>Key-AMB-163</v>
      </c>
      <c r="Y163" s="48" t="s">
        <v>209</v>
      </c>
      <c r="Z163" s="61" t="s">
        <v>10</v>
      </c>
      <c r="AA163" s="56" t="s">
        <v>10</v>
      </c>
      <c r="AB163" s="61" t="s">
        <v>10</v>
      </c>
      <c r="AC163" s="56" t="s">
        <v>10</v>
      </c>
      <c r="AD163" s="61" t="s">
        <v>10</v>
      </c>
    </row>
    <row r="164" spans="1:30" s="34" customFormat="1" ht="6.75" customHeight="1" x14ac:dyDescent="0.25">
      <c r="A164" s="49">
        <v>164</v>
      </c>
      <c r="B164" s="27" t="s">
        <v>408</v>
      </c>
      <c r="C164" s="27" t="s">
        <v>413</v>
      </c>
      <c r="D164" s="27" t="s">
        <v>319</v>
      </c>
      <c r="E164" s="27" t="s">
        <v>203</v>
      </c>
      <c r="F164" s="47" t="s">
        <v>215</v>
      </c>
      <c r="G164" s="44" t="s">
        <v>10</v>
      </c>
      <c r="H164" s="44" t="s">
        <v>10</v>
      </c>
      <c r="I164" s="44" t="s">
        <v>10</v>
      </c>
      <c r="J164" s="44" t="s">
        <v>10</v>
      </c>
      <c r="K164" s="44" t="s">
        <v>10</v>
      </c>
      <c r="L164" s="29" t="str">
        <f t="shared" si="56"/>
        <v>De.Espacialidade</v>
      </c>
      <c r="M164" s="29" t="str">
        <f t="shared" si="56"/>
        <v>Analítica.Espacial</v>
      </c>
      <c r="N164" s="29" t="str">
        <f t="shared" si="59"/>
        <v>Analema Solar</v>
      </c>
      <c r="O164" s="29" t="str">
        <f t="shared" si="58"/>
        <v>Sol Texto Anoitecer</v>
      </c>
      <c r="P164" s="30" t="s">
        <v>323</v>
      </c>
      <c r="Q164" s="30" t="s">
        <v>787</v>
      </c>
      <c r="R164" s="30" t="s">
        <v>610</v>
      </c>
      <c r="S164" s="63" t="s">
        <v>10</v>
      </c>
      <c r="T164" s="30" t="str">
        <f t="shared" si="57"/>
        <v>De Espacialidade</v>
      </c>
      <c r="U164" s="30" t="str">
        <f t="shared" si="57"/>
        <v>Analítica Espacial</v>
      </c>
      <c r="V164" s="30" t="str">
        <f t="shared" si="57"/>
        <v>Analema Solar</v>
      </c>
      <c r="W164" s="30" t="s">
        <v>78</v>
      </c>
      <c r="X164" s="45" t="str">
        <f t="shared" si="54"/>
        <v>Key-AMB-164</v>
      </c>
      <c r="Y164" s="48" t="s">
        <v>206</v>
      </c>
      <c r="Z164" s="61" t="s">
        <v>10</v>
      </c>
      <c r="AA164" s="56" t="s">
        <v>10</v>
      </c>
      <c r="AB164" s="61" t="s">
        <v>10</v>
      </c>
      <c r="AC164" s="56" t="s">
        <v>10</v>
      </c>
      <c r="AD164" s="61" t="s">
        <v>10</v>
      </c>
    </row>
    <row r="165" spans="1:30" s="34" customFormat="1" ht="6.75" customHeight="1" x14ac:dyDescent="0.25">
      <c r="A165" s="49">
        <v>165</v>
      </c>
      <c r="B165" s="27" t="s">
        <v>408</v>
      </c>
      <c r="C165" s="27" t="s">
        <v>413</v>
      </c>
      <c r="D165" s="27" t="s">
        <v>319</v>
      </c>
      <c r="E165" s="27" t="s">
        <v>203</v>
      </c>
      <c r="F165" s="47" t="s">
        <v>216</v>
      </c>
      <c r="G165" s="44" t="s">
        <v>10</v>
      </c>
      <c r="H165" s="44" t="s">
        <v>10</v>
      </c>
      <c r="I165" s="44" t="s">
        <v>10</v>
      </c>
      <c r="J165" s="44" t="s">
        <v>10</v>
      </c>
      <c r="K165" s="44" t="s">
        <v>10</v>
      </c>
      <c r="L165" s="29" t="str">
        <f t="shared" si="56"/>
        <v>De.Espacialidade</v>
      </c>
      <c r="M165" s="29" t="str">
        <f t="shared" si="56"/>
        <v>Analítica.Espacial</v>
      </c>
      <c r="N165" s="29" t="str">
        <f t="shared" si="59"/>
        <v>Analema Solar</v>
      </c>
      <c r="O165" s="29" t="str">
        <f t="shared" si="58"/>
        <v>Sol Estudo</v>
      </c>
      <c r="P165" s="30" t="s">
        <v>324</v>
      </c>
      <c r="Q165" s="30" t="s">
        <v>788</v>
      </c>
      <c r="R165" s="30" t="s">
        <v>611</v>
      </c>
      <c r="S165" s="63" t="s">
        <v>10</v>
      </c>
      <c r="T165" s="30" t="str">
        <f t="shared" si="57"/>
        <v>De Espacialidade</v>
      </c>
      <c r="U165" s="30" t="str">
        <f t="shared" si="57"/>
        <v>Analítica Espacial</v>
      </c>
      <c r="V165" s="30" t="str">
        <f t="shared" si="57"/>
        <v>Analema Solar</v>
      </c>
      <c r="W165" s="30" t="s">
        <v>78</v>
      </c>
      <c r="X165" s="45" t="str">
        <f t="shared" si="54"/>
        <v>Key-AMB-165</v>
      </c>
      <c r="Y165" s="48" t="s">
        <v>208</v>
      </c>
      <c r="Z165" s="61" t="s">
        <v>10</v>
      </c>
      <c r="AA165" s="56" t="s">
        <v>10</v>
      </c>
      <c r="AB165" s="61" t="s">
        <v>10</v>
      </c>
      <c r="AC165" s="56" t="s">
        <v>10</v>
      </c>
      <c r="AD165" s="61" t="s">
        <v>10</v>
      </c>
    </row>
    <row r="166" spans="1:30" s="34" customFormat="1" ht="6.75" customHeight="1" x14ac:dyDescent="0.25">
      <c r="A166" s="49">
        <v>166</v>
      </c>
      <c r="B166" s="27" t="s">
        <v>408</v>
      </c>
      <c r="C166" s="27" t="s">
        <v>413</v>
      </c>
      <c r="D166" s="27" t="s">
        <v>319</v>
      </c>
      <c r="E166" s="27" t="s">
        <v>203</v>
      </c>
      <c r="F166" s="47" t="s">
        <v>217</v>
      </c>
      <c r="G166" s="44" t="s">
        <v>10</v>
      </c>
      <c r="H166" s="44" t="s">
        <v>10</v>
      </c>
      <c r="I166" s="44" t="s">
        <v>10</v>
      </c>
      <c r="J166" s="44" t="s">
        <v>10</v>
      </c>
      <c r="K166" s="44" t="s">
        <v>10</v>
      </c>
      <c r="L166" s="29" t="str">
        <f t="shared" si="56"/>
        <v>De.Espacialidade</v>
      </c>
      <c r="M166" s="29" t="str">
        <f>CONCATENATE("", D166)</f>
        <v>Analítica.Espacial</v>
      </c>
      <c r="N166" s="29" t="str">
        <f t="shared" si="59"/>
        <v>Analema Solar</v>
      </c>
      <c r="O166" s="29" t="str">
        <f t="shared" si="58"/>
        <v>Sol Superfície</v>
      </c>
      <c r="P166" s="30" t="s">
        <v>325</v>
      </c>
      <c r="Q166" s="30" t="s">
        <v>789</v>
      </c>
      <c r="R166" s="30" t="s">
        <v>612</v>
      </c>
      <c r="S166" s="63" t="s">
        <v>10</v>
      </c>
      <c r="T166" s="30" t="str">
        <f t="shared" si="57"/>
        <v>De Espacialidade</v>
      </c>
      <c r="U166" s="30" t="str">
        <f>SUBSTITUTE(D166, ".", " ")</f>
        <v>Analítica Espacial</v>
      </c>
      <c r="V166" s="30" t="str">
        <f t="shared" si="57"/>
        <v>Analema Solar</v>
      </c>
      <c r="W166" s="30" t="s">
        <v>78</v>
      </c>
      <c r="X166" s="45" t="str">
        <f t="shared" si="54"/>
        <v>Key-AMB-166</v>
      </c>
      <c r="Y166" s="48" t="s">
        <v>207</v>
      </c>
      <c r="Z166" s="61" t="s">
        <v>10</v>
      </c>
      <c r="AA166" s="56" t="s">
        <v>10</v>
      </c>
      <c r="AB166" s="61" t="s">
        <v>10</v>
      </c>
      <c r="AC166" s="56" t="s">
        <v>10</v>
      </c>
      <c r="AD166" s="61" t="s">
        <v>10</v>
      </c>
    </row>
    <row r="167" spans="1:30" s="34" customFormat="1" ht="6.75" customHeight="1" x14ac:dyDescent="0.25">
      <c r="A167" s="49">
        <v>167</v>
      </c>
      <c r="B167" s="27" t="s">
        <v>408</v>
      </c>
      <c r="C167" s="27" t="s">
        <v>413</v>
      </c>
      <c r="D167" s="27" t="s">
        <v>319</v>
      </c>
      <c r="E167" s="27" t="s">
        <v>163</v>
      </c>
      <c r="F167" s="27" t="s">
        <v>159</v>
      </c>
      <c r="G167" s="44" t="s">
        <v>10</v>
      </c>
      <c r="H167" s="44" t="s">
        <v>10</v>
      </c>
      <c r="I167" s="44" t="s">
        <v>10</v>
      </c>
      <c r="J167" s="44" t="s">
        <v>10</v>
      </c>
      <c r="K167" s="44" t="s">
        <v>10</v>
      </c>
      <c r="L167" s="29" t="str">
        <f t="shared" si="56"/>
        <v>De.Espacialidade</v>
      </c>
      <c r="M167" s="29" t="str">
        <f t="shared" si="56"/>
        <v>Analítica.Espacial</v>
      </c>
      <c r="N167" s="29" t="str">
        <f t="shared" si="59"/>
        <v>Orientação Solar</v>
      </c>
      <c r="O167" s="29" t="str">
        <f t="shared" si="58"/>
        <v>Orientação Norte</v>
      </c>
      <c r="P167" s="30" t="s">
        <v>326</v>
      </c>
      <c r="Q167" s="30" t="s">
        <v>790</v>
      </c>
      <c r="R167" s="30" t="s">
        <v>613</v>
      </c>
      <c r="S167" s="63" t="s">
        <v>10</v>
      </c>
      <c r="T167" s="30" t="str">
        <f t="shared" si="57"/>
        <v>De Espacialidade</v>
      </c>
      <c r="U167" s="30" t="str">
        <f t="shared" si="57"/>
        <v>Analítica Espacial</v>
      </c>
      <c r="V167" s="30" t="str">
        <f t="shared" si="57"/>
        <v>Orientação Solar</v>
      </c>
      <c r="W167" s="30" t="s">
        <v>78</v>
      </c>
      <c r="X167" s="45" t="str">
        <f t="shared" si="54"/>
        <v>Key-AMB-167</v>
      </c>
      <c r="Y167" s="30" t="s">
        <v>218</v>
      </c>
      <c r="Z167" s="61" t="s">
        <v>10</v>
      </c>
      <c r="AA167" s="30" t="s">
        <v>219</v>
      </c>
      <c r="AB167" s="61" t="s">
        <v>10</v>
      </c>
      <c r="AC167" s="56" t="s">
        <v>10</v>
      </c>
      <c r="AD167" s="61" t="s">
        <v>10</v>
      </c>
    </row>
    <row r="168" spans="1:30" s="34" customFormat="1" ht="6.75" customHeight="1" x14ac:dyDescent="0.25">
      <c r="A168" s="49">
        <v>168</v>
      </c>
      <c r="B168" s="27" t="s">
        <v>408</v>
      </c>
      <c r="C168" s="27" t="s">
        <v>413</v>
      </c>
      <c r="D168" s="27" t="s">
        <v>319</v>
      </c>
      <c r="E168" s="27" t="s">
        <v>163</v>
      </c>
      <c r="F168" s="27" t="s">
        <v>160</v>
      </c>
      <c r="G168" s="44" t="s">
        <v>10</v>
      </c>
      <c r="H168" s="44" t="s">
        <v>10</v>
      </c>
      <c r="I168" s="44" t="s">
        <v>10</v>
      </c>
      <c r="J168" s="44" t="s">
        <v>10</v>
      </c>
      <c r="K168" s="44" t="s">
        <v>10</v>
      </c>
      <c r="L168" s="29" t="str">
        <f t="shared" si="56"/>
        <v>De.Espacialidade</v>
      </c>
      <c r="M168" s="29" t="str">
        <f t="shared" si="56"/>
        <v>Analítica.Espacial</v>
      </c>
      <c r="N168" s="29" t="str">
        <f t="shared" si="59"/>
        <v>Orientação Solar</v>
      </c>
      <c r="O168" s="29" t="str">
        <f t="shared" si="58"/>
        <v>Orientação Sul</v>
      </c>
      <c r="P168" s="30" t="s">
        <v>327</v>
      </c>
      <c r="Q168" s="30" t="s">
        <v>791</v>
      </c>
      <c r="R168" s="30" t="s">
        <v>614</v>
      </c>
      <c r="S168" s="63" t="s">
        <v>10</v>
      </c>
      <c r="T168" s="30" t="str">
        <f t="shared" si="57"/>
        <v>De Espacialidade</v>
      </c>
      <c r="U168" s="30" t="str">
        <f t="shared" si="57"/>
        <v>Analítica Espacial</v>
      </c>
      <c r="V168" s="30" t="str">
        <f t="shared" si="57"/>
        <v>Orientação Solar</v>
      </c>
      <c r="W168" s="30" t="s">
        <v>78</v>
      </c>
      <c r="X168" s="45" t="str">
        <f t="shared" si="54"/>
        <v>Key-AMB-168</v>
      </c>
      <c r="Y168" s="30" t="s">
        <v>218</v>
      </c>
      <c r="Z168" s="61" t="s">
        <v>10</v>
      </c>
      <c r="AA168" s="30" t="s">
        <v>219</v>
      </c>
      <c r="AB168" s="61" t="s">
        <v>10</v>
      </c>
      <c r="AC168" s="56" t="s">
        <v>10</v>
      </c>
      <c r="AD168" s="61" t="s">
        <v>10</v>
      </c>
    </row>
    <row r="169" spans="1:30" s="34" customFormat="1" ht="6.75" customHeight="1" x14ac:dyDescent="0.25">
      <c r="A169" s="49">
        <v>169</v>
      </c>
      <c r="B169" s="27" t="s">
        <v>408</v>
      </c>
      <c r="C169" s="27" t="s">
        <v>413</v>
      </c>
      <c r="D169" s="27" t="s">
        <v>319</v>
      </c>
      <c r="E169" s="27" t="s">
        <v>163</v>
      </c>
      <c r="F169" s="27" t="s">
        <v>161</v>
      </c>
      <c r="G169" s="44" t="s">
        <v>10</v>
      </c>
      <c r="H169" s="44" t="s">
        <v>10</v>
      </c>
      <c r="I169" s="44" t="s">
        <v>10</v>
      </c>
      <c r="J169" s="44" t="s">
        <v>10</v>
      </c>
      <c r="K169" s="44" t="s">
        <v>10</v>
      </c>
      <c r="L169" s="29" t="str">
        <f t="shared" si="56"/>
        <v>De.Espacialidade</v>
      </c>
      <c r="M169" s="29" t="str">
        <f t="shared" si="56"/>
        <v>Analítica.Espacial</v>
      </c>
      <c r="N169" s="29" t="str">
        <f>(SUBSTITUTE(SUBSTITUTE(CONCATENATE("",E169),"."," ")," De "," de "))</f>
        <v>Orientação Solar</v>
      </c>
      <c r="O169" s="29" t="str">
        <f>(SUBSTITUTE(SUBSTITUTE(CONCATENATE("",F169),"."," ")," De "," de "))</f>
        <v>Orientação Leste</v>
      </c>
      <c r="P169" s="30" t="s">
        <v>329</v>
      </c>
      <c r="Q169" s="30" t="s">
        <v>792</v>
      </c>
      <c r="R169" s="30" t="s">
        <v>615</v>
      </c>
      <c r="S169" s="63" t="s">
        <v>10</v>
      </c>
      <c r="T169" s="30" t="str">
        <f t="shared" si="57"/>
        <v>De Espacialidade</v>
      </c>
      <c r="U169" s="30" t="str">
        <f t="shared" si="57"/>
        <v>Analítica Espacial</v>
      </c>
      <c r="V169" s="30" t="str">
        <f t="shared" si="57"/>
        <v>Orientação Solar</v>
      </c>
      <c r="W169" s="30" t="s">
        <v>78</v>
      </c>
      <c r="X169" s="45" t="str">
        <f t="shared" si="54"/>
        <v>Key-AMB-169</v>
      </c>
      <c r="Y169" s="30" t="s">
        <v>218</v>
      </c>
      <c r="Z169" s="61" t="s">
        <v>10</v>
      </c>
      <c r="AA169" s="30" t="s">
        <v>219</v>
      </c>
      <c r="AB169" s="61" t="s">
        <v>10</v>
      </c>
      <c r="AC169" s="56" t="s">
        <v>10</v>
      </c>
      <c r="AD169" s="61" t="s">
        <v>10</v>
      </c>
    </row>
    <row r="170" spans="1:30" s="34" customFormat="1" ht="6.75" customHeight="1" x14ac:dyDescent="0.25">
      <c r="A170" s="49">
        <v>170</v>
      </c>
      <c r="B170" s="27" t="s">
        <v>408</v>
      </c>
      <c r="C170" s="27" t="s">
        <v>413</v>
      </c>
      <c r="D170" s="27" t="s">
        <v>319</v>
      </c>
      <c r="E170" s="27" t="s">
        <v>163</v>
      </c>
      <c r="F170" s="27" t="s">
        <v>162</v>
      </c>
      <c r="G170" s="44" t="s">
        <v>10</v>
      </c>
      <c r="H170" s="44" t="s">
        <v>10</v>
      </c>
      <c r="I170" s="44" t="s">
        <v>10</v>
      </c>
      <c r="J170" s="44" t="s">
        <v>10</v>
      </c>
      <c r="K170" s="44" t="s">
        <v>10</v>
      </c>
      <c r="L170" s="29" t="str">
        <f t="shared" si="56"/>
        <v>De.Espacialidade</v>
      </c>
      <c r="M170" s="29" t="str">
        <f t="shared" si="56"/>
        <v>Analítica.Espacial</v>
      </c>
      <c r="N170" s="29" t="str">
        <f t="shared" ref="N170:O182" si="60">(SUBSTITUTE(SUBSTITUTE(CONCATENATE("",E170),"."," ")," De "," de "))</f>
        <v>Orientação Solar</v>
      </c>
      <c r="O170" s="29" t="str">
        <f t="shared" si="60"/>
        <v>Orientação Oeste</v>
      </c>
      <c r="P170" s="30" t="s">
        <v>328</v>
      </c>
      <c r="Q170" s="30" t="s">
        <v>793</v>
      </c>
      <c r="R170" s="30" t="s">
        <v>616</v>
      </c>
      <c r="S170" s="63" t="s">
        <v>10</v>
      </c>
      <c r="T170" s="30" t="str">
        <f t="shared" si="57"/>
        <v>De Espacialidade</v>
      </c>
      <c r="U170" s="30" t="str">
        <f t="shared" si="57"/>
        <v>Analítica Espacial</v>
      </c>
      <c r="V170" s="30" t="str">
        <f t="shared" si="57"/>
        <v>Orientação Solar</v>
      </c>
      <c r="W170" s="30" t="s">
        <v>78</v>
      </c>
      <c r="X170" s="45" t="str">
        <f t="shared" si="54"/>
        <v>Key-AMB-170</v>
      </c>
      <c r="Y170" s="30" t="s">
        <v>218</v>
      </c>
      <c r="Z170" s="61" t="s">
        <v>10</v>
      </c>
      <c r="AA170" s="30" t="s">
        <v>219</v>
      </c>
      <c r="AB170" s="61" t="s">
        <v>10</v>
      </c>
      <c r="AC170" s="56" t="s">
        <v>10</v>
      </c>
      <c r="AD170" s="61" t="s">
        <v>10</v>
      </c>
    </row>
    <row r="171" spans="1:30" s="34" customFormat="1" ht="6.75" customHeight="1" x14ac:dyDescent="0.25">
      <c r="A171" s="49">
        <v>171</v>
      </c>
      <c r="B171" s="27" t="s">
        <v>408</v>
      </c>
      <c r="C171" s="27" t="s">
        <v>413</v>
      </c>
      <c r="D171" s="27" t="s">
        <v>319</v>
      </c>
      <c r="E171" s="27" t="s">
        <v>163</v>
      </c>
      <c r="F171" s="27" t="s">
        <v>164</v>
      </c>
      <c r="G171" s="44" t="s">
        <v>10</v>
      </c>
      <c r="H171" s="44" t="s">
        <v>10</v>
      </c>
      <c r="I171" s="44" t="s">
        <v>10</v>
      </c>
      <c r="J171" s="44" t="s">
        <v>10</v>
      </c>
      <c r="K171" s="44" t="s">
        <v>10</v>
      </c>
      <c r="L171" s="29" t="str">
        <f t="shared" si="56"/>
        <v>De.Espacialidade</v>
      </c>
      <c r="M171" s="29" t="str">
        <f t="shared" si="56"/>
        <v>Analítica.Espacial</v>
      </c>
      <c r="N171" s="29" t="str">
        <f t="shared" si="60"/>
        <v>Orientação Solar</v>
      </c>
      <c r="O171" s="29" t="str">
        <f t="shared" si="60"/>
        <v>Símbolo de Norte</v>
      </c>
      <c r="P171" s="30" t="s">
        <v>165</v>
      </c>
      <c r="Q171" s="30" t="s">
        <v>794</v>
      </c>
      <c r="R171" s="30" t="s">
        <v>617</v>
      </c>
      <c r="S171" s="63" t="s">
        <v>10</v>
      </c>
      <c r="T171" s="30" t="str">
        <f t="shared" si="57"/>
        <v>De Espacialidade</v>
      </c>
      <c r="U171" s="30" t="str">
        <f t="shared" si="57"/>
        <v>Analítica Espacial</v>
      </c>
      <c r="V171" s="30" t="str">
        <f t="shared" si="57"/>
        <v>Orientação Solar</v>
      </c>
      <c r="W171" s="30" t="s">
        <v>78</v>
      </c>
      <c r="X171" s="45" t="str">
        <f t="shared" si="54"/>
        <v>Key-AMB-171</v>
      </c>
      <c r="Y171" s="30" t="s">
        <v>218</v>
      </c>
      <c r="Z171" s="61" t="s">
        <v>10</v>
      </c>
      <c r="AA171" s="30" t="s">
        <v>219</v>
      </c>
      <c r="AB171" s="61" t="s">
        <v>10</v>
      </c>
      <c r="AC171" s="56" t="s">
        <v>10</v>
      </c>
      <c r="AD171" s="61" t="s">
        <v>10</v>
      </c>
    </row>
    <row r="172" spans="1:30" ht="6.75" customHeight="1" x14ac:dyDescent="0.25">
      <c r="A172" s="49">
        <v>172</v>
      </c>
      <c r="B172" s="27" t="s">
        <v>71</v>
      </c>
      <c r="C172" s="27" t="s">
        <v>377</v>
      </c>
      <c r="D172" s="27" t="s">
        <v>391</v>
      </c>
      <c r="E172" s="27" t="s">
        <v>942</v>
      </c>
      <c r="F172" s="28" t="s">
        <v>393</v>
      </c>
      <c r="G172" s="44" t="s">
        <v>10</v>
      </c>
      <c r="H172" s="46" t="s">
        <v>10</v>
      </c>
      <c r="I172" s="46" t="s">
        <v>10</v>
      </c>
      <c r="J172" s="44" t="s">
        <v>10</v>
      </c>
      <c r="K172" s="44" t="s">
        <v>10</v>
      </c>
      <c r="L172" s="29" t="str">
        <f t="shared" ref="L172:L173" si="61">CONCATENATE("", C172)</f>
        <v>De.Arquitetura</v>
      </c>
      <c r="M172" s="29" t="str">
        <f t="shared" ref="M172:M173" si="62">CONCATENATE("", D172)</f>
        <v>Layout</v>
      </c>
      <c r="N172" s="29" t="str">
        <f t="shared" ref="N172:N173" si="63">(SUBSTITUTE(SUBSTITUTE(CONCATENATE("",E172),"."," ")," De "," de "))</f>
        <v>Espaço Existente</v>
      </c>
      <c r="O172" s="29" t="str">
        <f t="shared" ref="O172:O173" si="64">(SUBSTITUTE(SUBSTITUTE(CONCATENATE("",F172),"."," ")," De "," de "))</f>
        <v>Campus Existente</v>
      </c>
      <c r="P172" s="30" t="s">
        <v>381</v>
      </c>
      <c r="Q172" s="30" t="s">
        <v>795</v>
      </c>
      <c r="R172" s="30" t="s">
        <v>618</v>
      </c>
      <c r="S172" s="63" t="s">
        <v>10</v>
      </c>
      <c r="T172" s="30" t="str">
        <f t="shared" si="57"/>
        <v>De Arquitetura</v>
      </c>
      <c r="U172" s="30" t="str">
        <f t="shared" si="57"/>
        <v>Layout</v>
      </c>
      <c r="V172" s="30" t="str">
        <f t="shared" si="57"/>
        <v>Espaço Existente</v>
      </c>
      <c r="W172" s="30" t="s">
        <v>78</v>
      </c>
      <c r="X172" s="45" t="str">
        <f t="shared" ref="X172:X173" si="65">CONCATENATE("Key-AMB-",A172)</f>
        <v>Key-AMB-172</v>
      </c>
      <c r="Y172" s="61" t="s">
        <v>10</v>
      </c>
      <c r="Z172" s="61" t="s">
        <v>10</v>
      </c>
      <c r="AA172" s="56" t="s">
        <v>10</v>
      </c>
      <c r="AB172" s="61" t="s">
        <v>10</v>
      </c>
      <c r="AC172" s="56" t="s">
        <v>10</v>
      </c>
      <c r="AD172" s="61" t="s">
        <v>10</v>
      </c>
    </row>
    <row r="173" spans="1:30" s="34" customFormat="1" ht="6.75" customHeight="1" x14ac:dyDescent="0.25">
      <c r="A173" s="49">
        <v>173</v>
      </c>
      <c r="B173" s="27" t="s">
        <v>71</v>
      </c>
      <c r="C173" s="27" t="s">
        <v>377</v>
      </c>
      <c r="D173" s="27" t="s">
        <v>391</v>
      </c>
      <c r="E173" s="27" t="s">
        <v>942</v>
      </c>
      <c r="F173" s="28" t="s">
        <v>394</v>
      </c>
      <c r="G173" s="44" t="s">
        <v>10</v>
      </c>
      <c r="H173" s="46" t="s">
        <v>10</v>
      </c>
      <c r="I173" s="46" t="s">
        <v>10</v>
      </c>
      <c r="J173" s="44" t="s">
        <v>10</v>
      </c>
      <c r="K173" s="44" t="s">
        <v>10</v>
      </c>
      <c r="L173" s="29" t="str">
        <f t="shared" si="61"/>
        <v>De.Arquitetura</v>
      </c>
      <c r="M173" s="29" t="str">
        <f t="shared" si="62"/>
        <v>Layout</v>
      </c>
      <c r="N173" s="29" t="str">
        <f t="shared" si="63"/>
        <v>Espaço Existente</v>
      </c>
      <c r="O173" s="29" t="str">
        <f t="shared" si="64"/>
        <v>Edifício Existente</v>
      </c>
      <c r="P173" s="30" t="s">
        <v>380</v>
      </c>
      <c r="Q173" s="30" t="s">
        <v>796</v>
      </c>
      <c r="R173" s="30" t="s">
        <v>619</v>
      </c>
      <c r="S173" s="63" t="s">
        <v>10</v>
      </c>
      <c r="T173" s="30" t="str">
        <f t="shared" ref="T173" si="66">SUBSTITUTE(C173, ".", " ")</f>
        <v>De Arquitetura</v>
      </c>
      <c r="U173" s="30" t="str">
        <f t="shared" ref="U173" si="67">SUBSTITUTE(D173, ".", " ")</f>
        <v>Layout</v>
      </c>
      <c r="V173" s="30" t="str">
        <f t="shared" ref="V173" si="68">SUBSTITUTE(E173, ".", " ")</f>
        <v>Espaço Existente</v>
      </c>
      <c r="W173" s="30" t="s">
        <v>78</v>
      </c>
      <c r="X173" s="45" t="str">
        <f t="shared" si="65"/>
        <v>Key-AMB-173</v>
      </c>
      <c r="Y173" s="61" t="s">
        <v>10</v>
      </c>
      <c r="Z173" s="61" t="s">
        <v>10</v>
      </c>
      <c r="AA173" s="56" t="s">
        <v>10</v>
      </c>
      <c r="AB173" s="61" t="s">
        <v>10</v>
      </c>
      <c r="AC173" s="56" t="s">
        <v>10</v>
      </c>
      <c r="AD173" s="61" t="s">
        <v>10</v>
      </c>
    </row>
    <row r="174" spans="1:30" s="34" customFormat="1" ht="6.75" customHeight="1" x14ac:dyDescent="0.25">
      <c r="A174" s="49">
        <v>174</v>
      </c>
      <c r="B174" s="27" t="s">
        <v>71</v>
      </c>
      <c r="C174" s="27" t="s">
        <v>377</v>
      </c>
      <c r="D174" s="27" t="s">
        <v>391</v>
      </c>
      <c r="E174" s="27" t="s">
        <v>942</v>
      </c>
      <c r="F174" s="28" t="s">
        <v>395</v>
      </c>
      <c r="G174" s="44" t="s">
        <v>10</v>
      </c>
      <c r="H174" s="46" t="s">
        <v>10</v>
      </c>
      <c r="I174" s="46" t="s">
        <v>10</v>
      </c>
      <c r="J174" s="44" t="s">
        <v>10</v>
      </c>
      <c r="K174" s="44" t="s">
        <v>10</v>
      </c>
      <c r="L174" s="29" t="str">
        <f t="shared" si="56"/>
        <v>De.Arquitetura</v>
      </c>
      <c r="M174" s="29" t="str">
        <f t="shared" si="56"/>
        <v>Layout</v>
      </c>
      <c r="N174" s="29" t="str">
        <f t="shared" si="60"/>
        <v>Espaço Existente</v>
      </c>
      <c r="O174" s="29" t="str">
        <f t="shared" si="60"/>
        <v>Bloco Existente</v>
      </c>
      <c r="P174" s="30" t="s">
        <v>390</v>
      </c>
      <c r="Q174" s="30" t="s">
        <v>797</v>
      </c>
      <c r="R174" s="30" t="s">
        <v>620</v>
      </c>
      <c r="S174" s="63" t="s">
        <v>10</v>
      </c>
      <c r="T174" s="30" t="str">
        <f t="shared" si="57"/>
        <v>De Arquitetura</v>
      </c>
      <c r="U174" s="30" t="str">
        <f t="shared" si="57"/>
        <v>Layout</v>
      </c>
      <c r="V174" s="30" t="str">
        <f t="shared" si="57"/>
        <v>Espaço Existente</v>
      </c>
      <c r="W174" s="30" t="s">
        <v>78</v>
      </c>
      <c r="X174" s="45" t="str">
        <f t="shared" si="54"/>
        <v>Key-AMB-174</v>
      </c>
      <c r="Y174" s="61" t="s">
        <v>10</v>
      </c>
      <c r="Z174" s="61" t="s">
        <v>10</v>
      </c>
      <c r="AA174" s="56" t="s">
        <v>10</v>
      </c>
      <c r="AB174" s="61" t="s">
        <v>10</v>
      </c>
      <c r="AC174" s="56" t="s">
        <v>10</v>
      </c>
      <c r="AD174" s="61" t="s">
        <v>10</v>
      </c>
    </row>
    <row r="175" spans="1:30" ht="6.75" customHeight="1" x14ac:dyDescent="0.25">
      <c r="A175" s="49">
        <v>175</v>
      </c>
      <c r="B175" s="27" t="s">
        <v>71</v>
      </c>
      <c r="C175" s="27" t="s">
        <v>377</v>
      </c>
      <c r="D175" s="27" t="s">
        <v>391</v>
      </c>
      <c r="E175" s="27" t="s">
        <v>942</v>
      </c>
      <c r="F175" s="31" t="s">
        <v>396</v>
      </c>
      <c r="G175" s="44" t="s">
        <v>10</v>
      </c>
      <c r="H175" s="46" t="s">
        <v>10</v>
      </c>
      <c r="I175" s="46" t="s">
        <v>10</v>
      </c>
      <c r="J175" s="44" t="s">
        <v>10</v>
      </c>
      <c r="K175" s="44" t="s">
        <v>10</v>
      </c>
      <c r="L175" s="29" t="str">
        <f t="shared" ref="L175" si="69">CONCATENATE("", C175)</f>
        <v>De.Arquitetura</v>
      </c>
      <c r="M175" s="29" t="str">
        <f t="shared" ref="M175" si="70">CONCATENATE("", D175)</f>
        <v>Layout</v>
      </c>
      <c r="N175" s="29" t="str">
        <f t="shared" ref="N175" si="71">(SUBSTITUTE(SUBSTITUTE(CONCATENATE("",E175),"."," ")," De "," de "))</f>
        <v>Espaço Existente</v>
      </c>
      <c r="O175" s="29" t="str">
        <f t="shared" ref="O175" si="72">(SUBSTITUTE(SUBSTITUTE(CONCATENATE("",F175),"."," ")," De "," de "))</f>
        <v>Zona Existente</v>
      </c>
      <c r="P175" s="30" t="s">
        <v>382</v>
      </c>
      <c r="Q175" s="30" t="s">
        <v>798</v>
      </c>
      <c r="R175" s="30" t="s">
        <v>621</v>
      </c>
      <c r="S175" s="63" t="s">
        <v>10</v>
      </c>
      <c r="T175" s="30" t="str">
        <f t="shared" ref="T175" si="73">SUBSTITUTE(C175, ".", " ")</f>
        <v>De Arquitetura</v>
      </c>
      <c r="U175" s="30" t="str">
        <f t="shared" ref="U175" si="74">SUBSTITUTE(D175, ".", " ")</f>
        <v>Layout</v>
      </c>
      <c r="V175" s="30" t="str">
        <f t="shared" ref="V175" si="75">SUBSTITUTE(E175, ".", " ")</f>
        <v>Espaço Existente</v>
      </c>
      <c r="W175" s="30" t="s">
        <v>78</v>
      </c>
      <c r="X175" s="45" t="str">
        <f t="shared" si="54"/>
        <v>Key-AMB-175</v>
      </c>
      <c r="Y175" s="30" t="s">
        <v>378</v>
      </c>
      <c r="Z175" s="61" t="s">
        <v>10</v>
      </c>
      <c r="AA175" s="41" t="s">
        <v>179</v>
      </c>
      <c r="AB175" s="61" t="s">
        <v>10</v>
      </c>
      <c r="AC175" s="56" t="s">
        <v>10</v>
      </c>
      <c r="AD175" s="61" t="s">
        <v>10</v>
      </c>
    </row>
    <row r="176" spans="1:30" s="34" customFormat="1" ht="6.75" customHeight="1" x14ac:dyDescent="0.25">
      <c r="A176" s="49">
        <v>176</v>
      </c>
      <c r="B176" s="27" t="s">
        <v>71</v>
      </c>
      <c r="C176" s="27" t="s">
        <v>377</v>
      </c>
      <c r="D176" s="27" t="s">
        <v>391</v>
      </c>
      <c r="E176" s="27" t="s">
        <v>942</v>
      </c>
      <c r="F176" s="28" t="s">
        <v>397</v>
      </c>
      <c r="G176" s="44" t="s">
        <v>10</v>
      </c>
      <c r="H176" s="46" t="s">
        <v>10</v>
      </c>
      <c r="I176" s="46" t="s">
        <v>10</v>
      </c>
      <c r="J176" s="44" t="s">
        <v>10</v>
      </c>
      <c r="K176" s="44" t="s">
        <v>10</v>
      </c>
      <c r="L176" s="29" t="str">
        <f t="shared" ref="L176" si="76">CONCATENATE("", C176)</f>
        <v>De.Arquitetura</v>
      </c>
      <c r="M176" s="29" t="str">
        <f t="shared" ref="M176" si="77">CONCATENATE("", D176)</f>
        <v>Layout</v>
      </c>
      <c r="N176" s="29" t="str">
        <f t="shared" ref="N176" si="78">(SUBSTITUTE(SUBSTITUTE(CONCATENATE("",E176),"."," ")," De "," de "))</f>
        <v>Espaço Existente</v>
      </c>
      <c r="O176" s="29" t="str">
        <f t="shared" ref="O176" si="79">(SUBSTITUTE(SUBSTITUTE(CONCATENATE("",F176),"."," ")," De "," de "))</f>
        <v>Andar Existente</v>
      </c>
      <c r="P176" s="30" t="s">
        <v>385</v>
      </c>
      <c r="Q176" s="30" t="s">
        <v>799</v>
      </c>
      <c r="R176" s="30" t="s">
        <v>622</v>
      </c>
      <c r="S176" s="63" t="s">
        <v>10</v>
      </c>
      <c r="T176" s="30" t="str">
        <f t="shared" ref="T176" si="80">SUBSTITUTE(C176, ".", " ")</f>
        <v>De Arquitetura</v>
      </c>
      <c r="U176" s="30" t="str">
        <f t="shared" ref="U176" si="81">SUBSTITUTE(D176, ".", " ")</f>
        <v>Layout</v>
      </c>
      <c r="V176" s="30" t="str">
        <f t="shared" ref="V176" si="82">SUBSTITUTE(E176, ".", " ")</f>
        <v>Espaço Existente</v>
      </c>
      <c r="W176" s="30" t="s">
        <v>78</v>
      </c>
      <c r="X176" s="45" t="str">
        <f t="shared" ref="X176" si="83">CONCATENATE("Key-AMB-",A176)</f>
        <v>Key-AMB-176</v>
      </c>
      <c r="Y176" s="30" t="s">
        <v>440</v>
      </c>
      <c r="Z176" s="61" t="s">
        <v>10</v>
      </c>
      <c r="AA176" s="41" t="s">
        <v>167</v>
      </c>
      <c r="AB176" s="61" t="s">
        <v>10</v>
      </c>
      <c r="AC176" s="56" t="s">
        <v>201</v>
      </c>
      <c r="AD176" s="61" t="s">
        <v>10</v>
      </c>
    </row>
    <row r="177" spans="1:30" s="34" customFormat="1" ht="6.75" customHeight="1" x14ac:dyDescent="0.25">
      <c r="A177" s="49">
        <v>177</v>
      </c>
      <c r="B177" s="27" t="s">
        <v>71</v>
      </c>
      <c r="C177" s="27" t="s">
        <v>377</v>
      </c>
      <c r="D177" s="27" t="s">
        <v>391</v>
      </c>
      <c r="E177" s="27" t="s">
        <v>942</v>
      </c>
      <c r="F177" s="28" t="s">
        <v>398</v>
      </c>
      <c r="G177" s="44" t="s">
        <v>10</v>
      </c>
      <c r="H177" s="46" t="s">
        <v>10</v>
      </c>
      <c r="I177" s="46" t="s">
        <v>10</v>
      </c>
      <c r="J177" s="44" t="s">
        <v>10</v>
      </c>
      <c r="K177" s="44" t="s">
        <v>10</v>
      </c>
      <c r="L177" s="29" t="str">
        <f t="shared" si="56"/>
        <v>De.Arquitetura</v>
      </c>
      <c r="M177" s="29" t="str">
        <f t="shared" si="56"/>
        <v>Layout</v>
      </c>
      <c r="N177" s="29" t="str">
        <f t="shared" si="60"/>
        <v>Espaço Existente</v>
      </c>
      <c r="O177" s="29" t="str">
        <f t="shared" si="60"/>
        <v>Compartimento Existente</v>
      </c>
      <c r="P177" s="30" t="s">
        <v>383</v>
      </c>
      <c r="Q177" s="30" t="s">
        <v>383</v>
      </c>
      <c r="R177" s="30" t="s">
        <v>623</v>
      </c>
      <c r="S177" s="63" t="s">
        <v>10</v>
      </c>
      <c r="T177" s="30" t="str">
        <f t="shared" ref="T177:V182" si="84">SUBSTITUTE(C177, ".", " ")</f>
        <v>De Arquitetura</v>
      </c>
      <c r="U177" s="30" t="str">
        <f t="shared" si="84"/>
        <v>Layout</v>
      </c>
      <c r="V177" s="30" t="str">
        <f t="shared" si="84"/>
        <v>Espaço Existente</v>
      </c>
      <c r="W177" s="30" t="s">
        <v>78</v>
      </c>
      <c r="X177" s="45" t="str">
        <f t="shared" si="54"/>
        <v>Key-AMB-177</v>
      </c>
      <c r="Y177" s="30" t="s">
        <v>442</v>
      </c>
      <c r="Z177" s="61" t="s">
        <v>10</v>
      </c>
      <c r="AA177" s="41" t="s">
        <v>179</v>
      </c>
      <c r="AB177" s="61" t="s">
        <v>10</v>
      </c>
      <c r="AC177" s="56" t="s">
        <v>309</v>
      </c>
      <c r="AD177" s="61" t="s">
        <v>10</v>
      </c>
    </row>
    <row r="178" spans="1:30" ht="6.75" customHeight="1" x14ac:dyDescent="0.25">
      <c r="A178" s="49">
        <v>178</v>
      </c>
      <c r="B178" s="27" t="s">
        <v>71</v>
      </c>
      <c r="C178" s="27" t="s">
        <v>377</v>
      </c>
      <c r="D178" s="27" t="s">
        <v>391</v>
      </c>
      <c r="E178" s="27" t="s">
        <v>943</v>
      </c>
      <c r="F178" s="28" t="s">
        <v>399</v>
      </c>
      <c r="G178" s="44" t="s">
        <v>10</v>
      </c>
      <c r="H178" s="46" t="s">
        <v>10</v>
      </c>
      <c r="I178" s="46" t="s">
        <v>10</v>
      </c>
      <c r="J178" s="44" t="s">
        <v>10</v>
      </c>
      <c r="K178" s="44" t="s">
        <v>10</v>
      </c>
      <c r="L178" s="29" t="str">
        <f t="shared" si="56"/>
        <v>De.Arquitetura</v>
      </c>
      <c r="M178" s="29" t="str">
        <f t="shared" si="56"/>
        <v>Layout</v>
      </c>
      <c r="N178" s="29" t="str">
        <f t="shared" si="60"/>
        <v>Espaço Novo</v>
      </c>
      <c r="O178" s="29" t="str">
        <f t="shared" si="60"/>
        <v>Campus Novo</v>
      </c>
      <c r="P178" s="30" t="s">
        <v>386</v>
      </c>
      <c r="Q178" s="30" t="s">
        <v>800</v>
      </c>
      <c r="R178" s="30" t="s">
        <v>624</v>
      </c>
      <c r="S178" s="63" t="s">
        <v>10</v>
      </c>
      <c r="T178" s="30" t="str">
        <f t="shared" si="84"/>
        <v>De Arquitetura</v>
      </c>
      <c r="U178" s="30" t="str">
        <f t="shared" si="84"/>
        <v>Layout</v>
      </c>
      <c r="V178" s="30" t="str">
        <f t="shared" si="84"/>
        <v>Espaço Novo</v>
      </c>
      <c r="W178" s="30" t="s">
        <v>78</v>
      </c>
      <c r="X178" s="45" t="str">
        <f t="shared" si="54"/>
        <v>Key-AMB-178</v>
      </c>
      <c r="Y178" s="61" t="s">
        <v>10</v>
      </c>
      <c r="Z178" s="61" t="s">
        <v>10</v>
      </c>
      <c r="AA178" s="56" t="s">
        <v>10</v>
      </c>
      <c r="AB178" s="61" t="s">
        <v>10</v>
      </c>
      <c r="AC178" s="56" t="s">
        <v>10</v>
      </c>
      <c r="AD178" s="61" t="s">
        <v>10</v>
      </c>
    </row>
    <row r="179" spans="1:30" ht="6.75" customHeight="1" x14ac:dyDescent="0.25">
      <c r="A179" s="49">
        <v>179</v>
      </c>
      <c r="B179" s="27" t="s">
        <v>71</v>
      </c>
      <c r="C179" s="27" t="s">
        <v>377</v>
      </c>
      <c r="D179" s="27" t="s">
        <v>391</v>
      </c>
      <c r="E179" s="27" t="s">
        <v>943</v>
      </c>
      <c r="F179" s="28" t="s">
        <v>404</v>
      </c>
      <c r="G179" s="44" t="s">
        <v>10</v>
      </c>
      <c r="H179" s="46" t="s">
        <v>10</v>
      </c>
      <c r="I179" s="46" t="s">
        <v>10</v>
      </c>
      <c r="J179" s="44" t="s">
        <v>10</v>
      </c>
      <c r="K179" s="44" t="s">
        <v>10</v>
      </c>
      <c r="L179" s="29" t="str">
        <f t="shared" ref="L179" si="85">CONCATENATE("", C179)</f>
        <v>De.Arquitetura</v>
      </c>
      <c r="M179" s="29" t="str">
        <f t="shared" ref="M179" si="86">CONCATENATE("", D179)</f>
        <v>Layout</v>
      </c>
      <c r="N179" s="29" t="str">
        <f t="shared" ref="N179" si="87">(SUBSTITUTE(SUBSTITUTE(CONCATENATE("",E179),"."," ")," De "," de "))</f>
        <v>Espaço Novo</v>
      </c>
      <c r="O179" s="29" t="str">
        <f t="shared" ref="O179" si="88">(SUBSTITUTE(SUBSTITUTE(CONCATENATE("",F179),"."," ")," De "," de "))</f>
        <v>Edifício Novo</v>
      </c>
      <c r="P179" s="30" t="s">
        <v>379</v>
      </c>
      <c r="Q179" s="30" t="s">
        <v>801</v>
      </c>
      <c r="R179" s="30" t="s">
        <v>625</v>
      </c>
      <c r="S179" s="63" t="s">
        <v>10</v>
      </c>
      <c r="T179" s="30" t="str">
        <f t="shared" ref="T179" si="89">SUBSTITUTE(C179, ".", " ")</f>
        <v>De Arquitetura</v>
      </c>
      <c r="U179" s="30" t="str">
        <f t="shared" ref="U179" si="90">SUBSTITUTE(D179, ".", " ")</f>
        <v>Layout</v>
      </c>
      <c r="V179" s="30" t="str">
        <f t="shared" ref="V179" si="91">SUBSTITUTE(E179, ".", " ")</f>
        <v>Espaço Novo</v>
      </c>
      <c r="W179" s="30" t="s">
        <v>78</v>
      </c>
      <c r="X179" s="45" t="str">
        <f t="shared" si="54"/>
        <v>Key-AMB-179</v>
      </c>
      <c r="Y179" s="61" t="s">
        <v>10</v>
      </c>
      <c r="Z179" s="61" t="s">
        <v>10</v>
      </c>
      <c r="AA179" s="56" t="s">
        <v>10</v>
      </c>
      <c r="AB179" s="61" t="s">
        <v>10</v>
      </c>
      <c r="AC179" s="56" t="s">
        <v>10</v>
      </c>
      <c r="AD179" s="61" t="s">
        <v>10</v>
      </c>
    </row>
    <row r="180" spans="1:30" ht="6.75" customHeight="1" x14ac:dyDescent="0.25">
      <c r="A180" s="49">
        <v>180</v>
      </c>
      <c r="B180" s="27" t="s">
        <v>71</v>
      </c>
      <c r="C180" s="27" t="s">
        <v>377</v>
      </c>
      <c r="D180" s="27" t="s">
        <v>391</v>
      </c>
      <c r="E180" s="27" t="s">
        <v>943</v>
      </c>
      <c r="F180" s="28" t="s">
        <v>403</v>
      </c>
      <c r="G180" s="44" t="s">
        <v>10</v>
      </c>
      <c r="H180" s="46" t="s">
        <v>10</v>
      </c>
      <c r="I180" s="46" t="s">
        <v>10</v>
      </c>
      <c r="J180" s="44" t="s">
        <v>10</v>
      </c>
      <c r="K180" s="44" t="s">
        <v>10</v>
      </c>
      <c r="L180" s="29" t="str">
        <f t="shared" si="56"/>
        <v>De.Arquitetura</v>
      </c>
      <c r="M180" s="29" t="str">
        <f t="shared" si="56"/>
        <v>Layout</v>
      </c>
      <c r="N180" s="29" t="str">
        <f t="shared" si="60"/>
        <v>Espaço Novo</v>
      </c>
      <c r="O180" s="29" t="str">
        <f t="shared" si="60"/>
        <v>Bloco Novo</v>
      </c>
      <c r="P180" s="30" t="s">
        <v>389</v>
      </c>
      <c r="Q180" s="30" t="s">
        <v>802</v>
      </c>
      <c r="R180" s="30" t="s">
        <v>626</v>
      </c>
      <c r="S180" s="63" t="s">
        <v>10</v>
      </c>
      <c r="T180" s="30" t="str">
        <f t="shared" si="84"/>
        <v>De Arquitetura</v>
      </c>
      <c r="U180" s="30" t="str">
        <f t="shared" si="84"/>
        <v>Layout</v>
      </c>
      <c r="V180" s="30" t="str">
        <f t="shared" si="84"/>
        <v>Espaço Novo</v>
      </c>
      <c r="W180" s="30" t="s">
        <v>78</v>
      </c>
      <c r="X180" s="45" t="str">
        <f t="shared" si="54"/>
        <v>Key-AMB-180</v>
      </c>
      <c r="Y180" s="61" t="s">
        <v>10</v>
      </c>
      <c r="Z180" s="61" t="s">
        <v>10</v>
      </c>
      <c r="AA180" s="56" t="s">
        <v>10</v>
      </c>
      <c r="AB180" s="61" t="s">
        <v>10</v>
      </c>
      <c r="AC180" s="56" t="s">
        <v>10</v>
      </c>
      <c r="AD180" s="61" t="s">
        <v>10</v>
      </c>
    </row>
    <row r="181" spans="1:30" customFormat="1" ht="6.75" customHeight="1" x14ac:dyDescent="0.25">
      <c r="A181" s="49">
        <v>181</v>
      </c>
      <c r="B181" s="27" t="s">
        <v>71</v>
      </c>
      <c r="C181" s="27" t="s">
        <v>377</v>
      </c>
      <c r="D181" s="27" t="s">
        <v>391</v>
      </c>
      <c r="E181" s="27" t="s">
        <v>943</v>
      </c>
      <c r="F181" s="31" t="s">
        <v>402</v>
      </c>
      <c r="G181" s="44" t="s">
        <v>10</v>
      </c>
      <c r="H181" s="46" t="s">
        <v>10</v>
      </c>
      <c r="I181" s="46" t="s">
        <v>10</v>
      </c>
      <c r="J181" s="44" t="s">
        <v>10</v>
      </c>
      <c r="K181" s="44" t="s">
        <v>10</v>
      </c>
      <c r="L181" s="29" t="str">
        <f t="shared" ref="L181:M183" si="92">CONCATENATE("", C181)</f>
        <v>De.Arquitetura</v>
      </c>
      <c r="M181" s="29" t="str">
        <f t="shared" si="92"/>
        <v>Layout</v>
      </c>
      <c r="N181" s="29" t="str">
        <f t="shared" si="60"/>
        <v>Espaço Novo</v>
      </c>
      <c r="O181" s="29" t="str">
        <f t="shared" si="60"/>
        <v>Zona Novo</v>
      </c>
      <c r="P181" s="30" t="s">
        <v>387</v>
      </c>
      <c r="Q181" s="30" t="s">
        <v>803</v>
      </c>
      <c r="R181" s="30" t="s">
        <v>627</v>
      </c>
      <c r="S181" s="63" t="s">
        <v>10</v>
      </c>
      <c r="T181" s="56" t="str">
        <f t="shared" si="84"/>
        <v>De Arquitetura</v>
      </c>
      <c r="U181" s="56" t="str">
        <f t="shared" si="84"/>
        <v>Layout</v>
      </c>
      <c r="V181" s="56" t="str">
        <f t="shared" si="84"/>
        <v>Espaço Novo</v>
      </c>
      <c r="W181" s="30" t="s">
        <v>78</v>
      </c>
      <c r="X181" s="45" t="str">
        <f t="shared" si="54"/>
        <v>Key-AMB-181</v>
      </c>
      <c r="Y181" s="30" t="s">
        <v>378</v>
      </c>
      <c r="Z181" s="61" t="s">
        <v>10</v>
      </c>
      <c r="AA181" s="41" t="s">
        <v>179</v>
      </c>
      <c r="AB181" s="61" t="s">
        <v>10</v>
      </c>
      <c r="AC181" s="56" t="s">
        <v>10</v>
      </c>
      <c r="AD181" s="61" t="s">
        <v>10</v>
      </c>
    </row>
    <row r="182" spans="1:30" s="34" customFormat="1" ht="6.75" customHeight="1" x14ac:dyDescent="0.25">
      <c r="A182" s="49">
        <v>182</v>
      </c>
      <c r="B182" s="27" t="s">
        <v>71</v>
      </c>
      <c r="C182" s="27" t="s">
        <v>377</v>
      </c>
      <c r="D182" s="27" t="s">
        <v>391</v>
      </c>
      <c r="E182" s="27" t="s">
        <v>943</v>
      </c>
      <c r="F182" s="28" t="s">
        <v>401</v>
      </c>
      <c r="G182" s="44" t="s">
        <v>10</v>
      </c>
      <c r="H182" s="46" t="s">
        <v>10</v>
      </c>
      <c r="I182" s="46" t="s">
        <v>10</v>
      </c>
      <c r="J182" s="44" t="s">
        <v>10</v>
      </c>
      <c r="K182" s="44" t="s">
        <v>10</v>
      </c>
      <c r="L182" s="29" t="str">
        <f t="shared" si="92"/>
        <v>De.Arquitetura</v>
      </c>
      <c r="M182" s="29" t="str">
        <f t="shared" si="92"/>
        <v>Layout</v>
      </c>
      <c r="N182" s="29" t="str">
        <f t="shared" ref="N182:O183" si="93">(SUBSTITUTE(SUBSTITUTE(CONCATENATE("",E182),"."," ")," De "," de "))</f>
        <v>Espaço Novo</v>
      </c>
      <c r="O182" s="29" t="str">
        <f t="shared" si="60"/>
        <v>Andar Novo</v>
      </c>
      <c r="P182" s="30" t="s">
        <v>388</v>
      </c>
      <c r="Q182" s="30" t="s">
        <v>804</v>
      </c>
      <c r="R182" s="30" t="s">
        <v>628</v>
      </c>
      <c r="S182" s="63" t="s">
        <v>10</v>
      </c>
      <c r="T182" s="30" t="str">
        <f t="shared" si="84"/>
        <v>De Arquitetura</v>
      </c>
      <c r="U182" s="30" t="str">
        <f t="shared" si="84"/>
        <v>Layout</v>
      </c>
      <c r="V182" s="30" t="str">
        <f t="shared" si="84"/>
        <v>Espaço Novo</v>
      </c>
      <c r="W182" s="30" t="s">
        <v>78</v>
      </c>
      <c r="X182" s="45" t="str">
        <f t="shared" si="54"/>
        <v>Key-AMB-182</v>
      </c>
      <c r="Y182" s="30" t="s">
        <v>440</v>
      </c>
      <c r="Z182" s="61" t="s">
        <v>10</v>
      </c>
      <c r="AA182" s="41" t="s">
        <v>167</v>
      </c>
      <c r="AB182" s="61" t="s">
        <v>10</v>
      </c>
      <c r="AC182" s="56" t="s">
        <v>201</v>
      </c>
      <c r="AD182" s="61" t="s">
        <v>10</v>
      </c>
    </row>
    <row r="183" spans="1:30" customFormat="1" ht="6.75" customHeight="1" x14ac:dyDescent="0.25">
      <c r="A183" s="49">
        <v>183</v>
      </c>
      <c r="B183" s="27" t="s">
        <v>71</v>
      </c>
      <c r="C183" s="27" t="s">
        <v>377</v>
      </c>
      <c r="D183" s="27" t="s">
        <v>391</v>
      </c>
      <c r="E183" s="27" t="s">
        <v>943</v>
      </c>
      <c r="F183" s="28" t="s">
        <v>400</v>
      </c>
      <c r="G183" s="44" t="s">
        <v>10</v>
      </c>
      <c r="H183" s="46" t="s">
        <v>10</v>
      </c>
      <c r="I183" s="46" t="s">
        <v>10</v>
      </c>
      <c r="J183" s="44" t="s">
        <v>10</v>
      </c>
      <c r="K183" s="44" t="s">
        <v>10</v>
      </c>
      <c r="L183" s="29" t="str">
        <f t="shared" si="92"/>
        <v>De.Arquitetura</v>
      </c>
      <c r="M183" s="29" t="str">
        <f t="shared" si="92"/>
        <v>Layout</v>
      </c>
      <c r="N183" s="29" t="str">
        <f t="shared" si="93"/>
        <v>Espaço Novo</v>
      </c>
      <c r="O183" s="29" t="str">
        <f t="shared" si="93"/>
        <v>Compartimento Novo</v>
      </c>
      <c r="P183" s="30" t="s">
        <v>384</v>
      </c>
      <c r="Q183" s="30" t="s">
        <v>805</v>
      </c>
      <c r="R183" s="30" t="s">
        <v>629</v>
      </c>
      <c r="S183" s="63" t="s">
        <v>10</v>
      </c>
      <c r="T183" s="56" t="str">
        <f t="shared" ref="T183:V183" si="94">SUBSTITUTE(C183, ".", " ")</f>
        <v>De Arquitetura</v>
      </c>
      <c r="U183" s="56" t="str">
        <f t="shared" si="94"/>
        <v>Layout</v>
      </c>
      <c r="V183" s="56" t="str">
        <f t="shared" si="94"/>
        <v>Espaço Novo</v>
      </c>
      <c r="W183" s="30" t="s">
        <v>78</v>
      </c>
      <c r="X183" s="45" t="str">
        <f t="shared" si="54"/>
        <v>Key-AMB-183</v>
      </c>
      <c r="Y183" s="30" t="s">
        <v>442</v>
      </c>
      <c r="Z183" s="61" t="s">
        <v>10</v>
      </c>
      <c r="AA183" s="41" t="s">
        <v>179</v>
      </c>
      <c r="AB183" s="61" t="s">
        <v>10</v>
      </c>
      <c r="AC183" s="56" t="s">
        <v>309</v>
      </c>
      <c r="AD183" s="61" t="s">
        <v>10</v>
      </c>
    </row>
    <row r="184" spans="1:30" s="64" customFormat="1" ht="6.75" customHeight="1" x14ac:dyDescent="0.25">
      <c r="A184" s="49">
        <v>184</v>
      </c>
      <c r="B184" s="27" t="s">
        <v>830</v>
      </c>
      <c r="C184" s="62" t="s">
        <v>831</v>
      </c>
      <c r="D184" s="62" t="s">
        <v>832</v>
      </c>
      <c r="E184" s="62" t="s">
        <v>833</v>
      </c>
      <c r="F184" s="62" t="s">
        <v>809</v>
      </c>
      <c r="G184" s="44" t="s">
        <v>10</v>
      </c>
      <c r="H184" s="44" t="s">
        <v>10</v>
      </c>
      <c r="I184" s="44" t="s">
        <v>10</v>
      </c>
      <c r="J184" s="44" t="s">
        <v>10</v>
      </c>
      <c r="K184" s="44" t="s">
        <v>10</v>
      </c>
      <c r="L184" s="29" t="s">
        <v>831</v>
      </c>
      <c r="M184" s="29" t="s">
        <v>832</v>
      </c>
      <c r="N184" s="29" t="s">
        <v>834</v>
      </c>
      <c r="O184" s="29" t="s">
        <v>835</v>
      </c>
      <c r="P184" s="30" t="s">
        <v>810</v>
      </c>
      <c r="Q184" s="30" t="s">
        <v>811</v>
      </c>
      <c r="R184" s="30" t="s">
        <v>812</v>
      </c>
      <c r="S184" s="63" t="s">
        <v>10</v>
      </c>
      <c r="T184" s="30" t="s">
        <v>836</v>
      </c>
      <c r="U184" s="30" t="s">
        <v>837</v>
      </c>
      <c r="V184" s="56" t="s">
        <v>834</v>
      </c>
      <c r="W184" s="30" t="s">
        <v>78</v>
      </c>
      <c r="X184" s="45" t="str">
        <f t="shared" si="54"/>
        <v>Key-AMB-184</v>
      </c>
      <c r="Y184" s="61" t="s">
        <v>10</v>
      </c>
      <c r="Z184" s="61" t="s">
        <v>10</v>
      </c>
      <c r="AA184" s="61" t="s">
        <v>10</v>
      </c>
      <c r="AB184" s="61" t="s">
        <v>10</v>
      </c>
      <c r="AC184" s="61" t="s">
        <v>10</v>
      </c>
      <c r="AD184" s="61" t="s">
        <v>10</v>
      </c>
    </row>
    <row r="185" spans="1:30" s="64" customFormat="1" ht="6.75" customHeight="1" x14ac:dyDescent="0.25">
      <c r="A185" s="49">
        <v>185</v>
      </c>
      <c r="B185" s="27" t="s">
        <v>830</v>
      </c>
      <c r="C185" s="62" t="s">
        <v>831</v>
      </c>
      <c r="D185" s="62" t="s">
        <v>832</v>
      </c>
      <c r="E185" s="62" t="s">
        <v>833</v>
      </c>
      <c r="F185" s="62" t="s">
        <v>813</v>
      </c>
      <c r="G185" s="44" t="s">
        <v>10</v>
      </c>
      <c r="H185" s="44" t="s">
        <v>10</v>
      </c>
      <c r="I185" s="44" t="s">
        <v>10</v>
      </c>
      <c r="J185" s="44" t="s">
        <v>10</v>
      </c>
      <c r="K185" s="44" t="s">
        <v>10</v>
      </c>
      <c r="L185" s="29" t="s">
        <v>831</v>
      </c>
      <c r="M185" s="29" t="s">
        <v>832</v>
      </c>
      <c r="N185" s="29" t="s">
        <v>834</v>
      </c>
      <c r="O185" s="29" t="s">
        <v>838</v>
      </c>
      <c r="P185" s="30" t="s">
        <v>814</v>
      </c>
      <c r="Q185" s="30" t="s">
        <v>815</v>
      </c>
      <c r="R185" s="30" t="s">
        <v>816</v>
      </c>
      <c r="S185" s="63" t="s">
        <v>10</v>
      </c>
      <c r="T185" s="30" t="s">
        <v>836</v>
      </c>
      <c r="U185" s="30" t="s">
        <v>837</v>
      </c>
      <c r="V185" s="56" t="s">
        <v>834</v>
      </c>
      <c r="W185" s="30" t="s">
        <v>78</v>
      </c>
      <c r="X185" s="45" t="str">
        <f t="shared" si="54"/>
        <v>Key-AMB-185</v>
      </c>
      <c r="Y185" s="61" t="s">
        <v>10</v>
      </c>
      <c r="Z185" s="61" t="s">
        <v>10</v>
      </c>
      <c r="AA185" s="61" t="s">
        <v>10</v>
      </c>
      <c r="AB185" s="61" t="s">
        <v>10</v>
      </c>
      <c r="AC185" s="61" t="s">
        <v>10</v>
      </c>
      <c r="AD185" s="61" t="s">
        <v>10</v>
      </c>
    </row>
    <row r="186" spans="1:30" s="64" customFormat="1" ht="6.75" customHeight="1" x14ac:dyDescent="0.25">
      <c r="A186" s="49">
        <v>186</v>
      </c>
      <c r="B186" s="27" t="s">
        <v>830</v>
      </c>
      <c r="C186" s="62" t="s">
        <v>831</v>
      </c>
      <c r="D186" s="62" t="s">
        <v>832</v>
      </c>
      <c r="E186" s="62" t="s">
        <v>833</v>
      </c>
      <c r="F186" s="62" t="s">
        <v>817</v>
      </c>
      <c r="G186" s="44" t="s">
        <v>10</v>
      </c>
      <c r="H186" s="44" t="s">
        <v>10</v>
      </c>
      <c r="I186" s="44" t="s">
        <v>10</v>
      </c>
      <c r="J186" s="44" t="s">
        <v>10</v>
      </c>
      <c r="K186" s="44" t="s">
        <v>10</v>
      </c>
      <c r="L186" s="29" t="s">
        <v>831</v>
      </c>
      <c r="M186" s="29" t="s">
        <v>832</v>
      </c>
      <c r="N186" s="29" t="s">
        <v>834</v>
      </c>
      <c r="O186" s="29" t="s">
        <v>839</v>
      </c>
      <c r="P186" s="30" t="s">
        <v>818</v>
      </c>
      <c r="Q186" s="30" t="s">
        <v>819</v>
      </c>
      <c r="R186" s="30" t="s">
        <v>820</v>
      </c>
      <c r="S186" s="63" t="s">
        <v>10</v>
      </c>
      <c r="T186" s="30" t="s">
        <v>836</v>
      </c>
      <c r="U186" s="30" t="s">
        <v>837</v>
      </c>
      <c r="V186" s="56" t="s">
        <v>834</v>
      </c>
      <c r="W186" s="30" t="s">
        <v>78</v>
      </c>
      <c r="X186" s="45" t="str">
        <f t="shared" si="54"/>
        <v>Key-AMB-186</v>
      </c>
      <c r="Y186" s="61" t="s">
        <v>10</v>
      </c>
      <c r="Z186" s="61" t="s">
        <v>10</v>
      </c>
      <c r="AA186" s="61" t="s">
        <v>10</v>
      </c>
      <c r="AB186" s="61" t="s">
        <v>10</v>
      </c>
      <c r="AC186" s="61" t="s">
        <v>10</v>
      </c>
      <c r="AD186" s="61" t="s">
        <v>10</v>
      </c>
    </row>
    <row r="187" spans="1:30" s="64" customFormat="1" ht="6.75" customHeight="1" x14ac:dyDescent="0.25">
      <c r="A187" s="49">
        <v>187</v>
      </c>
      <c r="B187" s="27" t="s">
        <v>830</v>
      </c>
      <c r="C187" s="62" t="s">
        <v>831</v>
      </c>
      <c r="D187" s="62" t="s">
        <v>832</v>
      </c>
      <c r="E187" s="62" t="s">
        <v>833</v>
      </c>
      <c r="F187" s="62" t="s">
        <v>821</v>
      </c>
      <c r="G187" s="44" t="s">
        <v>10</v>
      </c>
      <c r="H187" s="44" t="s">
        <v>10</v>
      </c>
      <c r="I187" s="44" t="s">
        <v>10</v>
      </c>
      <c r="J187" s="44" t="s">
        <v>10</v>
      </c>
      <c r="K187" s="44" t="s">
        <v>10</v>
      </c>
      <c r="L187" s="29" t="s">
        <v>831</v>
      </c>
      <c r="M187" s="29" t="s">
        <v>832</v>
      </c>
      <c r="N187" s="29" t="s">
        <v>834</v>
      </c>
      <c r="O187" s="29" t="s">
        <v>840</v>
      </c>
      <c r="P187" s="30" t="s">
        <v>822</v>
      </c>
      <c r="Q187" s="30" t="s">
        <v>823</v>
      </c>
      <c r="R187" s="30" t="s">
        <v>824</v>
      </c>
      <c r="S187" s="63" t="s">
        <v>10</v>
      </c>
      <c r="T187" s="30" t="s">
        <v>836</v>
      </c>
      <c r="U187" s="30" t="s">
        <v>837</v>
      </c>
      <c r="V187" s="56" t="s">
        <v>834</v>
      </c>
      <c r="W187" s="30" t="s">
        <v>78</v>
      </c>
      <c r="X187" s="45" t="str">
        <f t="shared" si="54"/>
        <v>Key-AMB-187</v>
      </c>
      <c r="Y187" s="61" t="s">
        <v>10</v>
      </c>
      <c r="Z187" s="61" t="s">
        <v>10</v>
      </c>
      <c r="AA187" s="61" t="s">
        <v>10</v>
      </c>
      <c r="AB187" s="61" t="s">
        <v>10</v>
      </c>
      <c r="AC187" s="61" t="s">
        <v>10</v>
      </c>
      <c r="AD187" s="61" t="s">
        <v>10</v>
      </c>
    </row>
    <row r="188" spans="1:30" s="64" customFormat="1" ht="6.75" customHeight="1" x14ac:dyDescent="0.25">
      <c r="A188" s="49">
        <v>188</v>
      </c>
      <c r="B188" s="27" t="s">
        <v>830</v>
      </c>
      <c r="C188" s="62" t="s">
        <v>831</v>
      </c>
      <c r="D188" s="62" t="s">
        <v>841</v>
      </c>
      <c r="E188" s="62" t="s">
        <v>842</v>
      </c>
      <c r="F188" s="62" t="s">
        <v>825</v>
      </c>
      <c r="G188" s="44" t="s">
        <v>10</v>
      </c>
      <c r="H188" s="44" t="s">
        <v>10</v>
      </c>
      <c r="I188" s="44" t="s">
        <v>10</v>
      </c>
      <c r="J188" s="44" t="s">
        <v>10</v>
      </c>
      <c r="K188" s="44" t="s">
        <v>10</v>
      </c>
      <c r="L188" s="29" t="s">
        <v>831</v>
      </c>
      <c r="M188" s="29" t="s">
        <v>841</v>
      </c>
      <c r="N188" s="29" t="s">
        <v>843</v>
      </c>
      <c r="O188" s="29" t="s">
        <v>844</v>
      </c>
      <c r="P188" s="30" t="s">
        <v>826</v>
      </c>
      <c r="Q188" s="30" t="s">
        <v>827</v>
      </c>
      <c r="R188" s="30" t="s">
        <v>828</v>
      </c>
      <c r="S188" s="63" t="s">
        <v>10</v>
      </c>
      <c r="T188" s="30" t="s">
        <v>836</v>
      </c>
      <c r="U188" s="30" t="s">
        <v>845</v>
      </c>
      <c r="V188" s="56" t="s">
        <v>843</v>
      </c>
      <c r="W188" s="30" t="s">
        <v>78</v>
      </c>
      <c r="X188" s="45" t="str">
        <f t="shared" si="54"/>
        <v>Key-AMB-188</v>
      </c>
      <c r="Y188" s="61" t="s">
        <v>10</v>
      </c>
      <c r="Z188" s="61" t="s">
        <v>10</v>
      </c>
      <c r="AA188" s="61" t="s">
        <v>10</v>
      </c>
      <c r="AB188" s="61" t="s">
        <v>10</v>
      </c>
      <c r="AC188" s="61" t="s">
        <v>10</v>
      </c>
      <c r="AD188" s="61" t="s">
        <v>10</v>
      </c>
    </row>
  </sheetData>
  <phoneticPr fontId="1" type="noConversion"/>
  <conditionalFormatting sqref="B172:E183">
    <cfRule type="cellIs" dxfId="111" priority="166" operator="equal">
      <formula>"null"</formula>
    </cfRule>
  </conditionalFormatting>
  <conditionalFormatting sqref="D2:F9 L2:P9">
    <cfRule type="cellIs" dxfId="110" priority="158" operator="equal">
      <formula>"null"</formula>
    </cfRule>
  </conditionalFormatting>
  <conditionalFormatting sqref="D54:F82">
    <cfRule type="cellIs" dxfId="109" priority="21" operator="equal">
      <formula>"null"</formula>
    </cfRule>
  </conditionalFormatting>
  <conditionalFormatting sqref="D83:F88">
    <cfRule type="cellIs" dxfId="108" priority="13" operator="equal">
      <formula>"null"</formula>
    </cfRule>
  </conditionalFormatting>
  <conditionalFormatting sqref="D89:F102">
    <cfRule type="cellIs" dxfId="107" priority="5" operator="equal">
      <formula>"null"</formula>
    </cfRule>
  </conditionalFormatting>
  <conditionalFormatting sqref="E22:F28 D29:F48 D136:F159 K159:P159">
    <cfRule type="cellIs" dxfId="106" priority="260" operator="equal">
      <formula>"null"</formula>
    </cfRule>
  </conditionalFormatting>
  <conditionalFormatting sqref="E103:F119">
    <cfRule type="cellIs" dxfId="105" priority="34" operator="equal">
      <formula>"null"</formula>
    </cfRule>
  </conditionalFormatting>
  <conditionalFormatting sqref="E167:F171 L160:O166 L167:P171">
    <cfRule type="cellIs" dxfId="104" priority="239" operator="equal">
      <formula>"null"</formula>
    </cfRule>
  </conditionalFormatting>
  <conditionalFormatting sqref="F2:F9">
    <cfRule type="duplicateValues" dxfId="103" priority="161"/>
    <cfRule type="duplicateValues" dxfId="102" priority="160"/>
    <cfRule type="duplicateValues" dxfId="101" priority="159"/>
    <cfRule type="duplicateValues" dxfId="100" priority="163"/>
    <cfRule type="duplicateValues" dxfId="99" priority="162"/>
  </conditionalFormatting>
  <conditionalFormatting sqref="F10:F21">
    <cfRule type="duplicateValues" dxfId="98" priority="255"/>
    <cfRule type="duplicateValues" dxfId="97" priority="256"/>
    <cfRule type="duplicateValues" dxfId="96" priority="257"/>
    <cfRule type="duplicateValues" dxfId="95" priority="258"/>
    <cfRule type="duplicateValues" dxfId="94" priority="259"/>
  </conditionalFormatting>
  <conditionalFormatting sqref="F22:F48">
    <cfRule type="duplicateValues" dxfId="93" priority="375"/>
    <cfRule type="duplicateValues" dxfId="92" priority="374"/>
    <cfRule type="duplicateValues" dxfId="91" priority="373"/>
    <cfRule type="duplicateValues" dxfId="90" priority="376"/>
  </conditionalFormatting>
  <conditionalFormatting sqref="F49:F69">
    <cfRule type="duplicateValues" dxfId="89" priority="50"/>
    <cfRule type="duplicateValues" dxfId="88" priority="49"/>
    <cfRule type="duplicateValues" dxfId="87" priority="48"/>
    <cfRule type="duplicateValues" dxfId="86" priority="47"/>
    <cfRule type="duplicateValues" dxfId="85" priority="46"/>
  </conditionalFormatting>
  <conditionalFormatting sqref="F70:F75">
    <cfRule type="duplicateValues" dxfId="84" priority="24"/>
    <cfRule type="duplicateValues" dxfId="83" priority="26"/>
    <cfRule type="duplicateValues" dxfId="82" priority="27"/>
    <cfRule type="duplicateValues" dxfId="81" priority="25"/>
    <cfRule type="duplicateValues" dxfId="80" priority="20"/>
    <cfRule type="duplicateValues" dxfId="79" priority="22"/>
    <cfRule type="duplicateValues" dxfId="78" priority="23"/>
  </conditionalFormatting>
  <conditionalFormatting sqref="F76:F82 F103:F119">
    <cfRule type="duplicateValues" dxfId="77" priority="42"/>
    <cfRule type="duplicateValues" dxfId="76" priority="43"/>
    <cfRule type="duplicateValues" dxfId="75" priority="44"/>
    <cfRule type="duplicateValues" dxfId="74" priority="45"/>
    <cfRule type="duplicateValues" dxfId="73" priority="40"/>
    <cfRule type="duplicateValues" dxfId="72" priority="41"/>
  </conditionalFormatting>
  <conditionalFormatting sqref="F76:F82 F103:F135">
    <cfRule type="duplicateValues" dxfId="71" priority="443"/>
  </conditionalFormatting>
  <conditionalFormatting sqref="F83:F88">
    <cfRule type="duplicateValues" dxfId="70" priority="19"/>
    <cfRule type="duplicateValues" dxfId="69" priority="18"/>
    <cfRule type="duplicateValues" dxfId="68" priority="17"/>
    <cfRule type="duplicateValues" dxfId="67" priority="14"/>
    <cfRule type="duplicateValues" dxfId="66" priority="12"/>
    <cfRule type="duplicateValues" dxfId="65" priority="15"/>
    <cfRule type="duplicateValues" dxfId="64" priority="16"/>
  </conditionalFormatting>
  <conditionalFormatting sqref="F89:F102">
    <cfRule type="duplicateValues" dxfId="63" priority="9"/>
    <cfRule type="duplicateValues" dxfId="62" priority="11"/>
    <cfRule type="duplicateValues" dxfId="61" priority="10"/>
    <cfRule type="duplicateValues" dxfId="60" priority="8"/>
    <cfRule type="duplicateValues" dxfId="59" priority="7"/>
    <cfRule type="duplicateValues" dxfId="58" priority="6"/>
    <cfRule type="duplicateValues" dxfId="57" priority="4"/>
  </conditionalFormatting>
  <conditionalFormatting sqref="F120:F135">
    <cfRule type="duplicateValues" dxfId="56" priority="450"/>
    <cfRule type="duplicateValues" dxfId="55" priority="446"/>
    <cfRule type="duplicateValues" dxfId="54" priority="447"/>
    <cfRule type="duplicateValues" dxfId="53" priority="448"/>
    <cfRule type="duplicateValues" dxfId="52" priority="449"/>
  </conditionalFormatting>
  <conditionalFormatting sqref="F136:F159 F2:F48">
    <cfRule type="duplicateValues" dxfId="51" priority="270"/>
  </conditionalFormatting>
  <conditionalFormatting sqref="F136:F159 F22:F48">
    <cfRule type="duplicateValues" dxfId="50" priority="271"/>
  </conditionalFormatting>
  <conditionalFormatting sqref="F160:F166">
    <cfRule type="duplicateValues" dxfId="49" priority="249"/>
    <cfRule type="duplicateValues" dxfId="48" priority="252"/>
    <cfRule type="duplicateValues" dxfId="47" priority="254"/>
    <cfRule type="duplicateValues" dxfId="46" priority="248"/>
    <cfRule type="containsText" dxfId="45" priority="253" operator="containsText" text="null">
      <formula>NOT(ISERROR(SEARCH("null",F160)))</formula>
    </cfRule>
    <cfRule type="duplicateValues" dxfId="44" priority="250"/>
    <cfRule type="duplicateValues" dxfId="43" priority="251"/>
  </conditionalFormatting>
  <conditionalFormatting sqref="F167:F171">
    <cfRule type="duplicateValues" dxfId="42" priority="227"/>
    <cfRule type="duplicateValues" dxfId="41" priority="226"/>
    <cfRule type="duplicateValues" dxfId="40" priority="228"/>
    <cfRule type="duplicateValues" dxfId="39" priority="229"/>
    <cfRule type="duplicateValues" dxfId="38" priority="230"/>
    <cfRule type="duplicateValues" dxfId="37" priority="231"/>
  </conditionalFormatting>
  <conditionalFormatting sqref="F173:F174">
    <cfRule type="cellIs" dxfId="36" priority="176" operator="equal">
      <formula>"null"</formula>
    </cfRule>
  </conditionalFormatting>
  <conditionalFormatting sqref="F175">
    <cfRule type="duplicateValues" dxfId="35" priority="188"/>
  </conditionalFormatting>
  <conditionalFormatting sqref="F176:F177 F173:F174">
    <cfRule type="duplicateValues" dxfId="34" priority="304"/>
    <cfRule type="duplicateValues" dxfId="33" priority="303"/>
    <cfRule type="duplicateValues" dxfId="32" priority="302"/>
  </conditionalFormatting>
  <conditionalFormatting sqref="F178 F189:F1048576 F1:F48 F136:F172">
    <cfRule type="duplicateValues" dxfId="31" priority="224"/>
  </conditionalFormatting>
  <conditionalFormatting sqref="F179:F180 F182:F183">
    <cfRule type="duplicateValues" dxfId="30" priority="184"/>
    <cfRule type="duplicateValues" dxfId="29" priority="183"/>
    <cfRule type="duplicateValues" dxfId="28" priority="182"/>
  </conditionalFormatting>
  <conditionalFormatting sqref="F179:F180">
    <cfRule type="cellIs" dxfId="27" priority="181" operator="equal">
      <formula>"null"</formula>
    </cfRule>
  </conditionalFormatting>
  <conditionalFormatting sqref="F181">
    <cfRule type="duplicateValues" dxfId="26" priority="180"/>
  </conditionalFormatting>
  <conditionalFormatting sqref="F182:F183 L172:Q183 T172:V183 F176:F177">
    <cfRule type="cellIs" dxfId="25" priority="221" operator="equal">
      <formula>"null"</formula>
    </cfRule>
  </conditionalFormatting>
  <conditionalFormatting sqref="F184:F188">
    <cfRule type="duplicateValues" dxfId="24" priority="102"/>
    <cfRule type="duplicateValues" dxfId="23" priority="101"/>
  </conditionalFormatting>
  <conditionalFormatting sqref="L136:P158">
    <cfRule type="cellIs" dxfId="22" priority="222" operator="equal">
      <formula>"null"</formula>
    </cfRule>
  </conditionalFormatting>
  <conditionalFormatting sqref="P21">
    <cfRule type="cellIs" dxfId="21" priority="238" operator="equal">
      <formula>"null"</formula>
    </cfRule>
  </conditionalFormatting>
  <conditionalFormatting sqref="P130:P135">
    <cfRule type="duplicateValues" dxfId="20" priority="33"/>
    <cfRule type="duplicateValues" dxfId="19" priority="32"/>
    <cfRule type="duplicateValues" dxfId="18" priority="31"/>
    <cfRule type="duplicateValues" dxfId="17" priority="29"/>
    <cfRule type="duplicateValues" dxfId="16" priority="30"/>
  </conditionalFormatting>
  <conditionalFormatting sqref="Q51">
    <cfRule type="cellIs" dxfId="15" priority="1" operator="equal">
      <formula>"null"</formula>
    </cfRule>
  </conditionalFormatting>
  <conditionalFormatting sqref="R1:R49 A2:B2 B3:B171 A3:A188 L22:P119 AE22:XFD119 Y29:Y159 D49:F53 R51:R183 D103:D135">
    <cfRule type="cellIs" dxfId="14" priority="3" operator="equal">
      <formula>"null"</formula>
    </cfRule>
  </conditionalFormatting>
  <conditionalFormatting sqref="Y2:Y9">
    <cfRule type="cellIs" dxfId="13" priority="157" operator="equal">
      <formula>"null"</formula>
    </cfRule>
  </conditionalFormatting>
  <conditionalFormatting sqref="Y160:Y166">
    <cfRule type="containsText" dxfId="12" priority="246" operator="containsText" text="null">
      <formula>NOT(ISERROR(SEARCH("null",Y160)))</formula>
    </cfRule>
    <cfRule type="duplicateValues" dxfId="11" priority="245"/>
    <cfRule type="duplicateValues" dxfId="10" priority="244"/>
    <cfRule type="duplicateValues" dxfId="9" priority="243"/>
    <cfRule type="duplicateValues" dxfId="8" priority="242"/>
    <cfRule type="duplicateValues" dxfId="7" priority="241"/>
    <cfRule type="duplicateValues" dxfId="6" priority="247"/>
  </conditionalFormatting>
  <conditionalFormatting sqref="Y167:Y171 Y175">
    <cfRule type="cellIs" dxfId="5" priority="186" operator="equal">
      <formula>"null"</formula>
    </cfRule>
  </conditionalFormatting>
  <conditionalFormatting sqref="Y177 Y181">
    <cfRule type="cellIs" dxfId="4" priority="120" operator="equal">
      <formula>"null"</formula>
    </cfRule>
  </conditionalFormatting>
  <conditionalFormatting sqref="Y183">
    <cfRule type="cellIs" dxfId="3" priority="165" operator="equal">
      <formula>"null"</formula>
    </cfRule>
  </conditionalFormatting>
  <conditionalFormatting sqref="AE2:XFD9 AE136:XFD159 AE167:XFD171 AE173:XFD174 AE176:XFD177 AE181:XFD183">
    <cfRule type="cellIs" dxfId="2" priority="125" operator="equal">
      <formula>"null"</formula>
    </cfRule>
  </conditionalFormatting>
  <pageMargins left="0.51180555555555596" right="0.51180555555555596" top="0.78749999999999998" bottom="0.78749999999999998" header="0.511811023622047" footer="0.511811023622047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3"/>
  <dimension ref="A1:U2"/>
  <sheetViews>
    <sheetView zoomScale="180" zoomScaleNormal="180" workbookViewId="0">
      <selection activeCell="K16" sqref="K16"/>
    </sheetView>
  </sheetViews>
  <sheetFormatPr defaultColWidth="11.140625" defaultRowHeight="8.25" x14ac:dyDescent="0.15"/>
  <cols>
    <col min="1" max="1" width="1.28515625" style="9" bestFit="1" customWidth="1"/>
    <col min="2" max="10" width="5.140625" style="10" bestFit="1" customWidth="1"/>
    <col min="11" max="21" width="5.5703125" style="8" bestFit="1" customWidth="1"/>
    <col min="22" max="16384" width="11.140625" style="8"/>
  </cols>
  <sheetData>
    <row r="1" spans="1:21" s="4" customFormat="1" ht="16.5" x14ac:dyDescent="0.15">
      <c r="A1" s="2" t="s">
        <v>12</v>
      </c>
      <c r="B1" s="3" t="s">
        <v>13</v>
      </c>
      <c r="C1" s="3" t="s">
        <v>14</v>
      </c>
      <c r="D1" s="3" t="s">
        <v>15</v>
      </c>
      <c r="E1" s="3" t="s">
        <v>16</v>
      </c>
      <c r="F1" s="3" t="s">
        <v>17</v>
      </c>
      <c r="G1" s="3" t="s">
        <v>18</v>
      </c>
      <c r="H1" s="3" t="s">
        <v>19</v>
      </c>
      <c r="I1" s="3" t="s">
        <v>20</v>
      </c>
      <c r="J1" s="3" t="s">
        <v>21</v>
      </c>
      <c r="K1" s="3" t="s">
        <v>22</v>
      </c>
      <c r="L1" s="3" t="s">
        <v>23</v>
      </c>
      <c r="M1" s="3" t="s">
        <v>24</v>
      </c>
      <c r="N1" s="3" t="s">
        <v>25</v>
      </c>
      <c r="O1" s="3" t="s">
        <v>26</v>
      </c>
      <c r="P1" s="3" t="s">
        <v>27</v>
      </c>
      <c r="Q1" s="3" t="s">
        <v>28</v>
      </c>
      <c r="R1" s="3" t="s">
        <v>29</v>
      </c>
      <c r="S1" s="3" t="s">
        <v>30</v>
      </c>
      <c r="T1" s="3" t="s">
        <v>31</v>
      </c>
      <c r="U1" s="5" t="s">
        <v>32</v>
      </c>
    </row>
    <row r="2" spans="1:21" s="4" customFormat="1" ht="8.25" customHeight="1" x14ac:dyDescent="0.15">
      <c r="A2" s="6">
        <v>2</v>
      </c>
      <c r="B2" s="7" t="s">
        <v>10</v>
      </c>
      <c r="C2" s="7" t="s">
        <v>10</v>
      </c>
      <c r="D2" s="7" t="s">
        <v>10</v>
      </c>
      <c r="E2" s="7" t="s">
        <v>10</v>
      </c>
      <c r="F2" s="7" t="s">
        <v>10</v>
      </c>
      <c r="G2" s="7" t="s">
        <v>10</v>
      </c>
      <c r="H2" s="7" t="s">
        <v>10</v>
      </c>
      <c r="I2" s="7" t="s">
        <v>10</v>
      </c>
      <c r="J2" s="7" t="s">
        <v>10</v>
      </c>
      <c r="K2" s="7" t="s">
        <v>10</v>
      </c>
      <c r="L2" s="7" t="s">
        <v>10</v>
      </c>
      <c r="M2" s="7" t="s">
        <v>10</v>
      </c>
      <c r="N2" s="7" t="s">
        <v>10</v>
      </c>
      <c r="O2" s="7" t="s">
        <v>10</v>
      </c>
      <c r="P2" s="7" t="s">
        <v>10</v>
      </c>
      <c r="Q2" s="7" t="s">
        <v>10</v>
      </c>
      <c r="R2" s="7" t="s">
        <v>10</v>
      </c>
      <c r="S2" s="7" t="s">
        <v>10</v>
      </c>
      <c r="T2" s="7" t="s">
        <v>10</v>
      </c>
      <c r="U2" s="7" t="s">
        <v>10</v>
      </c>
    </row>
  </sheetData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99E44-CC41-4C47-93B0-FF411236635D}">
  <sheetPr codeName="Planilha4"/>
  <dimension ref="A1:E2"/>
  <sheetViews>
    <sheetView zoomScale="250" zoomScaleNormal="250" workbookViewId="0">
      <pane ySplit="1" topLeftCell="A2" activePane="bottomLeft" state="frozen"/>
      <selection pane="bottomLeft" activeCell="E2" sqref="E2"/>
    </sheetView>
  </sheetViews>
  <sheetFormatPr defaultRowHeight="8.4499999999999993" customHeight="1" x14ac:dyDescent="0.25"/>
  <cols>
    <col min="1" max="1" width="1.42578125" bestFit="1" customWidth="1"/>
    <col min="2" max="2" width="3.7109375" bestFit="1" customWidth="1"/>
    <col min="3" max="5" width="6.7109375" bestFit="1" customWidth="1"/>
  </cols>
  <sheetData>
    <row r="1" spans="1:5" ht="18" customHeight="1" x14ac:dyDescent="0.25">
      <c r="A1" s="11">
        <v>1</v>
      </c>
      <c r="B1" s="12" t="s">
        <v>65</v>
      </c>
      <c r="C1" s="12" t="s">
        <v>70</v>
      </c>
      <c r="D1" s="12" t="s">
        <v>70</v>
      </c>
      <c r="E1" s="12" t="s">
        <v>70</v>
      </c>
    </row>
    <row r="2" spans="1:5" ht="8.4499999999999993" customHeight="1" x14ac:dyDescent="0.25">
      <c r="A2" s="22">
        <v>2</v>
      </c>
      <c r="B2" s="1" t="s">
        <v>10</v>
      </c>
      <c r="C2" s="1" t="s">
        <v>10</v>
      </c>
      <c r="D2" s="1" t="s">
        <v>10</v>
      </c>
      <c r="E2" s="1" t="s">
        <v>10</v>
      </c>
    </row>
  </sheetData>
  <conditionalFormatting sqref="A1">
    <cfRule type="cellIs" dxfId="1" priority="1" operator="equal">
      <formula>"null"</formula>
    </cfRule>
  </conditionalFormatting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4F343-F8A9-4565-8E75-460BD2B52D7E}">
  <sheetPr codeName="Planilha5"/>
  <dimension ref="A1:O2"/>
  <sheetViews>
    <sheetView zoomScale="280" zoomScaleNormal="280" workbookViewId="0">
      <pane ySplit="1" topLeftCell="A2" activePane="bottomLeft" state="frozen"/>
      <selection pane="bottomLeft" activeCell="B3" sqref="B3"/>
    </sheetView>
  </sheetViews>
  <sheetFormatPr defaultColWidth="9.28515625" defaultRowHeight="7.35" customHeight="1" x14ac:dyDescent="0.25"/>
  <cols>
    <col min="1" max="1" width="1.7109375" style="55" bestFit="1" customWidth="1"/>
    <col min="2" max="2" width="4.5703125" style="36" bestFit="1" customWidth="1"/>
    <col min="3" max="3" width="5.28515625" style="34" customWidth="1"/>
    <col min="4" max="4" width="2.42578125" style="34" bestFit="1" customWidth="1"/>
    <col min="5" max="5" width="1.85546875" style="34" bestFit="1" customWidth="1"/>
    <col min="6" max="6" width="2.42578125" style="34" bestFit="1" customWidth="1"/>
    <col min="7" max="7" width="1.85546875" style="34" bestFit="1" customWidth="1"/>
    <col min="8" max="8" width="2.42578125" style="34" bestFit="1" customWidth="1"/>
    <col min="9" max="9" width="1.85546875" style="34" bestFit="1" customWidth="1"/>
    <col min="10" max="10" width="2.5703125" style="34" bestFit="1" customWidth="1"/>
    <col min="11" max="11" width="5.85546875" style="34" customWidth="1"/>
    <col min="12" max="12" width="2.42578125" style="34" bestFit="1" customWidth="1"/>
    <col min="13" max="13" width="4.5703125" style="34" customWidth="1"/>
    <col min="14" max="14" width="4.140625" style="34" bestFit="1" customWidth="1"/>
    <col min="15" max="15" width="16.140625" style="34" customWidth="1"/>
    <col min="16" max="16384" width="9.28515625" style="34"/>
  </cols>
  <sheetData>
    <row r="1" spans="1:15" ht="20.65" customHeight="1" x14ac:dyDescent="0.25">
      <c r="A1" s="53" t="s">
        <v>11</v>
      </c>
      <c r="B1" s="19" t="s">
        <v>409</v>
      </c>
      <c r="C1" s="19" t="s">
        <v>65</v>
      </c>
      <c r="D1" s="19" t="s">
        <v>66</v>
      </c>
      <c r="E1" s="19" t="s">
        <v>69</v>
      </c>
      <c r="F1" s="19" t="s">
        <v>66</v>
      </c>
      <c r="G1" s="19" t="s">
        <v>69</v>
      </c>
      <c r="H1" s="19" t="s">
        <v>66</v>
      </c>
      <c r="I1" s="19" t="s">
        <v>69</v>
      </c>
      <c r="J1" s="21" t="s">
        <v>66</v>
      </c>
      <c r="K1" s="19" t="s">
        <v>69</v>
      </c>
      <c r="L1" s="19" t="s">
        <v>66</v>
      </c>
      <c r="M1" s="19" t="s">
        <v>69</v>
      </c>
      <c r="N1" s="19" t="s">
        <v>66</v>
      </c>
      <c r="O1" s="19" t="s">
        <v>69</v>
      </c>
    </row>
    <row r="2" spans="1:15" ht="7.35" customHeight="1" x14ac:dyDescent="0.25">
      <c r="A2" s="54">
        <v>2</v>
      </c>
      <c r="B2" s="35" t="s">
        <v>944</v>
      </c>
      <c r="C2" s="28" t="s">
        <v>71</v>
      </c>
      <c r="D2" s="32" t="s">
        <v>10</v>
      </c>
      <c r="E2" s="33" t="s">
        <v>10</v>
      </c>
      <c r="F2" s="32" t="s">
        <v>10</v>
      </c>
      <c r="G2" s="33" t="s">
        <v>10</v>
      </c>
      <c r="H2" s="32" t="s">
        <v>10</v>
      </c>
      <c r="I2" s="33" t="s">
        <v>10</v>
      </c>
      <c r="J2" s="25" t="s">
        <v>68</v>
      </c>
      <c r="K2" s="20" t="s">
        <v>410</v>
      </c>
      <c r="L2" s="25" t="s">
        <v>72</v>
      </c>
      <c r="M2" s="20" t="s">
        <v>411</v>
      </c>
      <c r="N2" s="25" t="s">
        <v>67</v>
      </c>
      <c r="O2" s="20" t="s">
        <v>412</v>
      </c>
    </row>
  </sheetData>
  <phoneticPr fontId="1" type="noConversion"/>
  <conditionalFormatting sqref="B1:B1048576">
    <cfRule type="duplicateValues" dxfId="0" priority="51"/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411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Projeto</vt:lpstr>
      <vt:lpstr>Classes</vt:lpstr>
      <vt:lpstr>Disjunt</vt:lpstr>
      <vt:lpstr>Interop</vt:lpstr>
      <vt:lpstr>FatosIn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José Luis Menegotto</dc:creator>
  <dc:description/>
  <cp:lastModifiedBy>José Luis Menegotto</cp:lastModifiedBy>
  <cp:revision>26</cp:revision>
  <dcterms:created xsi:type="dcterms:W3CDTF">2024-12-02T13:09:25Z</dcterms:created>
  <dcterms:modified xsi:type="dcterms:W3CDTF">2026-09-11T12:57:33Z</dcterms:modified>
  <dc:language>pt-BR</dc:language>
</cp:coreProperties>
</file>