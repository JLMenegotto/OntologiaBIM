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Construtor_Onto\BIM\"/>
    </mc:Choice>
  </mc:AlternateContent>
  <xr:revisionPtr revIDLastSave="0" documentId="13_ncr:1_{4785289B-A6E6-4186-8404-DDC52FEBD042}" xr6:coauthVersionLast="47" xr6:coauthVersionMax="47" xr10:uidLastSave="{00000000-0000-0000-0000-000000000000}"/>
  <bookViews>
    <workbookView xWindow="-120" yWindow="-120" windowWidth="24240" windowHeight="13290" tabRatio="681" activeTab="1" xr2:uid="{EADD6BF3-7ABC-4ACF-B5B1-0F5DE0265229}"/>
  </bookViews>
  <sheets>
    <sheet name="Projeto" sheetId="16" r:id="rId1"/>
    <sheet name="Classes" sheetId="22" r:id="rId2"/>
    <sheet name="Disjunt" sheetId="18" r:id="rId3"/>
    <sheet name="Interop" sheetId="19" r:id="rId4"/>
    <sheet name="FatosIn" sheetId="20" r:id="rId5"/>
  </sheets>
  <definedNames>
    <definedName name="_xlnm._FilterDatabase" localSheetId="4" hidden="1">FatosIn!$I$1:$I$1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X63" i="22" l="1"/>
  <c r="V63" i="22"/>
  <c r="U63" i="22"/>
  <c r="T63" i="22"/>
  <c r="O63" i="22"/>
  <c r="N63" i="22"/>
  <c r="M63" i="22"/>
  <c r="L63" i="22"/>
  <c r="X19" i="22"/>
  <c r="X52" i="22"/>
  <c r="X53" i="22"/>
  <c r="X11" i="22"/>
  <c r="X3" i="22"/>
  <c r="X4" i="22"/>
  <c r="X5" i="22"/>
  <c r="X6" i="22"/>
  <c r="X7" i="22"/>
  <c r="X8" i="22"/>
  <c r="X9" i="22"/>
  <c r="X10" i="22"/>
  <c r="X12" i="22"/>
  <c r="X13" i="22"/>
  <c r="X14" i="22"/>
  <c r="X15" i="22"/>
  <c r="X16" i="22"/>
  <c r="X17" i="22"/>
  <c r="X18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9" i="22"/>
  <c r="X40" i="22"/>
  <c r="X41" i="22"/>
  <c r="X42" i="22"/>
  <c r="X45" i="22"/>
  <c r="X43" i="22"/>
  <c r="X44" i="22"/>
  <c r="X46" i="22"/>
  <c r="X47" i="22"/>
  <c r="X48" i="22"/>
  <c r="X50" i="22"/>
  <c r="X51" i="22"/>
  <c r="X54" i="22"/>
  <c r="X55" i="22"/>
  <c r="X56" i="22"/>
  <c r="X57" i="22"/>
  <c r="X58" i="22"/>
  <c r="X59" i="22"/>
  <c r="X60" i="22"/>
  <c r="X61" i="22"/>
  <c r="X62" i="22"/>
  <c r="X2" i="22"/>
  <c r="V62" i="22"/>
  <c r="U62" i="22"/>
  <c r="T62" i="22"/>
  <c r="O62" i="22"/>
  <c r="N62" i="22"/>
  <c r="M62" i="22"/>
  <c r="L62" i="22"/>
  <c r="V61" i="22"/>
  <c r="U61" i="22"/>
  <c r="T61" i="22"/>
  <c r="O61" i="22"/>
  <c r="N61" i="22"/>
  <c r="M61" i="22"/>
  <c r="L61" i="22"/>
  <c r="V60" i="22"/>
  <c r="U60" i="22"/>
  <c r="T60" i="22"/>
  <c r="O60" i="22"/>
  <c r="N60" i="22"/>
  <c r="M60" i="22"/>
  <c r="L60" i="22"/>
  <c r="V59" i="22"/>
  <c r="U59" i="22"/>
  <c r="T59" i="22"/>
  <c r="O59" i="22"/>
  <c r="N59" i="22"/>
  <c r="M59" i="22"/>
  <c r="L59" i="22"/>
  <c r="V58" i="22"/>
  <c r="U58" i="22"/>
  <c r="T58" i="22"/>
  <c r="O58" i="22"/>
  <c r="N58" i="22"/>
  <c r="M58" i="22"/>
  <c r="L58" i="22"/>
  <c r="V57" i="22"/>
  <c r="U57" i="22"/>
  <c r="T57" i="22"/>
  <c r="O57" i="22"/>
  <c r="N57" i="22"/>
  <c r="M57" i="22"/>
  <c r="L57" i="22"/>
  <c r="V56" i="22"/>
  <c r="U56" i="22"/>
  <c r="T56" i="22"/>
  <c r="O56" i="22"/>
  <c r="N56" i="22"/>
  <c r="M56" i="22"/>
  <c r="L56" i="22"/>
  <c r="V55" i="22"/>
  <c r="U55" i="22"/>
  <c r="T55" i="22"/>
  <c r="O55" i="22"/>
  <c r="N55" i="22"/>
  <c r="M55" i="22"/>
  <c r="L55" i="22"/>
  <c r="V54" i="22"/>
  <c r="U54" i="22"/>
  <c r="T54" i="22"/>
  <c r="O54" i="22"/>
  <c r="N54" i="22"/>
  <c r="M54" i="22"/>
  <c r="L54" i="22"/>
  <c r="V51" i="22"/>
  <c r="U51" i="22"/>
  <c r="T51" i="22"/>
  <c r="O51" i="22"/>
  <c r="N51" i="22"/>
  <c r="M51" i="22"/>
  <c r="L51" i="22"/>
  <c r="V50" i="22"/>
  <c r="U50" i="22"/>
  <c r="T50" i="22"/>
  <c r="O50" i="22"/>
  <c r="N50" i="22"/>
  <c r="M50" i="22"/>
  <c r="L50" i="22"/>
  <c r="V48" i="22"/>
  <c r="U48" i="22"/>
  <c r="T48" i="22"/>
  <c r="O48" i="22"/>
  <c r="N48" i="22"/>
  <c r="M48" i="22"/>
  <c r="L48" i="22"/>
  <c r="V47" i="22"/>
  <c r="U47" i="22"/>
  <c r="T47" i="22"/>
  <c r="O47" i="22"/>
  <c r="N47" i="22"/>
  <c r="M47" i="22"/>
  <c r="L47" i="22"/>
  <c r="V46" i="22"/>
  <c r="U46" i="22"/>
  <c r="T46" i="22"/>
  <c r="O46" i="22"/>
  <c r="N46" i="22"/>
  <c r="M46" i="22"/>
  <c r="L46" i="22"/>
  <c r="V44" i="22"/>
  <c r="U44" i="22"/>
  <c r="T44" i="22"/>
  <c r="O44" i="22"/>
  <c r="N44" i="22"/>
  <c r="M44" i="22"/>
  <c r="L44" i="22"/>
  <c r="V43" i="22"/>
  <c r="U43" i="22"/>
  <c r="T43" i="22"/>
  <c r="O43" i="22"/>
  <c r="N43" i="22"/>
  <c r="M43" i="22"/>
  <c r="L43" i="22"/>
  <c r="V45" i="22"/>
  <c r="U45" i="22"/>
  <c r="T45" i="22"/>
  <c r="O45" i="22"/>
  <c r="N45" i="22"/>
  <c r="M45" i="22"/>
  <c r="L45" i="22"/>
  <c r="V42" i="22"/>
  <c r="U42" i="22"/>
  <c r="T42" i="22"/>
  <c r="O42" i="22"/>
  <c r="N42" i="22"/>
  <c r="M42" i="22"/>
  <c r="L42" i="22"/>
  <c r="V41" i="22"/>
  <c r="U41" i="22"/>
  <c r="T41" i="22"/>
  <c r="O41" i="22"/>
  <c r="N41" i="22"/>
  <c r="M41" i="22"/>
  <c r="L41" i="22"/>
  <c r="V40" i="22"/>
  <c r="U40" i="22"/>
  <c r="T40" i="22"/>
  <c r="O40" i="22"/>
  <c r="N40" i="22"/>
  <c r="M40" i="22"/>
  <c r="L40" i="22"/>
  <c r="V49" i="22"/>
  <c r="U49" i="22"/>
  <c r="T49" i="22"/>
  <c r="O49" i="22"/>
  <c r="N49" i="22"/>
  <c r="M49" i="22"/>
  <c r="L49" i="22"/>
  <c r="V39" i="22"/>
  <c r="U39" i="22"/>
  <c r="T39" i="22"/>
  <c r="O39" i="22"/>
  <c r="N39" i="22"/>
  <c r="M39" i="22"/>
  <c r="L39" i="22"/>
  <c r="V38" i="22"/>
  <c r="U38" i="22"/>
  <c r="T38" i="22"/>
  <c r="O38" i="22"/>
  <c r="N38" i="22"/>
  <c r="M38" i="22"/>
  <c r="L38" i="22"/>
  <c r="V37" i="22"/>
  <c r="U37" i="22"/>
  <c r="T37" i="22"/>
  <c r="O37" i="22"/>
  <c r="N37" i="22"/>
  <c r="M37" i="22"/>
  <c r="L37" i="22"/>
  <c r="V36" i="22"/>
  <c r="U36" i="22"/>
  <c r="T36" i="22"/>
  <c r="O36" i="22"/>
  <c r="N36" i="22"/>
  <c r="M36" i="22"/>
  <c r="L36" i="22"/>
  <c r="V35" i="22"/>
  <c r="U35" i="22"/>
  <c r="T35" i="22"/>
  <c r="O35" i="22"/>
  <c r="N35" i="22"/>
  <c r="M35" i="22"/>
  <c r="L35" i="22"/>
  <c r="V34" i="22"/>
  <c r="U34" i="22"/>
  <c r="T34" i="22"/>
  <c r="O34" i="22"/>
  <c r="N34" i="22"/>
  <c r="M34" i="22"/>
  <c r="L34" i="22"/>
  <c r="V33" i="22"/>
  <c r="U33" i="22"/>
  <c r="T33" i="22"/>
  <c r="O33" i="22"/>
  <c r="N33" i="22"/>
  <c r="M33" i="22"/>
  <c r="L33" i="22"/>
  <c r="V32" i="22"/>
  <c r="U32" i="22"/>
  <c r="T32" i="22"/>
  <c r="O32" i="22"/>
  <c r="N32" i="22"/>
  <c r="M32" i="22"/>
  <c r="L32" i="22"/>
  <c r="V31" i="22"/>
  <c r="U31" i="22"/>
  <c r="T31" i="22"/>
  <c r="O31" i="22"/>
  <c r="N31" i="22"/>
  <c r="M31" i="22"/>
  <c r="L31" i="22"/>
  <c r="V30" i="22"/>
  <c r="U30" i="22"/>
  <c r="T30" i="22"/>
  <c r="O30" i="22"/>
  <c r="N30" i="22"/>
  <c r="M30" i="22"/>
  <c r="L30" i="22"/>
  <c r="V29" i="22"/>
  <c r="U29" i="22"/>
  <c r="T29" i="22"/>
  <c r="O29" i="22"/>
  <c r="N29" i="22"/>
  <c r="M29" i="22"/>
  <c r="L29" i="22"/>
  <c r="V28" i="22"/>
  <c r="U28" i="22"/>
  <c r="T28" i="22"/>
  <c r="O28" i="22"/>
  <c r="N28" i="22"/>
  <c r="M28" i="22"/>
  <c r="L28" i="22"/>
  <c r="V27" i="22"/>
  <c r="U27" i="22"/>
  <c r="T27" i="22"/>
  <c r="O27" i="22"/>
  <c r="N27" i="22"/>
  <c r="M27" i="22"/>
  <c r="L27" i="22"/>
  <c r="V26" i="22"/>
  <c r="U26" i="22"/>
  <c r="T26" i="22"/>
  <c r="O26" i="22"/>
  <c r="N26" i="22"/>
  <c r="M26" i="22"/>
  <c r="L26" i="22"/>
  <c r="V25" i="22"/>
  <c r="U25" i="22"/>
  <c r="T25" i="22"/>
  <c r="O25" i="22"/>
  <c r="N25" i="22"/>
  <c r="M25" i="22"/>
  <c r="L25" i="22"/>
  <c r="V24" i="22"/>
  <c r="U24" i="22"/>
  <c r="T24" i="22"/>
  <c r="O24" i="22"/>
  <c r="N24" i="22"/>
  <c r="M24" i="22"/>
  <c r="L24" i="22"/>
  <c r="V23" i="22"/>
  <c r="U23" i="22"/>
  <c r="T23" i="22"/>
  <c r="O23" i="22"/>
  <c r="N23" i="22"/>
  <c r="M23" i="22"/>
  <c r="L23" i="22"/>
  <c r="V22" i="22"/>
  <c r="U22" i="22"/>
  <c r="T22" i="22"/>
  <c r="O22" i="22"/>
  <c r="N22" i="22"/>
  <c r="M22" i="22"/>
  <c r="L22" i="22"/>
  <c r="V21" i="22"/>
  <c r="U21" i="22"/>
  <c r="T21" i="22"/>
  <c r="O21" i="22"/>
  <c r="N21" i="22"/>
  <c r="M21" i="22"/>
  <c r="L21" i="22"/>
  <c r="V20" i="22"/>
  <c r="U20" i="22"/>
  <c r="T20" i="22"/>
  <c r="O20" i="22"/>
  <c r="N20" i="22"/>
  <c r="M20" i="22"/>
  <c r="L20" i="22"/>
  <c r="V18" i="22"/>
  <c r="U18" i="22"/>
  <c r="T18" i="22"/>
  <c r="O18" i="22"/>
  <c r="N18" i="22"/>
  <c r="M18" i="22"/>
  <c r="L18" i="22"/>
  <c r="V17" i="22"/>
  <c r="U17" i="22"/>
  <c r="T17" i="22"/>
  <c r="O17" i="22"/>
  <c r="N17" i="22"/>
  <c r="M17" i="22"/>
  <c r="L17" i="22"/>
  <c r="V16" i="22"/>
  <c r="U16" i="22"/>
  <c r="T16" i="22"/>
  <c r="O16" i="22"/>
  <c r="N16" i="22"/>
  <c r="M16" i="22"/>
  <c r="L16" i="22"/>
  <c r="V15" i="22"/>
  <c r="U15" i="22"/>
  <c r="T15" i="22"/>
  <c r="O15" i="22"/>
  <c r="N15" i="22"/>
  <c r="M15" i="22"/>
  <c r="L15" i="22"/>
  <c r="V14" i="22"/>
  <c r="U14" i="22"/>
  <c r="T14" i="22"/>
  <c r="O14" i="22"/>
  <c r="N14" i="22"/>
  <c r="M14" i="22"/>
  <c r="L14" i="22"/>
  <c r="V13" i="22"/>
  <c r="U13" i="22"/>
  <c r="T13" i="22"/>
  <c r="O13" i="22"/>
  <c r="N13" i="22"/>
  <c r="M13" i="22"/>
  <c r="L13" i="22"/>
  <c r="V12" i="22"/>
  <c r="U12" i="22"/>
  <c r="T12" i="22"/>
  <c r="O12" i="22"/>
  <c r="N12" i="22"/>
  <c r="M12" i="22"/>
  <c r="L12" i="22"/>
  <c r="V10" i="22"/>
  <c r="U10" i="22"/>
  <c r="T10" i="22"/>
  <c r="O10" i="22"/>
  <c r="N10" i="22"/>
  <c r="M10" i="22"/>
  <c r="L10" i="22"/>
  <c r="V9" i="22"/>
  <c r="U9" i="22"/>
  <c r="T9" i="22"/>
  <c r="O9" i="22"/>
  <c r="N9" i="22"/>
  <c r="M9" i="22"/>
  <c r="L9" i="22"/>
  <c r="V8" i="22"/>
  <c r="U8" i="22"/>
  <c r="T8" i="22"/>
  <c r="O8" i="22"/>
  <c r="N8" i="22"/>
  <c r="M8" i="22"/>
  <c r="L8" i="22"/>
  <c r="V7" i="22"/>
  <c r="U7" i="22"/>
  <c r="T7" i="22"/>
  <c r="O7" i="22"/>
  <c r="N7" i="22"/>
  <c r="M7" i="22"/>
  <c r="L7" i="22"/>
  <c r="V6" i="22"/>
  <c r="U6" i="22"/>
  <c r="T6" i="22"/>
  <c r="O6" i="22"/>
  <c r="N6" i="22"/>
  <c r="M6" i="22"/>
  <c r="L6" i="22"/>
  <c r="V5" i="22"/>
  <c r="U5" i="22"/>
  <c r="T5" i="22"/>
  <c r="O5" i="22"/>
  <c r="N5" i="22"/>
  <c r="M5" i="22"/>
  <c r="L5" i="22"/>
  <c r="V4" i="22"/>
  <c r="U4" i="22"/>
  <c r="T4" i="22"/>
  <c r="O4" i="22"/>
  <c r="N4" i="22"/>
  <c r="M4" i="22"/>
  <c r="L4" i="22"/>
  <c r="V3" i="22"/>
  <c r="U3" i="22"/>
  <c r="T3" i="22"/>
  <c r="O3" i="22"/>
  <c r="N3" i="22"/>
  <c r="M3" i="22"/>
  <c r="L3" i="22"/>
  <c r="V11" i="22"/>
  <c r="U11" i="22"/>
  <c r="T11" i="22"/>
  <c r="O11" i="22"/>
  <c r="N11" i="22"/>
  <c r="M11" i="22"/>
  <c r="L11" i="22"/>
  <c r="V53" i="22"/>
  <c r="U53" i="22"/>
  <c r="T53" i="22"/>
  <c r="O53" i="22"/>
  <c r="N53" i="22"/>
  <c r="M53" i="22"/>
  <c r="L53" i="22"/>
  <c r="V52" i="22"/>
  <c r="U52" i="22"/>
  <c r="T52" i="22"/>
  <c r="O52" i="22"/>
  <c r="N52" i="22"/>
  <c r="M52" i="22"/>
  <c r="L52" i="22"/>
  <c r="V19" i="22"/>
  <c r="U19" i="22"/>
  <c r="T19" i="22"/>
  <c r="O19" i="22"/>
  <c r="N19" i="22"/>
  <c r="M19" i="22"/>
  <c r="L19" i="22"/>
  <c r="V2" i="22"/>
  <c r="U2" i="22"/>
  <c r="T2" i="22"/>
  <c r="O2" i="22"/>
  <c r="N2" i="22"/>
  <c r="M2" i="22"/>
  <c r="L2" i="22"/>
  <c r="R60" i="22"/>
  <c r="R26" i="22"/>
  <c r="Q15" i="22"/>
  <c r="Q30" i="22"/>
  <c r="R48" i="22"/>
  <c r="R13" i="22"/>
  <c r="Q40" i="22"/>
  <c r="Q4" i="22"/>
  <c r="R54" i="22"/>
  <c r="R16" i="22"/>
  <c r="Q54" i="22"/>
  <c r="Q16" i="22"/>
  <c r="R51" i="22"/>
  <c r="R15" i="22"/>
  <c r="R18" i="22"/>
  <c r="Q60" i="22"/>
  <c r="Q26" i="22"/>
  <c r="R43" i="22"/>
  <c r="Q37" i="22"/>
  <c r="R19" i="22"/>
  <c r="R47" i="22"/>
  <c r="Q47" i="22"/>
  <c r="Q12" i="22"/>
  <c r="R10" i="22"/>
  <c r="Q5" i="22"/>
  <c r="Q55" i="22"/>
  <c r="Q32" i="22"/>
  <c r="R30" i="22"/>
  <c r="Q43" i="22"/>
  <c r="R22" i="22"/>
  <c r="R56" i="22"/>
  <c r="R8" i="22"/>
  <c r="R12" i="22"/>
  <c r="R46" i="22"/>
  <c r="Q10" i="22"/>
  <c r="Q34" i="22"/>
  <c r="Q58" i="22"/>
  <c r="R50" i="22"/>
  <c r="R14" i="22"/>
  <c r="Q56" i="22"/>
  <c r="Q18" i="22"/>
  <c r="R40" i="22"/>
  <c r="R4" i="22"/>
  <c r="Q33" i="22"/>
  <c r="R2" i="22"/>
  <c r="R45" i="22"/>
  <c r="R7" i="22"/>
  <c r="Q45" i="22"/>
  <c r="Q7" i="22"/>
  <c r="R42" i="22"/>
  <c r="R6" i="22"/>
  <c r="R5" i="22"/>
  <c r="Q9" i="22"/>
  <c r="Q59" i="22"/>
  <c r="R36" i="22"/>
  <c r="Q36" i="22"/>
  <c r="Q51" i="22"/>
  <c r="Q46" i="22"/>
  <c r="Q17" i="22"/>
  <c r="Q39" i="22"/>
  <c r="R55" i="22"/>
  <c r="R23" i="22"/>
  <c r="R11" i="22"/>
  <c r="R44" i="22"/>
  <c r="R9" i="22"/>
  <c r="Q50" i="22"/>
  <c r="Q14" i="22"/>
  <c r="R37" i="22"/>
  <c r="Q52" i="22"/>
  <c r="Q29" i="22"/>
  <c r="Q35" i="22"/>
  <c r="R49" i="22"/>
  <c r="R3" i="22"/>
  <c r="Q49" i="22"/>
  <c r="Q57" i="22"/>
  <c r="R39" i="22"/>
  <c r="Q2" i="22"/>
  <c r="Q44" i="22"/>
  <c r="R33" i="22"/>
  <c r="R24" i="22"/>
  <c r="Q19" i="22"/>
  <c r="Q42" i="22"/>
  <c r="R38" i="22"/>
  <c r="R29" i="22"/>
  <c r="R32" i="22"/>
  <c r="R31" i="22"/>
  <c r="R17" i="22"/>
  <c r="R57" i="22"/>
  <c r="R41" i="22"/>
  <c r="Q27" i="22"/>
  <c r="R35" i="22"/>
  <c r="Q41" i="22"/>
  <c r="Q6" i="22"/>
  <c r="Q31" i="22"/>
  <c r="R20" i="22"/>
  <c r="Q8" i="22"/>
  <c r="R21" i="22"/>
  <c r="R34" i="22"/>
  <c r="R52" i="22"/>
  <c r="Q38" i="22"/>
  <c r="R59" i="22"/>
  <c r="R25" i="22"/>
  <c r="Q48" i="22"/>
  <c r="Q13" i="22"/>
  <c r="R62" i="22"/>
  <c r="R28" i="22"/>
  <c r="Q62" i="22"/>
  <c r="Q28" i="22"/>
  <c r="R61" i="22"/>
  <c r="R27" i="22"/>
  <c r="Q61" i="22"/>
  <c r="R58" i="22"/>
  <c r="Q11" i="22"/>
  <c r="R53" i="22"/>
  <c r="Q53" i="22"/>
  <c r="B23" i="16" l="1"/>
  <c r="B18" i="16" l="1"/>
  <c r="B6" i="16"/>
  <c r="B5" i="16"/>
  <c r="B24" i="16"/>
</calcChain>
</file>

<file path=xl/sharedStrings.xml><?xml version="1.0" encoding="utf-8"?>
<sst xmlns="http://schemas.openxmlformats.org/spreadsheetml/2006/main" count="1842" uniqueCount="340">
  <si>
    <t>Organização</t>
  </si>
  <si>
    <t>Valor</t>
  </si>
  <si>
    <t>null</t>
  </si>
  <si>
    <t>Chave</t>
  </si>
  <si>
    <t>Individuo</t>
  </si>
  <si>
    <t>0.Tipo</t>
  </si>
  <si>
    <t>0.Chave</t>
  </si>
  <si>
    <t>0.Valor</t>
  </si>
  <si>
    <t>Idioma</t>
  </si>
  <si>
    <t>OntologiaPrefixo</t>
  </si>
  <si>
    <t>bim:</t>
  </si>
  <si>
    <t>pt</t>
  </si>
  <si>
    <t>OntologiaTema</t>
  </si>
  <si>
    <t>RaizClass</t>
  </si>
  <si>
    <t>BIM</t>
  </si>
  <si>
    <t>RaizProp</t>
  </si>
  <si>
    <t>RaizData</t>
  </si>
  <si>
    <t>URI</t>
  </si>
  <si>
    <t>https://github.com/JLMenegotto/RepoOnto#</t>
  </si>
  <si>
    <t>Autor</t>
  </si>
  <si>
    <t>Prof. José Luis Menegotto DEG/POLI/UFRJ</t>
  </si>
  <si>
    <t>Escola Politécnica da UFRJ</t>
  </si>
  <si>
    <t>NormaNúmero</t>
  </si>
  <si>
    <t>-</t>
  </si>
  <si>
    <t>Edição</t>
  </si>
  <si>
    <t>ISBN</t>
  </si>
  <si>
    <t>NormaEscopo</t>
  </si>
  <si>
    <t>NormaReferência1</t>
  </si>
  <si>
    <t>NormaReferência2</t>
  </si>
  <si>
    <t>Observações</t>
  </si>
  <si>
    <t>DataHora</t>
  </si>
  <si>
    <t>Advertência1</t>
  </si>
  <si>
    <t>Algumas traduções podem precisar de revisão - Traducción al español incorporada</t>
  </si>
  <si>
    <t>Prédio</t>
  </si>
  <si>
    <t>Cidade</t>
  </si>
  <si>
    <t>Explicação</t>
  </si>
  <si>
    <t>Explicación</t>
  </si>
  <si>
    <t>es</t>
  </si>
  <si>
    <t>Explanation</t>
  </si>
  <si>
    <t>en</t>
  </si>
  <si>
    <t>00Raiz</t>
  </si>
  <si>
    <t>00Super
Class
2</t>
  </si>
  <si>
    <t>00Super
Class
3</t>
  </si>
  <si>
    <t>00Super
Class
4</t>
  </si>
  <si>
    <t>EquivalentTo: 
Raiz
Condições 
necessárias</t>
  </si>
  <si>
    <t>EquivalentTo: 
Classe2
Condições 
necessárias</t>
  </si>
  <si>
    <t>EquivalentTo: 
Classe3
Condições 
necessárias</t>
  </si>
  <si>
    <t>EquivalentTo: 
Classe4 
Condições 
necessárias</t>
  </si>
  <si>
    <t>EquivalentTo: 
Classe5
Condições 
necessárias</t>
  </si>
  <si>
    <t>Anotações 
de ajuda
Classe 2</t>
  </si>
  <si>
    <t>Anotações 
de ajuda
Classe 3</t>
  </si>
  <si>
    <t>Anotações 
de ajuda
Classe 4</t>
  </si>
  <si>
    <t>Anotações 
de ajuda
Classe 5</t>
  </si>
  <si>
    <t>000 Tradução Classe 5</t>
  </si>
  <si>
    <t>000 Traducción Classe 5</t>
  </si>
  <si>
    <t>Natureza</t>
  </si>
  <si>
    <t>Especie</t>
  </si>
  <si>
    <t>Tema</t>
  </si>
  <si>
    <t>Disciplina</t>
  </si>
  <si>
    <t>Key</t>
  </si>
  <si>
    <t>CategoriaRvt</t>
  </si>
  <si>
    <t>ClasseIfc</t>
  </si>
  <si>
    <t>ABNT</t>
  </si>
  <si>
    <t>000 Translate Classe 5</t>
  </si>
  <si>
    <t>Interoperabilidade</t>
  </si>
  <si>
    <t>00 Class
5</t>
  </si>
  <si>
    <t>1</t>
  </si>
  <si>
    <t>Disjunta 1</t>
  </si>
  <si>
    <t>Disjunta 2</t>
  </si>
  <si>
    <t>Disjunta 3</t>
  </si>
  <si>
    <t>Disjunta 4</t>
  </si>
  <si>
    <t>Disjunta 5</t>
  </si>
  <si>
    <t>Disjunta 6</t>
  </si>
  <si>
    <t>Disjunta 7</t>
  </si>
  <si>
    <t>Disjunta 8</t>
  </si>
  <si>
    <t>Disjunta 9</t>
  </si>
  <si>
    <t>Disjunta 10</t>
  </si>
  <si>
    <t>Disjunta 11</t>
  </si>
  <si>
    <t>Disjunta 12</t>
  </si>
  <si>
    <t>Disjunta 13</t>
  </si>
  <si>
    <t>Disjunta 14</t>
  </si>
  <si>
    <t>Disjunta 15</t>
  </si>
  <si>
    <t>Disjunta 16</t>
  </si>
  <si>
    <t>Disjunta 17</t>
  </si>
  <si>
    <t>Disjunta 18</t>
  </si>
  <si>
    <t>Disjunta 19</t>
  </si>
  <si>
    <t>Disjunta 20</t>
  </si>
  <si>
    <t>0-Classe Ifc</t>
  </si>
  <si>
    <t>0-Categoria Equivalente</t>
  </si>
  <si>
    <t>0-CategoriaEquivalente</t>
  </si>
  <si>
    <t>Link do Esquema</t>
  </si>
  <si>
    <t>Conceitos</t>
  </si>
  <si>
    <t>Esquemas</t>
  </si>
  <si>
    <t>AtributoIfc</t>
  </si>
  <si>
    <t>ParâmetroRvt</t>
  </si>
  <si>
    <t>Interop</t>
  </si>
  <si>
    <t>KML</t>
  </si>
  <si>
    <t>Elemento de estilização em KML. Agrupa propriedades de personalização gráfica como cores, transparências, tamanhos e ícones.</t>
  </si>
  <si>
    <t>Elemento de estilização em KML. Define a cor, opacidade e espessura das linhas.</t>
  </si>
  <si>
    <t>Elemento de estilização em KML. Define a cor e a escala do texto do rótulo do marcador.</t>
  </si>
  <si>
    <t>Elemento de estilização em KML. Personaliza o balão de informação/pop-up que abre ao clicar em um elemento (suporta tags HTML).</t>
  </si>
  <si>
    <t>Elemento de estilização em KML. Permite alternar a aparência de um elemento com base na ação do usuário (por exemplo, alterar o ícone quando o cursor passa por cima - hover).</t>
  </si>
  <si>
    <t>Elemento de animação em KML. Associa um elemento a um ponto específico no tempo (ex.: evento pontual).</t>
  </si>
  <si>
    <t>Elemento de visualização em KML. Define a posição exata e orientação da própria câmera no espaço tridimensional (latitude, longitude, altitude, rotação e inclinação).</t>
  </si>
  <si>
    <t>Elemento de visualização em KML. Define a visualização posicionando a câmera em relação a um ponto geográfico alvo (incluindo distância, inclinação e rumo).</t>
  </si>
  <si>
    <t>Elemento de animação em KML. Define um intervalo de tempo com data/hora de início (&lt;begin&gt;) e fim (&lt;end&gt;).</t>
  </si>
  <si>
    <t>Elemento de sobreposição em KML. Exibe uma imagem fixa na tela do aplicativo (como logotipos, legendas ou bússolas) independente da navegação do mapa.</t>
  </si>
  <si>
    <t>Elemento de sobreposição em KML. Associa uma fotografia a uma localização geográfica específica, permitindo navegação do tipo gigapixel ou visão panorâmica.</t>
  </si>
  <si>
    <t>Elemento de sobreposição em KML. Projeta uma imagem bidimensional diretamente sobre a superfície da Terra, alinhada por coordenadas geográficas de delimitação.</t>
  </si>
  <si>
    <t>Elemento de feição geográfica em KML. Define uma localização pontual no mapa por meio de coordenadas de longitude, latitude e, opcionalmente, altitude.</t>
  </si>
  <si>
    <t>Elemento de feição geográfica em KML. Define uma linha continuada por meio de uma sequência de coordenadas (útil para caminhos, rotas e rios).</t>
  </si>
  <si>
    <t>Elemento de feição geográfica em KML. Uma linha fechada e não auto-intersectante, usada principalmente para definir os limites de um polígono.</t>
  </si>
  <si>
    <t>Elemento de feição geográfica em KML. Define uma área delimitada por um limite externo (&lt;outerBoundaryIs&gt;) e, opcionalmente, limites internos (&lt;innerBoundaryIs&gt;) para criar buracos.</t>
  </si>
  <si>
    <t>Elemento de feição geográfica em KML. Container que agrupa várias geometrias sob um mesmo Placemark (por exemplo, um país composto por várias ilhas).</t>
  </si>
  <si>
    <t>Elemento de feição geográfica em KML. Permite inserir modelos 3D complexos (geralmente em formato COLLADA .dae) no mapa.</t>
  </si>
  <si>
    <t>Elemento de feição geográfica em KML. Define o elemento mais comum que representa uma feição geográfica individual e pode associar um nome, descrição, estilo e uma geometria.</t>
  </si>
  <si>
    <t>Elemento KML</t>
  </si>
  <si>
    <t>&lt;Document&gt;</t>
  </si>
  <si>
    <t>&lt;Folder&gt;</t>
  </si>
  <si>
    <t>&lt;Placemark&gt;</t>
  </si>
  <si>
    <t>&lt;Point&gt;</t>
  </si>
  <si>
    <t>&lt;LineString&gt;</t>
  </si>
  <si>
    <t>&lt;LinearRing&gt;</t>
  </si>
  <si>
    <t>&lt;Polygon&gt;</t>
  </si>
  <si>
    <t>&lt;MultiGeometry&gt;</t>
  </si>
  <si>
    <t>&lt;Model&gt;</t>
  </si>
  <si>
    <t>&lt;GroundOverlay&gt;</t>
  </si>
  <si>
    <t>&lt;ScreenOverlay&gt;</t>
  </si>
  <si>
    <t>&lt;PhotoOverlay&gt;</t>
  </si>
  <si>
    <t>&lt;Style&gt;</t>
  </si>
  <si>
    <t>&lt;LineStyle&gt;</t>
  </si>
  <si>
    <t>&lt;LabelStyle&gt;</t>
  </si>
  <si>
    <t>&lt;BalloonStyle&gt;</t>
  </si>
  <si>
    <t>&lt;StyleMap&gt;</t>
  </si>
  <si>
    <t>&lt;TimeStamp&gt;</t>
  </si>
  <si>
    <t>&lt;TimeSpan&gt;</t>
  </si>
  <si>
    <t>&lt;LookAt&gt;</t>
  </si>
  <si>
    <t>&lt;Camera&gt;</t>
  </si>
  <si>
    <t>&lt;Kml&gt;</t>
  </si>
  <si>
    <t>marcador</t>
  </si>
  <si>
    <t>Kml.Atributo</t>
  </si>
  <si>
    <t xml:space="preserve">Atributo para qualificar um elemento KML. </t>
  </si>
  <si>
    <t>Atributo para calificar un elemento KML.</t>
  </si>
  <si>
    <t>Kml.Lugar</t>
  </si>
  <si>
    <t>Kml.Estilo</t>
  </si>
  <si>
    <t>Kml.Camara</t>
  </si>
  <si>
    <t xml:space="preserve">Un elemento KML de nivel 0 (Document). </t>
  </si>
  <si>
    <t xml:space="preserve">Un elemento KML de nivel 1 (Folder). </t>
  </si>
  <si>
    <t xml:space="preserve">Un elemento KML de nivel 2 (Placemark). </t>
  </si>
  <si>
    <t>Modelo de informação KML</t>
  </si>
  <si>
    <t xml:space="preserve">Um elemento KML de nível 4 (&lt;Point&gt;, &lt;Polygon&gt;, &lt;Style&gt;). </t>
  </si>
  <si>
    <t xml:space="preserve">Um elemento KML de nível 0 Raiz (&lt;KML&gt;). </t>
  </si>
  <si>
    <t xml:space="preserve">Um elemento KML de nível 1 (&lt;Document&gt; e &lt;Folder&gt;). </t>
  </si>
  <si>
    <t xml:space="preserve">Um elemento KML de nível 2 (&lt;Placemark&gt;, &lt;GroundOverlay&gt;...). </t>
  </si>
  <si>
    <t xml:space="preserve">Um elemento KML de nível 3 (&lt;Point&gt;, &lt;Polygon&gt;, &lt;Style&gt;). </t>
  </si>
  <si>
    <t>Kml.Elemento.N0</t>
  </si>
  <si>
    <t>Kml.Elemento.N1</t>
  </si>
  <si>
    <t>Kml.Elemento.N2</t>
  </si>
  <si>
    <t>Kml.Elemento.N3</t>
  </si>
  <si>
    <t>Kml.Elemento.N4</t>
  </si>
  <si>
    <t>Kml.Elemento.N5</t>
  </si>
  <si>
    <t xml:space="preserve">Um elemento KML de nível 5 (&lt;outerBoundaryIs&gt;, &lt;LinearRing&gt;, &lt;coordinates&gt;). </t>
  </si>
  <si>
    <t>http://www.opengeospatial.org/standards/kml</t>
  </si>
  <si>
    <t>&lt;coordinates&gt;</t>
  </si>
  <si>
    <t>Elemento de coordenadas em KML. Coordenadas. X, Y, Z separadas por vírgula e coordenadas por espaços &lt;coordinates&gt;x1 , y1 , z1     x2 , y2 , z2     x3 , y3 , z3     x4 , y4 , z4&lt;/coordinates&gt;.</t>
  </si>
  <si>
    <t>Elemento de KML. Define a referência a um estilo já definido &lt;styleUrl&gt;#EstilodeLinha&lt;/styleUrl&gt;</t>
  </si>
  <si>
    <t>Elemento de KML. Define uma altitude &lt;altitude&gt;10.5&lt;/altitude&gt;</t>
  </si>
  <si>
    <t>Elemento de KML. Define uma cor &lt;color&gt;7f0000ff&lt;/color&gt;</t>
  </si>
  <si>
    <t>Elemento de KML. Define uma espessura &lt;width&gt;1&lt;/width&gt;</t>
  </si>
  <si>
    <t>Elemento de KML. Define um modo de visibilidade &lt;gx:labelVisibility&gt;  &lt;/gx:labelVisibility&gt;</t>
  </si>
  <si>
    <t>Elemento de KML. Define um valor de extrusão &lt;extrude&gt;1&lt;/extrude&gt;.</t>
  </si>
  <si>
    <t>Elemento de KML. Define um nome que pode ser de arquivo, lugar, etc. &lt;name&gt;Nome do elemento&lt;/name&gt;</t>
  </si>
  <si>
    <t>Elemento de KML. Define a longitude &lt;longitude&gt;-122.36415&lt;/longitude&gt;</t>
  </si>
  <si>
    <t>Elemento de KML. Define a latitude &lt;latitude&gt;-22.45&lt;/latitude&gt;</t>
  </si>
  <si>
    <t>Kml.Extrusão</t>
  </si>
  <si>
    <t>Kml.Nome</t>
  </si>
  <si>
    <t>Elemento de KML. Define a direction de azimute no sentido horário e em graus decimais (Norte = 0,  Leste = 90, Sul = 180, Oeste = 270). &lt;heading&gt;0&lt;/heading&gt;</t>
  </si>
  <si>
    <t>Elemento de KML. Define um momento que pode ser um ano, data ou horário. &lt;when&gt;2024-08-01&lt;/when&gt;</t>
  </si>
  <si>
    <t>Elemento de KML. Define a latitude do limite Norte de uma região &lt;north&gt;37.80005&lt;/north&gt;</t>
  </si>
  <si>
    <t>Elemento de KML. Define a latitude do limite Sul de uma região &lt;south&gt;37.50005&lt;/south&gt;</t>
  </si>
  <si>
    <t>Elemento de KML. Define a longitude do limite Leste de uma região &lt;east&gt;120.373033&lt;/east&gt;</t>
  </si>
  <si>
    <t>Elemento de KML. Define a longitude do limite Oeste de uma região &lt;west&gt;120.376033&lt;/west&gt;</t>
  </si>
  <si>
    <t>Elemento de KML. Define uma região com 4 limites &lt;LatLonBox&gt;&lt;north&gt;37.80005&lt;/north&gt; &lt;south&gt;37.50005&lt;/south&gt; &lt;east&gt;120.373033&lt;/east&gt; &lt;west&gt;120.376033&lt;/west&gt; &lt;rotation&gt;0&lt;/rotation&gt;&lt;/LatLonBox&gt;</t>
  </si>
  <si>
    <t>Elemento de KML. Define uma rotação &lt;rotation&gt;45&lt;/rotation&gt;</t>
  </si>
  <si>
    <t>Elemento de KML. Define um giro em torno do eixo Z &lt;roll&gt;0&lt;/roll&gt; não pode ser valor negativo.</t>
  </si>
  <si>
    <t>Elemento de KML. Define a inclinação em torno do eixo X &lt;tilt&gt;10.5&lt;/tilt&gt; Um valor 0 visualização é para baixo em direção à Terra. Valor 90 a visão é para o horizonte. Valor &gt; 90 indica a visualização aponta para cima. Os valores são sempre positivos.</t>
  </si>
  <si>
    <t>Elemento de KML. Define o modo da altitude &lt;altitudeMode&gt;absolute&lt;/altitudeMode&gt; (Valores possíveis: relativeToGround, clampToGround e absolute)</t>
  </si>
  <si>
    <t>&lt;LatLonBox&gt;</t>
  </si>
  <si>
    <t>&lt;north&gt;</t>
  </si>
  <si>
    <t>&lt;south&gt;</t>
  </si>
  <si>
    <t>&lt;east&gt;</t>
  </si>
  <si>
    <t>&lt;west&gt;</t>
  </si>
  <si>
    <t>&lt;rotation&gt;</t>
  </si>
  <si>
    <t>&lt;name&gt;</t>
  </si>
  <si>
    <t>&lt;styleUrl&gt;</t>
  </si>
  <si>
    <t>&lt;extrude&gt;</t>
  </si>
  <si>
    <t>&lt;tessellate&gt;</t>
  </si>
  <si>
    <t>&lt;color&gt;</t>
  </si>
  <si>
    <t>&lt;width&gt;</t>
  </si>
  <si>
    <t>&lt;open&gt;</t>
  </si>
  <si>
    <t>&lt;gx:labelVisibility&gt;</t>
  </si>
  <si>
    <t>&lt;latitude&gt;</t>
  </si>
  <si>
    <t>&lt;longitude&gt;</t>
  </si>
  <si>
    <t>&lt;altitude&gt;</t>
  </si>
  <si>
    <t>&lt;altitudeMode&gt;</t>
  </si>
  <si>
    <t>&lt;range&gt;</t>
  </si>
  <si>
    <t>&lt;tilt&gt;</t>
  </si>
  <si>
    <t>&lt;roll&gt;</t>
  </si>
  <si>
    <t>&lt;heading&gt;</t>
  </si>
  <si>
    <t>&lt;when&gt;</t>
  </si>
  <si>
    <t>&lt;begin&gt;</t>
  </si>
  <si>
    <t>Elementos_KML</t>
  </si>
  <si>
    <t>Kml.Region</t>
  </si>
  <si>
    <t>Formalizar elementos do projeto BIM em formato KML 2.2</t>
  </si>
  <si>
    <t>Elemento de KML. Define um conjunto de dados estendidos (personalizados). &lt;ExtendendData&gt; ..... &lt;/ExtendedData&gt;</t>
  </si>
  <si>
    <t>Elemento de KML. Define uma região. &lt;Region&gt; ..... &lt;/Region&gt;</t>
  </si>
  <si>
    <t>&lt;ExtendendData&gt;</t>
  </si>
  <si>
    <t>&lt;Region&gt;</t>
  </si>
  <si>
    <t>Elemento de KML. Define um dado personalizado dentro de ExtendenData &lt;Data name='nomedodado'&gt;&lt;value&gt;1&lt;/value&gt;&lt;/Data&gt;</t>
  </si>
  <si>
    <t>&lt;Data&gt;</t>
  </si>
  <si>
    <t>Elemento de KML. Define um dado simples personalizado dentro de ExtendenData &lt;SimpleData name='Elevação'&gt;10000&lt;/SimpleData&gt;</t>
  </si>
  <si>
    <t>&lt;SimpleData&gt;</t>
  </si>
  <si>
    <t>&lt;SchemaData&gt;</t>
  </si>
  <si>
    <t>Elemento de KML. Define um dado associado a um &lt;Schema&gt; para adicionar dados personalizados tipados a um elemento KML.</t>
  </si>
  <si>
    <t>Elemento de KML. Define um esquema personalizado &lt;Schema&gt; ..... &lt;/Schema&gt;</t>
  </si>
  <si>
    <t>Elemento de KML. Define um momento final num &lt;TimeSpan&gt;. &lt;end&gt;2024-08-01&lt;/end&gt;</t>
  </si>
  <si>
    <t>Elemento de KML. Define um momento inicial num &lt;TimeSpan&gt;. &lt;begin&gt;2024-01-01&lt;/begin&gt;</t>
  </si>
  <si>
    <t>Kml.Gira.Z</t>
  </si>
  <si>
    <t>Kml.Gira.X</t>
  </si>
  <si>
    <t>Kml.Box</t>
  </si>
  <si>
    <t>Kml.Box.Rotado</t>
  </si>
  <si>
    <t>Kml.Box.Cardinal.Leste</t>
  </si>
  <si>
    <t>Kml.Box.Cardinal.Norte</t>
  </si>
  <si>
    <t>Kml.Box.Cardinal.Oeste</t>
  </si>
  <si>
    <t>Kml.Box.Cardinal.Sul</t>
  </si>
  <si>
    <t>Elemento agrupador raiz do arquivo KML que contém a declaração dos namespaces e envolve todo o conteúdo geográfico.</t>
  </si>
  <si>
    <t>Elemento agrupador de pasta KML que ordena elementos em hierarquia de pastas (como a barra lateral do Google Earth), permite ativar ou desativar visibilidades em bloco.</t>
  </si>
  <si>
    <t>Kml.Camara.Azimut</t>
  </si>
  <si>
    <t>Kml.Camara.Alvo</t>
  </si>
  <si>
    <t>Elemento agrupador KML de conteúdos geográficos, estilos e schemas associados. É fundamental quando o arquivo contém múltiplos objetos ou estilos reutilizáveis.</t>
  </si>
  <si>
    <t>Kml.Estilo.Cor</t>
  </si>
  <si>
    <t>Kml.Estilo.Espessura</t>
  </si>
  <si>
    <t>Kml.Tempo.Momento</t>
  </si>
  <si>
    <t>Kml.Tempo.Momento.Inicial</t>
  </si>
  <si>
    <t>Kml.Tempo.Momento.Final</t>
  </si>
  <si>
    <t>Kml.Tempo.Registra</t>
  </si>
  <si>
    <t>Kml.Tempo.Intervalo</t>
  </si>
  <si>
    <t>&lt;end&gt;</t>
  </si>
  <si>
    <t>Kml.Estilo.Balão</t>
  </si>
  <si>
    <t>Kml.Estilo.Linha</t>
  </si>
  <si>
    <t>Kml.Estilo.Mapa</t>
  </si>
  <si>
    <t>Kml.Estilo.Texto</t>
  </si>
  <si>
    <t>Kml.Estilo.Usado</t>
  </si>
  <si>
    <t>Kml.Dado.Estendido</t>
  </si>
  <si>
    <t>Kml.Sobrepor</t>
  </si>
  <si>
    <t>Kml.Sobrepor.Foto</t>
  </si>
  <si>
    <t>Kml.Sobrepor.Piso</t>
  </si>
  <si>
    <t>Kml.Estilo.Visibilidade</t>
  </si>
  <si>
    <t>Kml.Lugar.Ponto</t>
  </si>
  <si>
    <t>Kml.Lugar.Ponto.Altitude</t>
  </si>
  <si>
    <t>Kml.Lugar.Ponto.AltitudeModo</t>
  </si>
  <si>
    <t>Kml.Lugar.Ponto.Latitude</t>
  </si>
  <si>
    <t>Kml.Lugar.Ponto.Longitude</t>
  </si>
  <si>
    <t>Kml.Lugar.Segmento</t>
  </si>
  <si>
    <t>Kml.Lugar.Segmento.Poligonal</t>
  </si>
  <si>
    <t>Kml.Lugar.Segmento.Poligono</t>
  </si>
  <si>
    <t>Kml.Lugar.Geometria</t>
  </si>
  <si>
    <t>Kml.Dado.Estendido.Esquema.Dado</t>
  </si>
  <si>
    <t>Kml.Dado.Estendido.Esquema</t>
  </si>
  <si>
    <t>Kml.Dado.Estendido.Dado</t>
  </si>
  <si>
    <t>Kml.Dado.Estendido.Dado.Simples</t>
  </si>
  <si>
    <t>&lt;Schema&gt;</t>
  </si>
  <si>
    <t>Kml.Modelo.3D</t>
  </si>
  <si>
    <t>"Documento KML Lugares.kml"</t>
  </si>
  <si>
    <t>"Arquivo KML de teste de locais"</t>
  </si>
  <si>
    <t>"Pasta de locais definidos 1"</t>
  </si>
  <si>
    <t>"Pasta de locais definidos 2"</t>
  </si>
  <si>
    <t>"&lt;Kml&gt; &lt;/Kml&gt;"</t>
  </si>
  <si>
    <t>"&lt;Document&gt; &lt;/Document&gt;"</t>
  </si>
  <si>
    <t>"&lt;Folder&gt; &lt;/Folder&gt;"</t>
  </si>
  <si>
    <t>"&lt;Placemark&gt; &lt;/Placemark&gt;"</t>
  </si>
  <si>
    <t>&lt;-&gt;</t>
  </si>
  <si>
    <t>Marca.Docu</t>
  </si>
  <si>
    <t>Marca.Pasta</t>
  </si>
  <si>
    <t>Marca.Lugar</t>
  </si>
  <si>
    <t>Marca.Arq</t>
  </si>
  <si>
    <t>é.marcado.com</t>
  </si>
  <si>
    <t>KML_Arquivo</t>
  </si>
  <si>
    <t>KML_Docu</t>
  </si>
  <si>
    <t>Lugar_10</t>
  </si>
  <si>
    <t>Lugar_11</t>
  </si>
  <si>
    <t>Lugar_12</t>
  </si>
  <si>
    <t>Lugar_13</t>
  </si>
  <si>
    <t>Lugar_14</t>
  </si>
  <si>
    <t>Lugar_15</t>
  </si>
  <si>
    <t>Lugar_20</t>
  </si>
  <si>
    <t>Lugar_21</t>
  </si>
  <si>
    <t>Lugar_22</t>
  </si>
  <si>
    <t>Lugar_23</t>
  </si>
  <si>
    <t>Lugar_24</t>
  </si>
  <si>
    <t>Lugar_25</t>
  </si>
  <si>
    <t>Locais_10</t>
  </si>
  <si>
    <t>Locais_20</t>
  </si>
  <si>
    <t>Marca.Ponto</t>
  </si>
  <si>
    <t>Marca.Coord</t>
  </si>
  <si>
    <t>Kml.Lugar.Ponto.XYZ</t>
  </si>
  <si>
    <t>"&lt;coordinates&gt;10,10,0&lt;/coordinates&gt;"</t>
  </si>
  <si>
    <t>"Local de teste 10"</t>
  </si>
  <si>
    <t>"Local de teste 11"</t>
  </si>
  <si>
    <t>"Local de teste 13"</t>
  </si>
  <si>
    <t>"Local de teste 12"</t>
  </si>
  <si>
    <t>"Local de teste 14"</t>
  </si>
  <si>
    <t>"Local de teste 15"</t>
  </si>
  <si>
    <t>"Local de teste 20"</t>
  </si>
  <si>
    <t>"Local de teste 21"</t>
  </si>
  <si>
    <t>"Local de teste 22"</t>
  </si>
  <si>
    <t>"Local de teste 23"</t>
  </si>
  <si>
    <t>"Local de teste 24"</t>
  </si>
  <si>
    <t>"Local de teste 25"</t>
  </si>
  <si>
    <t>descrição</t>
  </si>
  <si>
    <t>"&lt;Point&gt; &lt;/Point&gt;"</t>
  </si>
  <si>
    <t>"&lt;coordinates&gt; &lt;/coordinates&gt;"</t>
  </si>
  <si>
    <t>Kml.Arquivo</t>
  </si>
  <si>
    <t>Kml.Documento</t>
  </si>
  <si>
    <t>Kml.Pasta</t>
  </si>
  <si>
    <t>Especifica se um item da árvore de lugares no Google Earth ou Google Maps é exibido aberto ou fechado por padrão &lt;open&gt;1&lt;/open&gt;</t>
  </si>
  <si>
    <t>Especifica a distância focal da câmera até o ponto de interesse em metros. &lt;range&gt;1000&lt;/range&gt;</t>
  </si>
  <si>
    <t>Kml.Camara.Alcance</t>
  </si>
  <si>
    <t>Kml.Pasta.Aberta</t>
  </si>
  <si>
    <t>Controla se uma linha ou polígono acompanha a curvatura da terra, os relevos do terreno ou se é desenhada como uma linha reta direta no espaço tridimensional. &lt;tessellate&gt;1&lt;/tessellate&gt; Funciona somente se o modo de altitude (&lt;altitudeMode&gt;) está definido como clampToGround (preso ao solo, que é o padrão). Se a altitude for absoluta ou relativa ao solo, o efeito do tessellate é ignorado.</t>
  </si>
  <si>
    <t>Kml.Lugar.Segmento.Projeção</t>
  </si>
  <si>
    <t>é.marcador.interno.de</t>
  </si>
  <si>
    <t>Projeto</t>
  </si>
  <si>
    <t>De.API</t>
  </si>
  <si>
    <t>Métodos</t>
  </si>
  <si>
    <t>Macros</t>
  </si>
  <si>
    <t>API.Revit</t>
  </si>
  <si>
    <t>Aplicação Revit</t>
  </si>
  <si>
    <t>Aplicativo Revit</t>
  </si>
  <si>
    <t>Revit Aplication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</si>
</sst>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9"/>
      <color theme="1"/>
      <name val="Aptos Narrow"/>
      <family val="2"/>
      <scheme val="minor"/>
    </font>
    <font>
      <u/>
      <sz val="9"/>
      <color theme="10"/>
      <name val="Aptos Narrow"/>
      <family val="2"/>
      <scheme val="minor"/>
    </font>
    <font>
      <b/>
      <sz val="6"/>
      <color rgb="FF000000"/>
      <name val="Arial Nova Cond Light"/>
      <family val="2"/>
    </font>
    <font>
      <b/>
      <sz val="6"/>
      <color theme="1"/>
      <name val="Arial Nova Cond Light"/>
      <family val="2"/>
    </font>
    <font>
      <sz val="6"/>
      <color rgb="FF000000"/>
      <name val="Arial Nova Cond Light"/>
      <family val="2"/>
    </font>
    <font>
      <sz val="6"/>
      <color theme="1"/>
      <name val="Arial Nova Cond Light"/>
      <family val="2"/>
    </font>
    <font>
      <b/>
      <sz val="5"/>
      <color rgb="FF000000"/>
      <name val="Arial Nova Cond Light"/>
      <family val="2"/>
    </font>
    <font>
      <sz val="6"/>
      <name val="Arial Nova Cond Light"/>
      <family val="2"/>
    </font>
    <font>
      <i/>
      <sz val="6"/>
      <name val="Arial Nova Cond Light"/>
      <family val="2"/>
    </font>
    <font>
      <b/>
      <sz val="6"/>
      <name val="Arial Nova Cond Light"/>
      <family val="2"/>
    </font>
    <font>
      <b/>
      <sz val="5"/>
      <name val="Arial Nova Cond Light"/>
      <family val="2"/>
    </font>
    <font>
      <i/>
      <sz val="6"/>
      <color theme="1"/>
      <name val="Arial Nova Cond Light"/>
      <family val="2"/>
    </font>
    <font>
      <sz val="8"/>
      <name val="Aptos Narrow"/>
      <family val="2"/>
      <scheme val="minor"/>
    </font>
    <font>
      <sz val="8"/>
      <color theme="1"/>
      <name val="Arial Nova Cond Light"/>
      <family val="2"/>
    </font>
  </fonts>
  <fills count="2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D1D1D1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EAAAA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C000"/>
        <bgColor rgb="FFFF9900"/>
      </patternFill>
    </fill>
    <fill>
      <patternFill patternType="solid">
        <fgColor rgb="FFF2AA84"/>
        <bgColor rgb="FFF6C6AD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BE79D"/>
        <bgColor indexed="64"/>
      </patternFill>
    </fill>
    <fill>
      <patternFill patternType="solid">
        <fgColor theme="5" tint="0.79998168889431442"/>
        <bgColor rgb="FFFFC7CE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89F"/>
        <bgColor indexed="64"/>
      </patternFill>
    </fill>
    <fill>
      <patternFill patternType="solid">
        <fgColor rgb="FFD9D9D9"/>
        <bgColor rgb="FFD1D1D1"/>
      </patternFill>
    </fill>
    <fill>
      <patternFill patternType="solid">
        <fgColor theme="5" tint="0.59999389629810485"/>
        <bgColor rgb="FFFF9900"/>
      </patternFill>
    </fill>
    <fill>
      <patternFill patternType="solid">
        <fgColor theme="5" tint="0.59999389629810485"/>
        <bgColor rgb="FFC0C0C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rgb="FFD9F2D0"/>
      </patternFill>
    </fill>
    <fill>
      <patternFill patternType="solid">
        <fgColor theme="5" tint="0.79998168889431442"/>
        <bgColor rgb="FFFEF2CB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4">
    <xf numFmtId="0" fontId="0" fillId="0" borderId="0" xfId="0"/>
    <xf numFmtId="0" fontId="2" fillId="9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22" fontId="5" fillId="0" borderId="1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vertical="center" wrapText="1"/>
    </xf>
    <xf numFmtId="0" fontId="6" fillId="13" borderId="1" xfId="0" applyFont="1" applyFill="1" applyBorder="1" applyAlignment="1">
      <alignment horizontal="left" vertical="center" wrapText="1"/>
    </xf>
    <xf numFmtId="0" fontId="4" fillId="14" borderId="1" xfId="0" applyFont="1" applyFill="1" applyBorder="1" applyAlignment="1">
      <alignment horizontal="center" vertical="center"/>
    </xf>
    <xf numFmtId="0" fontId="4" fillId="15" borderId="1" xfId="0" applyFont="1" applyFill="1" applyBorder="1" applyAlignment="1">
      <alignment horizontal="left" vertical="center"/>
    </xf>
    <xf numFmtId="0" fontId="4" fillId="15" borderId="3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8" fillId="19" borderId="4" xfId="0" applyFont="1" applyFill="1" applyBorder="1" applyAlignment="1">
      <alignment horizontal="center" vertical="center" wrapText="1"/>
    </xf>
    <xf numFmtId="0" fontId="9" fillId="19" borderId="5" xfId="0" applyFont="1" applyFill="1" applyBorder="1" applyAlignment="1">
      <alignment horizontal="left" vertical="center" wrapText="1"/>
    </xf>
    <xf numFmtId="0" fontId="9" fillId="19" borderId="6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left"/>
    </xf>
    <xf numFmtId="0" fontId="8" fillId="19" borderId="3" xfId="0" applyFont="1" applyFill="1" applyBorder="1" applyAlignment="1">
      <alignment horizontal="center" vertical="center" wrapText="1"/>
    </xf>
    <xf numFmtId="0" fontId="7" fillId="12" borderId="1" xfId="0" applyFont="1" applyFill="1" applyBorder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2" fillId="20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left" vertical="center" wrapText="1"/>
    </xf>
    <xf numFmtId="0" fontId="2" fillId="21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/>
    <xf numFmtId="0" fontId="4" fillId="24" borderId="1" xfId="0" applyFont="1" applyFill="1" applyBorder="1" applyAlignment="1">
      <alignment horizontal="left" vertical="center"/>
    </xf>
    <xf numFmtId="0" fontId="4" fillId="14" borderId="1" xfId="0" applyFont="1" applyFill="1" applyBorder="1" applyAlignment="1">
      <alignment horizontal="right" vertical="center"/>
    </xf>
    <xf numFmtId="0" fontId="7" fillId="12" borderId="1" xfId="0" applyFont="1" applyFill="1" applyBorder="1" applyAlignment="1">
      <alignment horizontal="left" vertical="center"/>
    </xf>
    <xf numFmtId="0" fontId="2" fillId="13" borderId="2" xfId="0" applyFont="1" applyFill="1" applyBorder="1" applyAlignment="1">
      <alignment horizontal="left" vertical="center" wrapText="1"/>
    </xf>
    <xf numFmtId="0" fontId="6" fillId="12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5" fillId="18" borderId="1" xfId="0" applyFont="1" applyFill="1" applyBorder="1" applyAlignment="1">
      <alignment vertical="center"/>
    </xf>
    <xf numFmtId="0" fontId="5" fillId="17" borderId="1" xfId="0" applyFont="1" applyFill="1" applyBorder="1" applyAlignment="1">
      <alignment vertical="center"/>
    </xf>
    <xf numFmtId="0" fontId="5" fillId="0" borderId="0" xfId="0" applyFont="1" applyAlignment="1">
      <alignment vertical="center"/>
    </xf>
    <xf numFmtId="0" fontId="5" fillId="7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7" fillId="6" borderId="1" xfId="0" applyFont="1" applyFill="1" applyBorder="1" applyAlignment="1">
      <alignment horizontal="center" vertical="center"/>
    </xf>
    <xf numFmtId="0" fontId="7" fillId="22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7" fillId="22" borderId="1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11" fillId="4" borderId="1" xfId="0" applyFont="1" applyFill="1" applyBorder="1" applyAlignment="1">
      <alignment horizontal="left" vertical="center"/>
    </xf>
    <xf numFmtId="0" fontId="7" fillId="23" borderId="1" xfId="0" applyFont="1" applyFill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8" borderId="1" xfId="0" applyFont="1" applyFill="1" applyBorder="1" applyAlignment="1">
      <alignment vertical="center"/>
    </xf>
    <xf numFmtId="0" fontId="5" fillId="5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horizontal="right" vertical="center" wrapText="1"/>
    </xf>
    <xf numFmtId="0" fontId="5" fillId="0" borderId="1" xfId="1" applyFont="1" applyBorder="1" applyAlignment="1">
      <alignment vertical="center"/>
    </xf>
    <xf numFmtId="0" fontId="5" fillId="15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vertical="center"/>
    </xf>
    <xf numFmtId="0" fontId="7" fillId="25" borderId="1" xfId="0" applyFont="1" applyFill="1" applyBorder="1" applyAlignment="1">
      <alignment horizontal="left" vertical="center"/>
    </xf>
    <xf numFmtId="0" fontId="13" fillId="0" borderId="0" xfId="0" applyFont="1" applyAlignment="1">
      <alignment horizontal="left"/>
    </xf>
  </cellXfs>
  <cellStyles count="2">
    <cellStyle name="Hiperlink" xfId="1" builtinId="8"/>
    <cellStyle name="Normal" xfId="0" builtinId="0"/>
  </cellStyles>
  <dxfs count="35"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lor theme="0" tint="-0.499984740745262"/>
      </font>
    </dxf>
    <dxf>
      <font>
        <b val="0"/>
        <i/>
        <strike val="0"/>
        <color rgb="FFFFFFFF"/>
      </font>
    </dxf>
    <dxf>
      <font>
        <b val="0"/>
        <i/>
        <strike val="0"/>
        <color theme="0" tint="-0.499984740745262"/>
      </font>
    </dxf>
    <dxf>
      <font>
        <b val="0"/>
        <i/>
        <strike val="0"/>
        <color theme="0" tint="-0.499984740745262"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E89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C0CDAE2-7952-4369-A5BC-07E9750EC2A5}" name="Tabla4" displayName="Tabla4" ref="A1:U2" totalsRowShown="0">
  <tableColumns count="21">
    <tableColumn id="1" xr3:uid="{583A8325-4A11-4115-9FBF-B18A310CAC78}" name="1"/>
    <tableColumn id="2" xr3:uid="{D38AE385-6C4D-4D8E-9F5F-993423BD402B}" name="Disjunta 1"/>
    <tableColumn id="3" xr3:uid="{B3AE13C5-692D-436F-B47B-48CE26D5F3ED}" name="Disjunta 2"/>
    <tableColumn id="4" xr3:uid="{CDFF4936-9C8A-4161-A6D7-EF859E578043}" name="Disjunta 3"/>
    <tableColumn id="5" xr3:uid="{FCB45EFF-B866-4F9D-A088-09368F6CCAED}" name="Disjunta 4"/>
    <tableColumn id="6" xr3:uid="{6F5CB332-310B-4CC4-9EFF-59264BC85D99}" name="Disjunta 5"/>
    <tableColumn id="7" xr3:uid="{87C14D4B-9E50-44B9-B696-2E709CC119CF}" name="Disjunta 6"/>
    <tableColumn id="8" xr3:uid="{42C65DDE-E925-4894-91B4-F2E4987556D2}" name="Disjunta 7"/>
    <tableColumn id="9" xr3:uid="{F75A0E8F-3EA2-43A9-B668-50CDCB3B448C}" name="Disjunta 8"/>
    <tableColumn id="10" xr3:uid="{C620E7A5-0DA7-48B7-8640-4B226D7AA8C7}" name="Disjunta 9"/>
    <tableColumn id="11" xr3:uid="{0801425D-F9F9-455C-9FA4-9C6C1DECB9AD}" name="Disjunta 10"/>
    <tableColumn id="12" xr3:uid="{A5B01D57-9A88-4CB7-8AC5-E24C489D0031}" name="Disjunta 11"/>
    <tableColumn id="13" xr3:uid="{8894692D-E2E5-4BE8-B681-BB870CA42A67}" name="Disjunta 12"/>
    <tableColumn id="14" xr3:uid="{080D2DE7-8B2C-43CB-BE54-484218BF9954}" name="Disjunta 13"/>
    <tableColumn id="15" xr3:uid="{F25A5529-BEC7-4AD0-9502-9399D2C789E9}" name="Disjunta 14"/>
    <tableColumn id="16" xr3:uid="{BC3AEA00-0DF3-410E-893E-5D3B83E2C611}" name="Disjunta 15"/>
    <tableColumn id="17" xr3:uid="{1E2C0EAA-B27B-4790-B529-9F53A6E5DEEB}" name="Disjunta 16"/>
    <tableColumn id="18" xr3:uid="{E510FEF4-EF55-4A27-AF9A-1C59F07D5BC1}" name="Disjunta 17"/>
    <tableColumn id="19" xr3:uid="{91E4AD36-F86D-42AD-8B7A-3F0633A3109F}" name="Disjunta 18"/>
    <tableColumn id="20" xr3:uid="{E4F0BCBD-BEED-430D-BAB8-0E560471480A}" name="Disjunta 19"/>
    <tableColumn id="21" xr3:uid="{BADAFF57-36EA-446C-9A7C-F9455EE1A227}" name="Disjunta 2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pengeospatial.org/standards/kml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CFCF6-0637-46A8-9CC0-1BF6FB3A6D15}">
  <sheetPr codeName="Planilha14"/>
  <dimension ref="A1:C24"/>
  <sheetViews>
    <sheetView zoomScale="220" zoomScaleNormal="220" workbookViewId="0">
      <selection activeCell="B23" sqref="B23"/>
    </sheetView>
  </sheetViews>
  <sheetFormatPr defaultRowHeight="6.95" customHeight="1" x14ac:dyDescent="0.2"/>
  <cols>
    <col min="1" max="1" width="10.5" customWidth="1"/>
    <col min="2" max="2" width="65.33203125" style="29" customWidth="1"/>
    <col min="3" max="3" width="4.1640625" bestFit="1" customWidth="1"/>
  </cols>
  <sheetData>
    <row r="1" spans="1:3" ht="9" customHeight="1" x14ac:dyDescent="0.2">
      <c r="A1" s="1" t="s">
        <v>3</v>
      </c>
      <c r="B1" s="1" t="s">
        <v>1</v>
      </c>
      <c r="C1" s="2" t="s">
        <v>8</v>
      </c>
    </row>
    <row r="2" spans="1:3" ht="6.95" customHeight="1" x14ac:dyDescent="0.2">
      <c r="A2" s="3" t="s">
        <v>9</v>
      </c>
      <c r="B2" s="3" t="s">
        <v>10</v>
      </c>
      <c r="C2" s="4" t="s">
        <v>11</v>
      </c>
    </row>
    <row r="3" spans="1:3" ht="6.95" customHeight="1" x14ac:dyDescent="0.2">
      <c r="A3" s="3" t="s">
        <v>12</v>
      </c>
      <c r="B3" s="3" t="s">
        <v>211</v>
      </c>
      <c r="C3" s="4" t="s">
        <v>11</v>
      </c>
    </row>
    <row r="4" spans="1:3" ht="6.95" customHeight="1" x14ac:dyDescent="0.2">
      <c r="A4" s="5" t="s">
        <v>13</v>
      </c>
      <c r="B4" s="5" t="s">
        <v>14</v>
      </c>
      <c r="C4" s="4" t="s">
        <v>11</v>
      </c>
    </row>
    <row r="5" spans="1:3" ht="6.95" customHeight="1" x14ac:dyDescent="0.2">
      <c r="A5" s="5" t="s">
        <v>15</v>
      </c>
      <c r="B5" s="5" t="str">
        <f>_xlfn.CONCAT(B4,"Prop")</f>
        <v>BIMProp</v>
      </c>
      <c r="C5" s="4" t="s">
        <v>11</v>
      </c>
    </row>
    <row r="6" spans="1:3" ht="6.95" customHeight="1" x14ac:dyDescent="0.2">
      <c r="A6" s="5" t="s">
        <v>16</v>
      </c>
      <c r="B6" s="5" t="str">
        <f>_xlfn.CONCAT(B4,"Data")</f>
        <v>BIMData</v>
      </c>
      <c r="C6" s="4" t="s">
        <v>11</v>
      </c>
    </row>
    <row r="7" spans="1:3" ht="6.95" customHeight="1" x14ac:dyDescent="0.2">
      <c r="A7" s="5" t="s">
        <v>17</v>
      </c>
      <c r="B7" s="5" t="s">
        <v>18</v>
      </c>
      <c r="C7" s="4" t="s">
        <v>11</v>
      </c>
    </row>
    <row r="8" spans="1:3" ht="6.95" customHeight="1" x14ac:dyDescent="0.2">
      <c r="A8" s="6" t="s">
        <v>19</v>
      </c>
      <c r="B8" s="6" t="s">
        <v>20</v>
      </c>
      <c r="C8" s="4" t="s">
        <v>11</v>
      </c>
    </row>
    <row r="9" spans="1:3" ht="6.95" customHeight="1" x14ac:dyDescent="0.2">
      <c r="A9" s="5" t="s">
        <v>0</v>
      </c>
      <c r="B9" s="5" t="s">
        <v>21</v>
      </c>
      <c r="C9" s="4" t="s">
        <v>11</v>
      </c>
    </row>
    <row r="10" spans="1:3" ht="6.95" customHeight="1" x14ac:dyDescent="0.2">
      <c r="A10" s="5" t="s">
        <v>22</v>
      </c>
      <c r="B10" s="5" t="s">
        <v>23</v>
      </c>
      <c r="C10" s="4" t="s">
        <v>11</v>
      </c>
    </row>
    <row r="11" spans="1:3" ht="6.95" customHeight="1" x14ac:dyDescent="0.2">
      <c r="A11" s="5" t="s">
        <v>24</v>
      </c>
      <c r="B11" s="5" t="s">
        <v>23</v>
      </c>
      <c r="C11" s="4" t="s">
        <v>11</v>
      </c>
    </row>
    <row r="12" spans="1:3" ht="6.95" customHeight="1" x14ac:dyDescent="0.2">
      <c r="A12" s="5" t="s">
        <v>25</v>
      </c>
      <c r="B12" s="5" t="s">
        <v>23</v>
      </c>
      <c r="C12" s="4" t="s">
        <v>11</v>
      </c>
    </row>
    <row r="13" spans="1:3" ht="6.95" customHeight="1" x14ac:dyDescent="0.2">
      <c r="A13" s="5" t="s">
        <v>26</v>
      </c>
      <c r="B13" s="5" t="s">
        <v>23</v>
      </c>
      <c r="C13" s="4" t="s">
        <v>11</v>
      </c>
    </row>
    <row r="14" spans="1:3" ht="6.95" customHeight="1" x14ac:dyDescent="0.2">
      <c r="A14" s="5" t="s">
        <v>27</v>
      </c>
      <c r="B14" s="5" t="s">
        <v>23</v>
      </c>
      <c r="C14" s="4" t="s">
        <v>11</v>
      </c>
    </row>
    <row r="15" spans="1:3" ht="6.95" customHeight="1" x14ac:dyDescent="0.2">
      <c r="A15" s="5" t="s">
        <v>28</v>
      </c>
      <c r="B15" s="5" t="s">
        <v>23</v>
      </c>
      <c r="C15" s="4" t="s">
        <v>11</v>
      </c>
    </row>
    <row r="16" spans="1:3" ht="6.95" customHeight="1" x14ac:dyDescent="0.2">
      <c r="A16" s="5" t="s">
        <v>90</v>
      </c>
      <c r="B16" s="59" t="s">
        <v>162</v>
      </c>
      <c r="C16" s="4" t="s">
        <v>11</v>
      </c>
    </row>
    <row r="17" spans="1:3" ht="6.95" customHeight="1" x14ac:dyDescent="0.2">
      <c r="A17" s="5" t="s">
        <v>29</v>
      </c>
      <c r="B17" s="5" t="s">
        <v>149</v>
      </c>
      <c r="C17" s="4" t="s">
        <v>11</v>
      </c>
    </row>
    <row r="18" spans="1:3" ht="6.95" customHeight="1" x14ac:dyDescent="0.2">
      <c r="A18" s="5" t="s">
        <v>30</v>
      </c>
      <c r="B18" s="7">
        <f ca="1">NOW()</f>
        <v>46258.594610069442</v>
      </c>
      <c r="C18" s="4" t="s">
        <v>11</v>
      </c>
    </row>
    <row r="19" spans="1:3" ht="6.95" customHeight="1" x14ac:dyDescent="0.2">
      <c r="A19" s="5" t="s">
        <v>31</v>
      </c>
      <c r="B19" s="7" t="s">
        <v>32</v>
      </c>
      <c r="C19" s="4" t="s">
        <v>11</v>
      </c>
    </row>
    <row r="20" spans="1:3" ht="6.95" customHeight="1" x14ac:dyDescent="0.2">
      <c r="A20" s="5" t="s">
        <v>33</v>
      </c>
      <c r="B20" s="5" t="s">
        <v>23</v>
      </c>
      <c r="C20" s="4" t="s">
        <v>11</v>
      </c>
    </row>
    <row r="21" spans="1:3" ht="6.95" customHeight="1" x14ac:dyDescent="0.2">
      <c r="A21" s="5" t="s">
        <v>34</v>
      </c>
      <c r="B21" s="5" t="s">
        <v>23</v>
      </c>
      <c r="C21" s="4" t="s">
        <v>11</v>
      </c>
    </row>
    <row r="22" spans="1:3" ht="12" customHeight="1" x14ac:dyDescent="0.2">
      <c r="A22" s="5" t="s">
        <v>35</v>
      </c>
      <c r="B22" s="8" t="s">
        <v>213</v>
      </c>
      <c r="C22" s="4" t="s">
        <v>11</v>
      </c>
    </row>
    <row r="23" spans="1:3" ht="12" customHeight="1" x14ac:dyDescent="0.2">
      <c r="A23" s="5" t="s">
        <v>36</v>
      </c>
      <c r="B23" s="8" t="str">
        <f>_xlfn.TRANSLATE(B22,"pt","es")</f>
        <v>Formalizar los elementos del proyecto BIM en formato KML 2.2</v>
      </c>
      <c r="C23" s="4" t="s">
        <v>37</v>
      </c>
    </row>
    <row r="24" spans="1:3" ht="12" customHeight="1" x14ac:dyDescent="0.2">
      <c r="A24" s="5" t="s">
        <v>38</v>
      </c>
      <c r="B24" s="8" t="str">
        <f>_xlfn.TRANSLATE(B22,"pt","en")</f>
        <v>Formalize BIM project elements in KML 2.2 format</v>
      </c>
      <c r="C24" s="4" t="s">
        <v>39</v>
      </c>
    </row>
  </sheetData>
  <hyperlinks>
    <hyperlink ref="B16" r:id="rId1" xr:uid="{85F79A7A-4111-4BD8-A3C5-4FD730DA4627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1B10B-C8BF-4318-B9A8-B9240E89A4C8}">
  <dimension ref="A1:AD63"/>
  <sheetViews>
    <sheetView tabSelected="1" zoomScale="175" zoomScaleNormal="175" workbookViewId="0">
      <pane ySplit="1" topLeftCell="A2" activePane="bottomLeft" state="frozen"/>
      <selection pane="bottomLeft" sqref="A1:XFD1"/>
    </sheetView>
  </sheetViews>
  <sheetFormatPr defaultRowHeight="7.5" customHeight="1" x14ac:dyDescent="0.2"/>
  <cols>
    <col min="1" max="1" width="2.83203125" bestFit="1" customWidth="1"/>
    <col min="2" max="2" width="6.5" customWidth="1"/>
    <col min="3" max="3" width="10.6640625" customWidth="1"/>
    <col min="4" max="4" width="7.33203125" bestFit="1" customWidth="1"/>
    <col min="5" max="5" width="5" customWidth="1"/>
    <col min="6" max="6" width="19.5" customWidth="1"/>
    <col min="7" max="11" width="7.83203125" customWidth="1"/>
    <col min="12" max="12" width="12.1640625" bestFit="1" customWidth="1"/>
    <col min="13" max="14" width="8.6640625" bestFit="1" customWidth="1"/>
    <col min="15" max="15" width="23.33203125" bestFit="1" customWidth="1"/>
    <col min="16" max="16" width="155.5" bestFit="1" customWidth="1"/>
    <col min="17" max="17" width="144.83203125" bestFit="1" customWidth="1"/>
    <col min="18" max="18" width="134.6640625" bestFit="1" customWidth="1"/>
    <col min="19" max="19" width="6.6640625" bestFit="1" customWidth="1"/>
    <col min="20" max="20" width="12.1640625" bestFit="1" customWidth="1"/>
    <col min="21" max="21" width="7.1640625" bestFit="1" customWidth="1"/>
    <col min="22" max="22" width="23.33203125" bestFit="1" customWidth="1"/>
    <col min="23" max="23" width="12.1640625" bestFit="1" customWidth="1"/>
    <col min="24" max="24" width="8.6640625" bestFit="1" customWidth="1"/>
    <col min="25" max="26" width="9" bestFit="1" customWidth="1"/>
    <col min="27" max="27" width="8.5" bestFit="1" customWidth="1"/>
    <col min="28" max="28" width="9.1640625" bestFit="1" customWidth="1"/>
    <col min="29" max="29" width="5.33203125" bestFit="1" customWidth="1"/>
    <col min="30" max="30" width="12.5" bestFit="1" customWidth="1"/>
  </cols>
  <sheetData>
    <row r="1" spans="1:30" ht="37.5" customHeight="1" x14ac:dyDescent="0.2">
      <c r="A1" s="58">
        <v>1</v>
      </c>
      <c r="B1" s="34" t="s">
        <v>40</v>
      </c>
      <c r="C1" s="34" t="s">
        <v>41</v>
      </c>
      <c r="D1" s="34" t="s">
        <v>42</v>
      </c>
      <c r="E1" s="34" t="s">
        <v>43</v>
      </c>
      <c r="F1" s="34" t="s">
        <v>65</v>
      </c>
      <c r="G1" s="35" t="s">
        <v>44</v>
      </c>
      <c r="H1" s="35" t="s">
        <v>45</v>
      </c>
      <c r="I1" s="35" t="s">
        <v>46</v>
      </c>
      <c r="J1" s="35" t="s">
        <v>47</v>
      </c>
      <c r="K1" s="35" t="s">
        <v>48</v>
      </c>
      <c r="L1" s="9" t="s">
        <v>49</v>
      </c>
      <c r="M1" s="9" t="s">
        <v>50</v>
      </c>
      <c r="N1" s="9" t="s">
        <v>51</v>
      </c>
      <c r="O1" s="9" t="s">
        <v>52</v>
      </c>
      <c r="P1" s="9" t="s">
        <v>53</v>
      </c>
      <c r="Q1" s="9" t="s">
        <v>54</v>
      </c>
      <c r="R1" s="9" t="s">
        <v>63</v>
      </c>
      <c r="S1" s="9" t="s">
        <v>95</v>
      </c>
      <c r="T1" s="9" t="s">
        <v>55</v>
      </c>
      <c r="U1" s="9" t="s">
        <v>56</v>
      </c>
      <c r="V1" s="9" t="s">
        <v>57</v>
      </c>
      <c r="W1" s="9" t="s">
        <v>58</v>
      </c>
      <c r="X1" s="34" t="s">
        <v>59</v>
      </c>
      <c r="Y1" s="33" t="s">
        <v>60</v>
      </c>
      <c r="Z1" s="33" t="s">
        <v>94</v>
      </c>
      <c r="AA1" s="33" t="s">
        <v>61</v>
      </c>
      <c r="AB1" s="33" t="s">
        <v>93</v>
      </c>
      <c r="AC1" s="9" t="s">
        <v>62</v>
      </c>
      <c r="AD1" s="9" t="s">
        <v>116</v>
      </c>
    </row>
    <row r="2" spans="1:30" ht="7.5" customHeight="1" x14ac:dyDescent="0.2">
      <c r="A2" s="31">
        <v>2</v>
      </c>
      <c r="B2" s="11" t="s">
        <v>91</v>
      </c>
      <c r="C2" s="12" t="s">
        <v>64</v>
      </c>
      <c r="D2" s="11" t="s">
        <v>92</v>
      </c>
      <c r="E2" s="11" t="s">
        <v>96</v>
      </c>
      <c r="F2" s="36" t="s">
        <v>322</v>
      </c>
      <c r="G2" s="32" t="s">
        <v>2</v>
      </c>
      <c r="H2" s="32" t="s">
        <v>2</v>
      </c>
      <c r="I2" s="32" t="s">
        <v>2</v>
      </c>
      <c r="J2" s="32" t="s">
        <v>2</v>
      </c>
      <c r="K2" s="32" t="s">
        <v>2</v>
      </c>
      <c r="L2" s="13" t="str">
        <f t="shared" ref="L2:L33" si="0">CONCATENATE("", C2)</f>
        <v>Interoperabilidade</v>
      </c>
      <c r="M2" s="13" t="str">
        <f t="shared" ref="M2:M33" si="1">CONCATENATE("", D2)</f>
        <v>Esquemas</v>
      </c>
      <c r="N2" s="13" t="str">
        <f t="shared" ref="N2:N33" si="2">CONCATENATE("", E2)</f>
        <v>KML</v>
      </c>
      <c r="O2" s="13" t="str">
        <f t="shared" ref="O2:O33" si="3">CONCATENATE("", F2)</f>
        <v>Kml.Arquivo</v>
      </c>
      <c r="P2" s="37" t="s">
        <v>235</v>
      </c>
      <c r="Q2" s="14" t="str">
        <f>_xlfn.TRANSLATE(P2,"pt","es")</f>
        <v>El elemento raíz de agrupación del archivo KML que contiene la declaración de los espacios de nombres y envuelve todo el contenido geográfico.</v>
      </c>
      <c r="R2" s="14" t="str">
        <f t="shared" ref="R2:R33" si="4">_xlfn.TRANSLATE(P2,"pt","en")</f>
        <v>The root grouping element of the KML file that contains the declaration of the namespaces and wraps all geographic content.</v>
      </c>
      <c r="S2" s="14" t="s">
        <v>2</v>
      </c>
      <c r="T2" s="14" t="str">
        <f t="shared" ref="T2:T33" si="5">SUBSTITUTE(C2, "_", " ")</f>
        <v>Interoperabilidade</v>
      </c>
      <c r="U2" s="14" t="str">
        <f t="shared" ref="U2:U33" si="6">SUBSTITUTE(D2, "_", " ")</f>
        <v>Esquemas</v>
      </c>
      <c r="V2" s="14" t="str">
        <f t="shared" ref="V2:V33" si="7">SUBSTITUTE(F2, "_", " ")</f>
        <v>Kml.Arquivo</v>
      </c>
      <c r="W2" s="14" t="s">
        <v>64</v>
      </c>
      <c r="X2" s="30" t="str">
        <f t="shared" ref="X2:X33" si="8">CONCATENATE("Key-Kml-",A2)</f>
        <v>Key-Kml-2</v>
      </c>
      <c r="Y2" s="14" t="s">
        <v>2</v>
      </c>
      <c r="Z2" s="14" t="s">
        <v>2</v>
      </c>
      <c r="AA2" s="14" t="s">
        <v>2</v>
      </c>
      <c r="AB2" s="14" t="s">
        <v>2</v>
      </c>
      <c r="AC2" s="14" t="s">
        <v>2</v>
      </c>
      <c r="AD2" s="37" t="s">
        <v>138</v>
      </c>
    </row>
    <row r="3" spans="1:30" ht="7.5" customHeight="1" x14ac:dyDescent="0.2">
      <c r="A3" s="31">
        <v>3</v>
      </c>
      <c r="B3" s="11" t="s">
        <v>91</v>
      </c>
      <c r="C3" s="12" t="s">
        <v>64</v>
      </c>
      <c r="D3" s="11" t="s">
        <v>92</v>
      </c>
      <c r="E3" s="11" t="s">
        <v>96</v>
      </c>
      <c r="F3" s="36" t="s">
        <v>140</v>
      </c>
      <c r="G3" s="32" t="s">
        <v>2</v>
      </c>
      <c r="H3" s="32" t="s">
        <v>2</v>
      </c>
      <c r="I3" s="32" t="s">
        <v>2</v>
      </c>
      <c r="J3" s="32" t="s">
        <v>2</v>
      </c>
      <c r="K3" s="32" t="s">
        <v>2</v>
      </c>
      <c r="L3" s="13" t="str">
        <f t="shared" si="0"/>
        <v>Interoperabilidade</v>
      </c>
      <c r="M3" s="13" t="str">
        <f t="shared" si="1"/>
        <v>Esquemas</v>
      </c>
      <c r="N3" s="13" t="str">
        <f t="shared" si="2"/>
        <v>KML</v>
      </c>
      <c r="O3" s="13" t="str">
        <f t="shared" si="3"/>
        <v>Kml.Atributo</v>
      </c>
      <c r="P3" s="37" t="s">
        <v>141</v>
      </c>
      <c r="Q3" s="14" t="s">
        <v>142</v>
      </c>
      <c r="R3" s="14" t="str">
        <f t="shared" si="4"/>
        <v>Attribute to qualify a KML element.</v>
      </c>
      <c r="S3" s="14" t="s">
        <v>2</v>
      </c>
      <c r="T3" s="14" t="str">
        <f t="shared" si="5"/>
        <v>Interoperabilidade</v>
      </c>
      <c r="U3" s="14" t="str">
        <f t="shared" si="6"/>
        <v>Esquemas</v>
      </c>
      <c r="V3" s="14" t="str">
        <f t="shared" si="7"/>
        <v>Kml.Atributo</v>
      </c>
      <c r="W3" s="14" t="s">
        <v>64</v>
      </c>
      <c r="X3" s="30" t="str">
        <f t="shared" si="8"/>
        <v>Key-Kml-3</v>
      </c>
      <c r="Y3" s="14" t="s">
        <v>2</v>
      </c>
      <c r="Z3" s="14" t="s">
        <v>2</v>
      </c>
      <c r="AA3" s="14" t="s">
        <v>2</v>
      </c>
      <c r="AB3" s="14" t="s">
        <v>2</v>
      </c>
      <c r="AC3" s="14" t="s">
        <v>2</v>
      </c>
      <c r="AD3" s="37" t="s">
        <v>281</v>
      </c>
    </row>
    <row r="4" spans="1:30" ht="7.5" customHeight="1" x14ac:dyDescent="0.2">
      <c r="A4" s="31">
        <v>4</v>
      </c>
      <c r="B4" s="11" t="s">
        <v>91</v>
      </c>
      <c r="C4" s="12" t="s">
        <v>64</v>
      </c>
      <c r="D4" s="11" t="s">
        <v>92</v>
      </c>
      <c r="E4" s="11" t="s">
        <v>96</v>
      </c>
      <c r="F4" s="36" t="s">
        <v>229</v>
      </c>
      <c r="G4" s="32" t="s">
        <v>2</v>
      </c>
      <c r="H4" s="32" t="s">
        <v>2</v>
      </c>
      <c r="I4" s="32" t="s">
        <v>2</v>
      </c>
      <c r="J4" s="32" t="s">
        <v>2</v>
      </c>
      <c r="K4" s="32" t="s">
        <v>2</v>
      </c>
      <c r="L4" s="13" t="str">
        <f t="shared" si="0"/>
        <v>Interoperabilidade</v>
      </c>
      <c r="M4" s="13" t="str">
        <f t="shared" si="1"/>
        <v>Esquemas</v>
      </c>
      <c r="N4" s="13" t="str">
        <f t="shared" si="2"/>
        <v>KML</v>
      </c>
      <c r="O4" s="13" t="str">
        <f t="shared" si="3"/>
        <v>Kml.Box</v>
      </c>
      <c r="P4" s="37" t="s">
        <v>182</v>
      </c>
      <c r="Q4" s="14" t="str">
        <f t="shared" ref="Q4:Q19" si="9">_xlfn.TRANSLATE(P4,"pt","es")</f>
        <v>Elemento KML. Define una región con 4 límites &lt;LatLonBox&gt;&lt;north&gt;37.80005&lt;/north&gt; &lt;south&gt;37.50005&lt;/south&gt; &lt;east&gt;120.373033&lt;/east&gt; &lt;west&gt;120.376033&lt;/west&gt; &lt;rotation&gt;0&lt;/rotation&gt;&lt;/LatLonBox&gt;</v>
      </c>
      <c r="R4" s="14" t="str">
        <f t="shared" si="4"/>
        <v>KML element. Defines a region with 4 boundaries &lt;LatLonBox&gt;&lt;north&gt;37.80005&lt;/north&gt; &lt;south&gt;37.50005&lt;/south&gt; &lt;east&gt;120.373033&lt;/east&gt; &lt;west&gt;120.376033&lt;/west&gt; &lt;rotation&gt;0&lt;/rotation&gt;&lt;/LatLonBox&gt;</v>
      </c>
      <c r="S4" s="14" t="s">
        <v>2</v>
      </c>
      <c r="T4" s="14" t="str">
        <f t="shared" si="5"/>
        <v>Interoperabilidade</v>
      </c>
      <c r="U4" s="14" t="str">
        <f t="shared" si="6"/>
        <v>Esquemas</v>
      </c>
      <c r="V4" s="14" t="str">
        <f t="shared" si="7"/>
        <v>Kml.Box</v>
      </c>
      <c r="W4" s="14" t="s">
        <v>64</v>
      </c>
      <c r="X4" s="30" t="str">
        <f t="shared" si="8"/>
        <v>Key-Kml-4</v>
      </c>
      <c r="Y4" s="14" t="s">
        <v>2</v>
      </c>
      <c r="Z4" s="14" t="s">
        <v>2</v>
      </c>
      <c r="AA4" s="14" t="s">
        <v>2</v>
      </c>
      <c r="AB4" s="14" t="s">
        <v>2</v>
      </c>
      <c r="AC4" s="14" t="s">
        <v>2</v>
      </c>
      <c r="AD4" s="37" t="s">
        <v>187</v>
      </c>
    </row>
    <row r="5" spans="1:30" ht="7.5" customHeight="1" x14ac:dyDescent="0.2">
      <c r="A5" s="31">
        <v>5</v>
      </c>
      <c r="B5" s="11" t="s">
        <v>91</v>
      </c>
      <c r="C5" s="12" t="s">
        <v>64</v>
      </c>
      <c r="D5" s="11" t="s">
        <v>92</v>
      </c>
      <c r="E5" s="11" t="s">
        <v>96</v>
      </c>
      <c r="F5" s="36" t="s">
        <v>231</v>
      </c>
      <c r="G5" s="32" t="s">
        <v>2</v>
      </c>
      <c r="H5" s="32" t="s">
        <v>2</v>
      </c>
      <c r="I5" s="32" t="s">
        <v>2</v>
      </c>
      <c r="J5" s="32" t="s">
        <v>2</v>
      </c>
      <c r="K5" s="32" t="s">
        <v>2</v>
      </c>
      <c r="L5" s="13" t="str">
        <f t="shared" si="0"/>
        <v>Interoperabilidade</v>
      </c>
      <c r="M5" s="13" t="str">
        <f t="shared" si="1"/>
        <v>Esquemas</v>
      </c>
      <c r="N5" s="13" t="str">
        <f t="shared" si="2"/>
        <v>KML</v>
      </c>
      <c r="O5" s="13" t="str">
        <f t="shared" si="3"/>
        <v>Kml.Box.Cardinal.Leste</v>
      </c>
      <c r="P5" s="37" t="s">
        <v>180</v>
      </c>
      <c r="Q5" s="14" t="str">
        <f t="shared" si="9"/>
        <v>Elemento KML. Fija la longitud del límite oriental de una región &lt;east&gt;120.373033&lt;/east&gt;</v>
      </c>
      <c r="R5" s="14" t="str">
        <f t="shared" si="4"/>
        <v>KML element. Sets the longitude of the eastern boundary of a region &lt;east&gt;120.373033&lt;/east&gt;</v>
      </c>
      <c r="S5" s="14" t="s">
        <v>2</v>
      </c>
      <c r="T5" s="14" t="str">
        <f t="shared" si="5"/>
        <v>Interoperabilidade</v>
      </c>
      <c r="U5" s="14" t="str">
        <f t="shared" si="6"/>
        <v>Esquemas</v>
      </c>
      <c r="V5" s="14" t="str">
        <f t="shared" si="7"/>
        <v>Kml.Box.Cardinal.Leste</v>
      </c>
      <c r="W5" s="14" t="s">
        <v>64</v>
      </c>
      <c r="X5" s="30" t="str">
        <f t="shared" si="8"/>
        <v>Key-Kml-5</v>
      </c>
      <c r="Y5" s="14" t="s">
        <v>2</v>
      </c>
      <c r="Z5" s="14" t="s">
        <v>2</v>
      </c>
      <c r="AA5" s="14" t="s">
        <v>2</v>
      </c>
      <c r="AB5" s="14" t="s">
        <v>2</v>
      </c>
      <c r="AC5" s="14" t="s">
        <v>2</v>
      </c>
      <c r="AD5" s="37" t="s">
        <v>190</v>
      </c>
    </row>
    <row r="6" spans="1:30" ht="7.5" customHeight="1" x14ac:dyDescent="0.2">
      <c r="A6" s="31">
        <v>6</v>
      </c>
      <c r="B6" s="11" t="s">
        <v>91</v>
      </c>
      <c r="C6" s="12" t="s">
        <v>64</v>
      </c>
      <c r="D6" s="11" t="s">
        <v>92</v>
      </c>
      <c r="E6" s="11" t="s">
        <v>96</v>
      </c>
      <c r="F6" s="36" t="s">
        <v>232</v>
      </c>
      <c r="G6" s="32" t="s">
        <v>2</v>
      </c>
      <c r="H6" s="32" t="s">
        <v>2</v>
      </c>
      <c r="I6" s="32" t="s">
        <v>2</v>
      </c>
      <c r="J6" s="32" t="s">
        <v>2</v>
      </c>
      <c r="K6" s="32" t="s">
        <v>2</v>
      </c>
      <c r="L6" s="13" t="str">
        <f t="shared" si="0"/>
        <v>Interoperabilidade</v>
      </c>
      <c r="M6" s="13" t="str">
        <f t="shared" si="1"/>
        <v>Esquemas</v>
      </c>
      <c r="N6" s="13" t="str">
        <f t="shared" si="2"/>
        <v>KML</v>
      </c>
      <c r="O6" s="13" t="str">
        <f t="shared" si="3"/>
        <v>Kml.Box.Cardinal.Norte</v>
      </c>
      <c r="P6" s="37" t="s">
        <v>178</v>
      </c>
      <c r="Q6" s="14" t="str">
        <f t="shared" si="9"/>
        <v>Elemento KML. Fija la latitud del límite norte de una región &lt;north&gt;37.80005&lt;/north&gt;</v>
      </c>
      <c r="R6" s="14" t="str">
        <f t="shared" si="4"/>
        <v>KML element. Sets the latitude of the northern boundary of a region &lt;north&gt;37.80005&lt;/north&gt;</v>
      </c>
      <c r="S6" s="14" t="s">
        <v>2</v>
      </c>
      <c r="T6" s="14" t="str">
        <f t="shared" si="5"/>
        <v>Interoperabilidade</v>
      </c>
      <c r="U6" s="14" t="str">
        <f t="shared" si="6"/>
        <v>Esquemas</v>
      </c>
      <c r="V6" s="14" t="str">
        <f t="shared" si="7"/>
        <v>Kml.Box.Cardinal.Norte</v>
      </c>
      <c r="W6" s="14" t="s">
        <v>64</v>
      </c>
      <c r="X6" s="30" t="str">
        <f t="shared" si="8"/>
        <v>Key-Kml-6</v>
      </c>
      <c r="Y6" s="14" t="s">
        <v>2</v>
      </c>
      <c r="Z6" s="14" t="s">
        <v>2</v>
      </c>
      <c r="AA6" s="14" t="s">
        <v>2</v>
      </c>
      <c r="AB6" s="14" t="s">
        <v>2</v>
      </c>
      <c r="AC6" s="14" t="s">
        <v>2</v>
      </c>
      <c r="AD6" s="37" t="s">
        <v>188</v>
      </c>
    </row>
    <row r="7" spans="1:30" ht="7.5" customHeight="1" x14ac:dyDescent="0.2">
      <c r="A7" s="31">
        <v>7</v>
      </c>
      <c r="B7" s="11" t="s">
        <v>91</v>
      </c>
      <c r="C7" s="12" t="s">
        <v>64</v>
      </c>
      <c r="D7" s="11" t="s">
        <v>92</v>
      </c>
      <c r="E7" s="11" t="s">
        <v>96</v>
      </c>
      <c r="F7" s="36" t="s">
        <v>233</v>
      </c>
      <c r="G7" s="32" t="s">
        <v>2</v>
      </c>
      <c r="H7" s="32" t="s">
        <v>2</v>
      </c>
      <c r="I7" s="32" t="s">
        <v>2</v>
      </c>
      <c r="J7" s="32" t="s">
        <v>2</v>
      </c>
      <c r="K7" s="32" t="s">
        <v>2</v>
      </c>
      <c r="L7" s="13" t="str">
        <f t="shared" si="0"/>
        <v>Interoperabilidade</v>
      </c>
      <c r="M7" s="13" t="str">
        <f t="shared" si="1"/>
        <v>Esquemas</v>
      </c>
      <c r="N7" s="13" t="str">
        <f t="shared" si="2"/>
        <v>KML</v>
      </c>
      <c r="O7" s="13" t="str">
        <f t="shared" si="3"/>
        <v>Kml.Box.Cardinal.Oeste</v>
      </c>
      <c r="P7" s="37" t="s">
        <v>181</v>
      </c>
      <c r="Q7" s="14" t="str">
        <f t="shared" si="9"/>
        <v>Elemento KML. Define la longitud del límite occidental de una región &lt;west&gt;120.376033&lt;/west&gt;</v>
      </c>
      <c r="R7" s="14" t="str">
        <f t="shared" si="4"/>
        <v>KML element. Defines the longitude of the western boundary of a region &lt;west&gt;120.376033&lt;/west&gt;</v>
      </c>
      <c r="S7" s="14" t="s">
        <v>2</v>
      </c>
      <c r="T7" s="14" t="str">
        <f t="shared" si="5"/>
        <v>Interoperabilidade</v>
      </c>
      <c r="U7" s="14" t="str">
        <f t="shared" si="6"/>
        <v>Esquemas</v>
      </c>
      <c r="V7" s="14" t="str">
        <f t="shared" si="7"/>
        <v>Kml.Box.Cardinal.Oeste</v>
      </c>
      <c r="W7" s="14" t="s">
        <v>64</v>
      </c>
      <c r="X7" s="30" t="str">
        <f t="shared" si="8"/>
        <v>Key-Kml-7</v>
      </c>
      <c r="Y7" s="14" t="s">
        <v>2</v>
      </c>
      <c r="Z7" s="14" t="s">
        <v>2</v>
      </c>
      <c r="AA7" s="14" t="s">
        <v>2</v>
      </c>
      <c r="AB7" s="14" t="s">
        <v>2</v>
      </c>
      <c r="AC7" s="14" t="s">
        <v>2</v>
      </c>
      <c r="AD7" s="37" t="s">
        <v>191</v>
      </c>
    </row>
    <row r="8" spans="1:30" ht="7.5" customHeight="1" x14ac:dyDescent="0.2">
      <c r="A8" s="31">
        <v>8</v>
      </c>
      <c r="B8" s="11" t="s">
        <v>91</v>
      </c>
      <c r="C8" s="12" t="s">
        <v>64</v>
      </c>
      <c r="D8" s="11" t="s">
        <v>92</v>
      </c>
      <c r="E8" s="11" t="s">
        <v>96</v>
      </c>
      <c r="F8" s="36" t="s">
        <v>234</v>
      </c>
      <c r="G8" s="32" t="s">
        <v>2</v>
      </c>
      <c r="H8" s="32" t="s">
        <v>2</v>
      </c>
      <c r="I8" s="32" t="s">
        <v>2</v>
      </c>
      <c r="J8" s="32" t="s">
        <v>2</v>
      </c>
      <c r="K8" s="32" t="s">
        <v>2</v>
      </c>
      <c r="L8" s="13" t="str">
        <f t="shared" si="0"/>
        <v>Interoperabilidade</v>
      </c>
      <c r="M8" s="13" t="str">
        <f t="shared" si="1"/>
        <v>Esquemas</v>
      </c>
      <c r="N8" s="13" t="str">
        <f t="shared" si="2"/>
        <v>KML</v>
      </c>
      <c r="O8" s="13" t="str">
        <f t="shared" si="3"/>
        <v>Kml.Box.Cardinal.Sul</v>
      </c>
      <c r="P8" s="37" t="s">
        <v>179</v>
      </c>
      <c r="Q8" s="14" t="str">
        <f t="shared" si="9"/>
        <v>Elemento KML. Establece la latitud del límite sur de una región &lt;south&gt;37.50005&lt;/south&gt;</v>
      </c>
      <c r="R8" s="14" t="str">
        <f t="shared" si="4"/>
        <v>KML element. Sets the latitude of the southern boundary of a region &lt;south&gt;37.50005&lt;/south&gt;</v>
      </c>
      <c r="S8" s="14" t="s">
        <v>2</v>
      </c>
      <c r="T8" s="14" t="str">
        <f t="shared" si="5"/>
        <v>Interoperabilidade</v>
      </c>
      <c r="U8" s="14" t="str">
        <f t="shared" si="6"/>
        <v>Esquemas</v>
      </c>
      <c r="V8" s="14" t="str">
        <f t="shared" si="7"/>
        <v>Kml.Box.Cardinal.Sul</v>
      </c>
      <c r="W8" s="14" t="s">
        <v>64</v>
      </c>
      <c r="X8" s="30" t="str">
        <f t="shared" si="8"/>
        <v>Key-Kml-8</v>
      </c>
      <c r="Y8" s="14" t="s">
        <v>2</v>
      </c>
      <c r="Z8" s="14" t="s">
        <v>2</v>
      </c>
      <c r="AA8" s="14" t="s">
        <v>2</v>
      </c>
      <c r="AB8" s="14" t="s">
        <v>2</v>
      </c>
      <c r="AC8" s="14" t="s">
        <v>2</v>
      </c>
      <c r="AD8" s="37" t="s">
        <v>189</v>
      </c>
    </row>
    <row r="9" spans="1:30" ht="7.5" customHeight="1" x14ac:dyDescent="0.2">
      <c r="A9" s="31">
        <v>9</v>
      </c>
      <c r="B9" s="11" t="s">
        <v>91</v>
      </c>
      <c r="C9" s="12" t="s">
        <v>64</v>
      </c>
      <c r="D9" s="11" t="s">
        <v>92</v>
      </c>
      <c r="E9" s="11" t="s">
        <v>96</v>
      </c>
      <c r="F9" s="36" t="s">
        <v>230</v>
      </c>
      <c r="G9" s="32" t="s">
        <v>2</v>
      </c>
      <c r="H9" s="32" t="s">
        <v>2</v>
      </c>
      <c r="I9" s="32" t="s">
        <v>2</v>
      </c>
      <c r="J9" s="32" t="s">
        <v>2</v>
      </c>
      <c r="K9" s="32" t="s">
        <v>2</v>
      </c>
      <c r="L9" s="13" t="str">
        <f t="shared" si="0"/>
        <v>Interoperabilidade</v>
      </c>
      <c r="M9" s="13" t="str">
        <f t="shared" si="1"/>
        <v>Esquemas</v>
      </c>
      <c r="N9" s="13" t="str">
        <f t="shared" si="2"/>
        <v>KML</v>
      </c>
      <c r="O9" s="13" t="str">
        <f t="shared" si="3"/>
        <v>Kml.Box.Rotado</v>
      </c>
      <c r="P9" s="37" t="s">
        <v>183</v>
      </c>
      <c r="Q9" s="14" t="str">
        <f t="shared" si="9"/>
        <v>Elemento KML. Establece una &lt;rotation&gt;rotación 45&lt;/rotation&gt;</v>
      </c>
      <c r="R9" s="14" t="str">
        <f t="shared" si="4"/>
        <v>KML element. Sets a &lt;rotation&gt;rotation 45&lt;/rotation&gt;</v>
      </c>
      <c r="S9" s="14" t="s">
        <v>2</v>
      </c>
      <c r="T9" s="14" t="str">
        <f t="shared" si="5"/>
        <v>Interoperabilidade</v>
      </c>
      <c r="U9" s="14" t="str">
        <f t="shared" si="6"/>
        <v>Esquemas</v>
      </c>
      <c r="V9" s="14" t="str">
        <f t="shared" si="7"/>
        <v>Kml.Box.Rotado</v>
      </c>
      <c r="W9" s="14" t="s">
        <v>64</v>
      </c>
      <c r="X9" s="30" t="str">
        <f t="shared" si="8"/>
        <v>Key-Kml-9</v>
      </c>
      <c r="Y9" s="14" t="s">
        <v>2</v>
      </c>
      <c r="Z9" s="14" t="s">
        <v>2</v>
      </c>
      <c r="AA9" s="14" t="s">
        <v>2</v>
      </c>
      <c r="AB9" s="14" t="s">
        <v>2</v>
      </c>
      <c r="AC9" s="14" t="s">
        <v>2</v>
      </c>
      <c r="AD9" s="37" t="s">
        <v>192</v>
      </c>
    </row>
    <row r="10" spans="1:30" ht="7.5" customHeight="1" x14ac:dyDescent="0.2">
      <c r="A10" s="31">
        <v>10</v>
      </c>
      <c r="B10" s="11" t="s">
        <v>91</v>
      </c>
      <c r="C10" s="12" t="s">
        <v>64</v>
      </c>
      <c r="D10" s="11" t="s">
        <v>92</v>
      </c>
      <c r="E10" s="11" t="s">
        <v>96</v>
      </c>
      <c r="F10" s="36" t="s">
        <v>145</v>
      </c>
      <c r="G10" s="32" t="s">
        <v>2</v>
      </c>
      <c r="H10" s="32" t="s">
        <v>2</v>
      </c>
      <c r="I10" s="32" t="s">
        <v>2</v>
      </c>
      <c r="J10" s="32" t="s">
        <v>2</v>
      </c>
      <c r="K10" s="32" t="s">
        <v>2</v>
      </c>
      <c r="L10" s="13" t="str">
        <f t="shared" si="0"/>
        <v>Interoperabilidade</v>
      </c>
      <c r="M10" s="13" t="str">
        <f t="shared" si="1"/>
        <v>Esquemas</v>
      </c>
      <c r="N10" s="13" t="str">
        <f t="shared" si="2"/>
        <v>KML</v>
      </c>
      <c r="O10" s="13" t="str">
        <f t="shared" si="3"/>
        <v>Kml.Camara</v>
      </c>
      <c r="P10" s="37" t="s">
        <v>103</v>
      </c>
      <c r="Q10" s="14" t="str">
        <f t="shared" si="9"/>
        <v>Elemento de visualización en KML. Establece la posición y orientación exactas de la propia cámara en el espacio tridimensional (latitud, longitud, altitud, rotación e inclinación).</v>
      </c>
      <c r="R10" s="14" t="str">
        <f t="shared" si="4"/>
        <v>Visualization element in KML. Sets the exact position and orientation of the camera itself in three-dimensional space (latitude, longitude, altitude, rotation, and tilt).</v>
      </c>
      <c r="S10" s="14" t="s">
        <v>2</v>
      </c>
      <c r="T10" s="14" t="str">
        <f t="shared" si="5"/>
        <v>Interoperabilidade</v>
      </c>
      <c r="U10" s="14" t="str">
        <f t="shared" si="6"/>
        <v>Esquemas</v>
      </c>
      <c r="V10" s="14" t="str">
        <f t="shared" si="7"/>
        <v>Kml.Camara</v>
      </c>
      <c r="W10" s="14" t="s">
        <v>64</v>
      </c>
      <c r="X10" s="30" t="str">
        <f t="shared" si="8"/>
        <v>Key-Kml-10</v>
      </c>
      <c r="Y10" s="14" t="s">
        <v>2</v>
      </c>
      <c r="Z10" s="14" t="s">
        <v>2</v>
      </c>
      <c r="AA10" s="14" t="s">
        <v>2</v>
      </c>
      <c r="AB10" s="14" t="s">
        <v>2</v>
      </c>
      <c r="AC10" s="14" t="s">
        <v>2</v>
      </c>
      <c r="AD10" s="37" t="s">
        <v>137</v>
      </c>
    </row>
    <row r="11" spans="1:30" ht="7.5" customHeight="1" x14ac:dyDescent="0.2">
      <c r="A11" s="31">
        <v>11</v>
      </c>
      <c r="B11" s="11" t="s">
        <v>91</v>
      </c>
      <c r="C11" s="12" t="s">
        <v>64</v>
      </c>
      <c r="D11" s="11" t="s">
        <v>92</v>
      </c>
      <c r="E11" s="11" t="s">
        <v>96</v>
      </c>
      <c r="F11" s="36" t="s">
        <v>327</v>
      </c>
      <c r="G11" s="32" t="s">
        <v>2</v>
      </c>
      <c r="H11" s="32" t="s">
        <v>2</v>
      </c>
      <c r="I11" s="32" t="s">
        <v>2</v>
      </c>
      <c r="J11" s="32" t="s">
        <v>2</v>
      </c>
      <c r="K11" s="32" t="s">
        <v>2</v>
      </c>
      <c r="L11" s="13" t="str">
        <f t="shared" si="0"/>
        <v>Interoperabilidade</v>
      </c>
      <c r="M11" s="13" t="str">
        <f t="shared" si="1"/>
        <v>Esquemas</v>
      </c>
      <c r="N11" s="13" t="str">
        <f t="shared" si="2"/>
        <v>KML</v>
      </c>
      <c r="O11" s="13" t="str">
        <f t="shared" si="3"/>
        <v>Kml.Camara.Alcance</v>
      </c>
      <c r="P11" s="37" t="s">
        <v>326</v>
      </c>
      <c r="Q11" s="14" t="str">
        <f t="shared" si="9"/>
        <v>Especifica la distancia focal de la cámara hasta el punto de interés en metros. &lt;range&gt;1000&lt;/range&gt;</v>
      </c>
      <c r="R11" s="14" t="str">
        <f t="shared" si="4"/>
        <v>Specifies the focal length of the camera to the point of interest in meters. &lt;range&gt;1000&lt;/range&gt;</v>
      </c>
      <c r="S11" s="14" t="s">
        <v>2</v>
      </c>
      <c r="T11" s="14" t="str">
        <f t="shared" si="5"/>
        <v>Interoperabilidade</v>
      </c>
      <c r="U11" s="14" t="str">
        <f t="shared" si="6"/>
        <v>Esquemas</v>
      </c>
      <c r="V11" s="14" t="str">
        <f t="shared" si="7"/>
        <v>Kml.Camara.Alcance</v>
      </c>
      <c r="W11" s="14" t="s">
        <v>64</v>
      </c>
      <c r="X11" s="30" t="str">
        <f t="shared" si="8"/>
        <v>Key-Kml-11</v>
      </c>
      <c r="Y11" s="14" t="s">
        <v>2</v>
      </c>
      <c r="Z11" s="14" t="s">
        <v>2</v>
      </c>
      <c r="AA11" s="14" t="s">
        <v>2</v>
      </c>
      <c r="AB11" s="14" t="s">
        <v>2</v>
      </c>
      <c r="AC11" s="14" t="s">
        <v>2</v>
      </c>
      <c r="AD11" s="37" t="s">
        <v>205</v>
      </c>
    </row>
    <row r="12" spans="1:30" ht="7.5" customHeight="1" x14ac:dyDescent="0.2">
      <c r="A12" s="31">
        <v>12</v>
      </c>
      <c r="B12" s="11" t="s">
        <v>91</v>
      </c>
      <c r="C12" s="12" t="s">
        <v>64</v>
      </c>
      <c r="D12" s="11" t="s">
        <v>92</v>
      </c>
      <c r="E12" s="11" t="s">
        <v>96</v>
      </c>
      <c r="F12" s="36" t="s">
        <v>238</v>
      </c>
      <c r="G12" s="32" t="s">
        <v>2</v>
      </c>
      <c r="H12" s="32" t="s">
        <v>2</v>
      </c>
      <c r="I12" s="32" t="s">
        <v>2</v>
      </c>
      <c r="J12" s="32" t="s">
        <v>2</v>
      </c>
      <c r="K12" s="32" t="s">
        <v>2</v>
      </c>
      <c r="L12" s="13" t="str">
        <f t="shared" si="0"/>
        <v>Interoperabilidade</v>
      </c>
      <c r="M12" s="13" t="str">
        <f t="shared" si="1"/>
        <v>Esquemas</v>
      </c>
      <c r="N12" s="13" t="str">
        <f t="shared" si="2"/>
        <v>KML</v>
      </c>
      <c r="O12" s="13" t="str">
        <f t="shared" si="3"/>
        <v>Kml.Camara.Alvo</v>
      </c>
      <c r="P12" s="37" t="s">
        <v>104</v>
      </c>
      <c r="Q12" s="14" t="str">
        <f t="shared" si="9"/>
        <v>Elemento de visualización en KML. Establece la vista posicionando la cámara respecto a un punto geográfico objetivo (incluyendo distancia, inclinación y rumbo).</v>
      </c>
      <c r="R12" s="14" t="str">
        <f t="shared" si="4"/>
        <v>Visualization element in KML. Sets the view by positioning the camera relative to a target geographic point (including distance, tilt, and heading).</v>
      </c>
      <c r="S12" s="14" t="s">
        <v>2</v>
      </c>
      <c r="T12" s="14" t="str">
        <f t="shared" si="5"/>
        <v>Interoperabilidade</v>
      </c>
      <c r="U12" s="14" t="str">
        <f t="shared" si="6"/>
        <v>Esquemas</v>
      </c>
      <c r="V12" s="14" t="str">
        <f t="shared" si="7"/>
        <v>Kml.Camara.Alvo</v>
      </c>
      <c r="W12" s="14" t="s">
        <v>64</v>
      </c>
      <c r="X12" s="30" t="str">
        <f t="shared" si="8"/>
        <v>Key-Kml-12</v>
      </c>
      <c r="Y12" s="14" t="s">
        <v>2</v>
      </c>
      <c r="Z12" s="14" t="s">
        <v>2</v>
      </c>
      <c r="AA12" s="14" t="s">
        <v>2</v>
      </c>
      <c r="AB12" s="14" t="s">
        <v>2</v>
      </c>
      <c r="AC12" s="14" t="s">
        <v>2</v>
      </c>
      <c r="AD12" s="37" t="s">
        <v>136</v>
      </c>
    </row>
    <row r="13" spans="1:30" ht="7.5" customHeight="1" x14ac:dyDescent="0.2">
      <c r="A13" s="31">
        <v>13</v>
      </c>
      <c r="B13" s="11" t="s">
        <v>91</v>
      </c>
      <c r="C13" s="12" t="s">
        <v>64</v>
      </c>
      <c r="D13" s="11" t="s">
        <v>92</v>
      </c>
      <c r="E13" s="11" t="s">
        <v>96</v>
      </c>
      <c r="F13" s="36" t="s">
        <v>237</v>
      </c>
      <c r="G13" s="32" t="s">
        <v>2</v>
      </c>
      <c r="H13" s="32" t="s">
        <v>2</v>
      </c>
      <c r="I13" s="32" t="s">
        <v>2</v>
      </c>
      <c r="J13" s="32" t="s">
        <v>2</v>
      </c>
      <c r="K13" s="32" t="s">
        <v>2</v>
      </c>
      <c r="L13" s="13" t="str">
        <f t="shared" si="0"/>
        <v>Interoperabilidade</v>
      </c>
      <c r="M13" s="13" t="str">
        <f t="shared" si="1"/>
        <v>Esquemas</v>
      </c>
      <c r="N13" s="13" t="str">
        <f t="shared" si="2"/>
        <v>KML</v>
      </c>
      <c r="O13" s="13" t="str">
        <f t="shared" si="3"/>
        <v>Kml.Camara.Azimut</v>
      </c>
      <c r="P13" s="37" t="s">
        <v>176</v>
      </c>
      <c r="Q13" s="14" t="str">
        <f t="shared" si="9"/>
        <v>Elemento KML. Establece la dirección del acimut en sentido horario y en grados decimales (Norte = 0, Este = 90, Sur = 180, Oeste = 270). &lt;heading&gt;0&lt;/heading&gt;</v>
      </c>
      <c r="R13" s="14" t="str">
        <f t="shared" si="4"/>
        <v>KML element. Sets the azimuth direction clockwise and in decimal degrees (North = 0, East = 90, South = 180, West = 270). &lt;heading&gt;0&lt;/heading&gt;</v>
      </c>
      <c r="S13" s="14" t="s">
        <v>2</v>
      </c>
      <c r="T13" s="14" t="str">
        <f t="shared" si="5"/>
        <v>Interoperabilidade</v>
      </c>
      <c r="U13" s="14" t="str">
        <f t="shared" si="6"/>
        <v>Esquemas</v>
      </c>
      <c r="V13" s="14" t="str">
        <f t="shared" si="7"/>
        <v>Kml.Camara.Azimut</v>
      </c>
      <c r="W13" s="14" t="s">
        <v>64</v>
      </c>
      <c r="X13" s="30" t="str">
        <f t="shared" si="8"/>
        <v>Key-Kml-13</v>
      </c>
      <c r="Y13" s="14" t="s">
        <v>2</v>
      </c>
      <c r="Z13" s="14" t="s">
        <v>2</v>
      </c>
      <c r="AA13" s="14" t="s">
        <v>2</v>
      </c>
      <c r="AB13" s="14" t="s">
        <v>2</v>
      </c>
      <c r="AC13" s="14" t="s">
        <v>2</v>
      </c>
      <c r="AD13" s="37" t="s">
        <v>208</v>
      </c>
    </row>
    <row r="14" spans="1:30" ht="7.5" customHeight="1" x14ac:dyDescent="0.2">
      <c r="A14" s="31">
        <v>14</v>
      </c>
      <c r="B14" s="11" t="s">
        <v>91</v>
      </c>
      <c r="C14" s="12" t="s">
        <v>64</v>
      </c>
      <c r="D14" s="11" t="s">
        <v>92</v>
      </c>
      <c r="E14" s="11" t="s">
        <v>96</v>
      </c>
      <c r="F14" s="36" t="s">
        <v>253</v>
      </c>
      <c r="G14" s="32" t="s">
        <v>2</v>
      </c>
      <c r="H14" s="32" t="s">
        <v>2</v>
      </c>
      <c r="I14" s="32" t="s">
        <v>2</v>
      </c>
      <c r="J14" s="32" t="s">
        <v>2</v>
      </c>
      <c r="K14" s="32" t="s">
        <v>2</v>
      </c>
      <c r="L14" s="13" t="str">
        <f t="shared" si="0"/>
        <v>Interoperabilidade</v>
      </c>
      <c r="M14" s="13" t="str">
        <f t="shared" si="1"/>
        <v>Esquemas</v>
      </c>
      <c r="N14" s="13" t="str">
        <f t="shared" si="2"/>
        <v>KML</v>
      </c>
      <c r="O14" s="13" t="str">
        <f t="shared" si="3"/>
        <v>Kml.Dado.Estendido</v>
      </c>
      <c r="P14" s="37" t="s">
        <v>214</v>
      </c>
      <c r="Q14" s="14" t="str">
        <f t="shared" si="9"/>
        <v>Elemento KML. Define un conjunto de datos extendido (personalizado). &lt;ExtendendData&gt; ..... &lt;/ExtendedData&gt;</v>
      </c>
      <c r="R14" s="14" t="str">
        <f t="shared" si="4"/>
        <v>KML element. Defines an extended (custom) dataset. &lt;ExtendendData&gt; ..... &lt;/ExtendedData&gt;</v>
      </c>
      <c r="S14" s="14" t="s">
        <v>2</v>
      </c>
      <c r="T14" s="14" t="str">
        <f t="shared" si="5"/>
        <v>Interoperabilidade</v>
      </c>
      <c r="U14" s="14" t="str">
        <f t="shared" si="6"/>
        <v>Esquemas</v>
      </c>
      <c r="V14" s="14" t="str">
        <f t="shared" si="7"/>
        <v>Kml.Dado.Estendido</v>
      </c>
      <c r="W14" s="14" t="s">
        <v>64</v>
      </c>
      <c r="X14" s="30" t="str">
        <f t="shared" si="8"/>
        <v>Key-Kml-14</v>
      </c>
      <c r="Y14" s="14" t="s">
        <v>2</v>
      </c>
      <c r="Z14" s="14" t="s">
        <v>2</v>
      </c>
      <c r="AA14" s="14" t="s">
        <v>2</v>
      </c>
      <c r="AB14" s="14" t="s">
        <v>2</v>
      </c>
      <c r="AC14" s="14" t="s">
        <v>2</v>
      </c>
      <c r="AD14" s="37" t="s">
        <v>216</v>
      </c>
    </row>
    <row r="15" spans="1:30" ht="7.5" customHeight="1" x14ac:dyDescent="0.2">
      <c r="A15" s="31">
        <v>15</v>
      </c>
      <c r="B15" s="11" t="s">
        <v>91</v>
      </c>
      <c r="C15" s="12" t="s">
        <v>64</v>
      </c>
      <c r="D15" s="11" t="s">
        <v>92</v>
      </c>
      <c r="E15" s="11" t="s">
        <v>96</v>
      </c>
      <c r="F15" s="36" t="s">
        <v>269</v>
      </c>
      <c r="G15" s="32" t="s">
        <v>2</v>
      </c>
      <c r="H15" s="32" t="s">
        <v>2</v>
      </c>
      <c r="I15" s="32" t="s">
        <v>2</v>
      </c>
      <c r="J15" s="32" t="s">
        <v>2</v>
      </c>
      <c r="K15" s="32" t="s">
        <v>2</v>
      </c>
      <c r="L15" s="13" t="str">
        <f t="shared" si="0"/>
        <v>Interoperabilidade</v>
      </c>
      <c r="M15" s="13" t="str">
        <f t="shared" si="1"/>
        <v>Esquemas</v>
      </c>
      <c r="N15" s="13" t="str">
        <f t="shared" si="2"/>
        <v>KML</v>
      </c>
      <c r="O15" s="13" t="str">
        <f t="shared" si="3"/>
        <v>Kml.Dado.Estendido.Dado</v>
      </c>
      <c r="P15" s="37" t="s">
        <v>218</v>
      </c>
      <c r="Q15" s="14" t="str">
        <f t="shared" si="9"/>
        <v>Elemento KML. Define un dato personalizado dentro de ExtendenData &lt;Nombre de datos='doname'&lt;value&gt;&gt;1&lt;/value&gt;&lt;/Data&gt;</v>
      </c>
      <c r="R15" s="14" t="str">
        <f t="shared" si="4"/>
        <v>KML element. Define a custom data within ExtendenData &lt;Data name='doname'&gt;&lt;value&gt;1&lt;/value&gt;&lt;/Data&gt;</v>
      </c>
      <c r="S15" s="14" t="s">
        <v>2</v>
      </c>
      <c r="T15" s="14" t="str">
        <f t="shared" si="5"/>
        <v>Interoperabilidade</v>
      </c>
      <c r="U15" s="14" t="str">
        <f t="shared" si="6"/>
        <v>Esquemas</v>
      </c>
      <c r="V15" s="14" t="str">
        <f t="shared" si="7"/>
        <v>Kml.Dado.Estendido.Dado</v>
      </c>
      <c r="W15" s="14" t="s">
        <v>64</v>
      </c>
      <c r="X15" s="30" t="str">
        <f t="shared" si="8"/>
        <v>Key-Kml-15</v>
      </c>
      <c r="Y15" s="14" t="s">
        <v>2</v>
      </c>
      <c r="Z15" s="14" t="s">
        <v>2</v>
      </c>
      <c r="AA15" s="14" t="s">
        <v>2</v>
      </c>
      <c r="AB15" s="14" t="s">
        <v>2</v>
      </c>
      <c r="AC15" s="14" t="s">
        <v>2</v>
      </c>
      <c r="AD15" s="37" t="s">
        <v>219</v>
      </c>
    </row>
    <row r="16" spans="1:30" ht="7.5" customHeight="1" x14ac:dyDescent="0.2">
      <c r="A16" s="31">
        <v>16</v>
      </c>
      <c r="B16" s="11" t="s">
        <v>91</v>
      </c>
      <c r="C16" s="12" t="s">
        <v>64</v>
      </c>
      <c r="D16" s="11" t="s">
        <v>92</v>
      </c>
      <c r="E16" s="11" t="s">
        <v>96</v>
      </c>
      <c r="F16" s="36" t="s">
        <v>270</v>
      </c>
      <c r="G16" s="32" t="s">
        <v>2</v>
      </c>
      <c r="H16" s="32" t="s">
        <v>2</v>
      </c>
      <c r="I16" s="32" t="s">
        <v>2</v>
      </c>
      <c r="J16" s="32" t="s">
        <v>2</v>
      </c>
      <c r="K16" s="32" t="s">
        <v>2</v>
      </c>
      <c r="L16" s="13" t="str">
        <f t="shared" si="0"/>
        <v>Interoperabilidade</v>
      </c>
      <c r="M16" s="13" t="str">
        <f t="shared" si="1"/>
        <v>Esquemas</v>
      </c>
      <c r="N16" s="13" t="str">
        <f t="shared" si="2"/>
        <v>KML</v>
      </c>
      <c r="O16" s="13" t="str">
        <f t="shared" si="3"/>
        <v>Kml.Dado.Estendido.Dado.Simples</v>
      </c>
      <c r="P16" s="37" t="s">
        <v>220</v>
      </c>
      <c r="Q16" s="14" t="str">
        <f t="shared" si="9"/>
        <v>Elemento KML. Define un dato plano personalizado dentro de ExtendenData &lt;SimpleData name='Elevation'&gt;10000&lt;/SimpleData&gt;</v>
      </c>
      <c r="R16" s="14" t="str">
        <f t="shared" si="4"/>
        <v>KML element. Define a custom flat data inside ExtendenData &lt;SimpleData name='Elevation'&gt;10000&lt;/SimpleData&gt;</v>
      </c>
      <c r="S16" s="14" t="s">
        <v>2</v>
      </c>
      <c r="T16" s="14" t="str">
        <f t="shared" si="5"/>
        <v>Interoperabilidade</v>
      </c>
      <c r="U16" s="14" t="str">
        <f t="shared" si="6"/>
        <v>Esquemas</v>
      </c>
      <c r="V16" s="14" t="str">
        <f t="shared" si="7"/>
        <v>Kml.Dado.Estendido.Dado.Simples</v>
      </c>
      <c r="W16" s="14" t="s">
        <v>64</v>
      </c>
      <c r="X16" s="30" t="str">
        <f t="shared" si="8"/>
        <v>Key-Kml-16</v>
      </c>
      <c r="Y16" s="14" t="s">
        <v>2</v>
      </c>
      <c r="Z16" s="14" t="s">
        <v>2</v>
      </c>
      <c r="AA16" s="14" t="s">
        <v>2</v>
      </c>
      <c r="AB16" s="14" t="s">
        <v>2</v>
      </c>
      <c r="AC16" s="14" t="s">
        <v>2</v>
      </c>
      <c r="AD16" s="37" t="s">
        <v>221</v>
      </c>
    </row>
    <row r="17" spans="1:30" ht="7.5" customHeight="1" x14ac:dyDescent="0.2">
      <c r="A17" s="31">
        <v>17</v>
      </c>
      <c r="B17" s="11" t="s">
        <v>91</v>
      </c>
      <c r="C17" s="12" t="s">
        <v>64</v>
      </c>
      <c r="D17" s="11" t="s">
        <v>92</v>
      </c>
      <c r="E17" s="11" t="s">
        <v>96</v>
      </c>
      <c r="F17" s="36" t="s">
        <v>268</v>
      </c>
      <c r="G17" s="32" t="s">
        <v>2</v>
      </c>
      <c r="H17" s="32" t="s">
        <v>2</v>
      </c>
      <c r="I17" s="32" t="s">
        <v>2</v>
      </c>
      <c r="J17" s="32" t="s">
        <v>2</v>
      </c>
      <c r="K17" s="32" t="s">
        <v>2</v>
      </c>
      <c r="L17" s="13" t="str">
        <f t="shared" si="0"/>
        <v>Interoperabilidade</v>
      </c>
      <c r="M17" s="13" t="str">
        <f t="shared" si="1"/>
        <v>Esquemas</v>
      </c>
      <c r="N17" s="13" t="str">
        <f t="shared" si="2"/>
        <v>KML</v>
      </c>
      <c r="O17" s="13" t="str">
        <f t="shared" si="3"/>
        <v>Kml.Dado.Estendido.Esquema</v>
      </c>
      <c r="P17" s="37" t="s">
        <v>224</v>
      </c>
      <c r="Q17" s="14" t="str">
        <f t="shared" si="9"/>
        <v>Elemento KML. Define un diseño &lt;Schema&gt; personalizado ..... &lt;/Schema&gt;</v>
      </c>
      <c r="R17" s="14" t="str">
        <f t="shared" si="4"/>
        <v>KML element. Define a custom layout &lt;Schema&gt; ..... &lt;/Schema&gt;</v>
      </c>
      <c r="S17" s="14" t="s">
        <v>2</v>
      </c>
      <c r="T17" s="14" t="str">
        <f t="shared" si="5"/>
        <v>Interoperabilidade</v>
      </c>
      <c r="U17" s="14" t="str">
        <f t="shared" si="6"/>
        <v>Esquemas</v>
      </c>
      <c r="V17" s="14" t="str">
        <f t="shared" si="7"/>
        <v>Kml.Dado.Estendido.Esquema</v>
      </c>
      <c r="W17" s="14" t="s">
        <v>64</v>
      </c>
      <c r="X17" s="30" t="str">
        <f t="shared" si="8"/>
        <v>Key-Kml-17</v>
      </c>
      <c r="Y17" s="14" t="s">
        <v>2</v>
      </c>
      <c r="Z17" s="14" t="s">
        <v>2</v>
      </c>
      <c r="AA17" s="14" t="s">
        <v>2</v>
      </c>
      <c r="AB17" s="14" t="s">
        <v>2</v>
      </c>
      <c r="AC17" s="14" t="s">
        <v>2</v>
      </c>
      <c r="AD17" s="37" t="s">
        <v>271</v>
      </c>
    </row>
    <row r="18" spans="1:30" ht="7.5" customHeight="1" x14ac:dyDescent="0.2">
      <c r="A18" s="31">
        <v>18</v>
      </c>
      <c r="B18" s="11" t="s">
        <v>91</v>
      </c>
      <c r="C18" s="12" t="s">
        <v>64</v>
      </c>
      <c r="D18" s="11" t="s">
        <v>92</v>
      </c>
      <c r="E18" s="11" t="s">
        <v>96</v>
      </c>
      <c r="F18" s="36" t="s">
        <v>267</v>
      </c>
      <c r="G18" s="32" t="s">
        <v>2</v>
      </c>
      <c r="H18" s="32" t="s">
        <v>2</v>
      </c>
      <c r="I18" s="32" t="s">
        <v>2</v>
      </c>
      <c r="J18" s="32" t="s">
        <v>2</v>
      </c>
      <c r="K18" s="32" t="s">
        <v>2</v>
      </c>
      <c r="L18" s="13" t="str">
        <f t="shared" si="0"/>
        <v>Interoperabilidade</v>
      </c>
      <c r="M18" s="13" t="str">
        <f t="shared" si="1"/>
        <v>Esquemas</v>
      </c>
      <c r="N18" s="13" t="str">
        <f t="shared" si="2"/>
        <v>KML</v>
      </c>
      <c r="O18" s="13" t="str">
        <f t="shared" si="3"/>
        <v>Kml.Dado.Estendido.Esquema.Dado</v>
      </c>
      <c r="P18" s="37" t="s">
        <v>223</v>
      </c>
      <c r="Q18" s="14" t="str">
        <f t="shared" si="9"/>
        <v>Elemento KML. Define un dato &lt;Schema&gt; asociado a uno para añadir datos personalizados tipados a un elemento KML.</v>
      </c>
      <c r="R18" s="14" t="str">
        <f t="shared" si="4"/>
        <v>KML element. Defines a piece of data associated &lt;Schema&gt; with one to add typed custom data to a KML element.</v>
      </c>
      <c r="S18" s="14" t="s">
        <v>2</v>
      </c>
      <c r="T18" s="14" t="str">
        <f t="shared" si="5"/>
        <v>Interoperabilidade</v>
      </c>
      <c r="U18" s="14" t="str">
        <f t="shared" si="6"/>
        <v>Esquemas</v>
      </c>
      <c r="V18" s="14" t="str">
        <f t="shared" si="7"/>
        <v>Kml.Dado.Estendido.Esquema.Dado</v>
      </c>
      <c r="W18" s="14" t="s">
        <v>64</v>
      </c>
      <c r="X18" s="30" t="str">
        <f t="shared" si="8"/>
        <v>Key-Kml-18</v>
      </c>
      <c r="Y18" s="14" t="s">
        <v>2</v>
      </c>
      <c r="Z18" s="14" t="s">
        <v>2</v>
      </c>
      <c r="AA18" s="14" t="s">
        <v>2</v>
      </c>
      <c r="AB18" s="14" t="s">
        <v>2</v>
      </c>
      <c r="AC18" s="14" t="s">
        <v>2</v>
      </c>
      <c r="AD18" s="37" t="s">
        <v>222</v>
      </c>
    </row>
    <row r="19" spans="1:30" ht="7.5" customHeight="1" x14ac:dyDescent="0.2">
      <c r="A19" s="31">
        <v>19</v>
      </c>
      <c r="B19" s="11" t="s">
        <v>91</v>
      </c>
      <c r="C19" s="12" t="s">
        <v>64</v>
      </c>
      <c r="D19" s="11" t="s">
        <v>92</v>
      </c>
      <c r="E19" s="11" t="s">
        <v>96</v>
      </c>
      <c r="F19" s="36" t="s">
        <v>323</v>
      </c>
      <c r="G19" s="32" t="s">
        <v>2</v>
      </c>
      <c r="H19" s="32" t="s">
        <v>2</v>
      </c>
      <c r="I19" s="32" t="s">
        <v>2</v>
      </c>
      <c r="J19" s="32" t="s">
        <v>2</v>
      </c>
      <c r="K19" s="32" t="s">
        <v>2</v>
      </c>
      <c r="L19" s="13" t="str">
        <f t="shared" si="0"/>
        <v>Interoperabilidade</v>
      </c>
      <c r="M19" s="13" t="str">
        <f t="shared" si="1"/>
        <v>Esquemas</v>
      </c>
      <c r="N19" s="13" t="str">
        <f t="shared" si="2"/>
        <v>KML</v>
      </c>
      <c r="O19" s="13" t="str">
        <f t="shared" si="3"/>
        <v>Kml.Documento</v>
      </c>
      <c r="P19" s="37" t="s">
        <v>239</v>
      </c>
      <c r="Q19" s="14" t="str">
        <f t="shared" si="9"/>
        <v>KML que agrupa contenido geográfico, estilos y esquemas asociados. Es fundamental cuando el archivo contiene múltiples objetos o estilos reutilizables.</v>
      </c>
      <c r="R19" s="14" t="str">
        <f t="shared" si="4"/>
        <v>KML bundler of geographic content, styles, and associated schemas. It is critical when the file contains multiple reusable objects or styles.</v>
      </c>
      <c r="S19" s="14" t="s">
        <v>2</v>
      </c>
      <c r="T19" s="14" t="str">
        <f t="shared" si="5"/>
        <v>Interoperabilidade</v>
      </c>
      <c r="U19" s="14" t="str">
        <f t="shared" si="6"/>
        <v>Esquemas</v>
      </c>
      <c r="V19" s="14" t="str">
        <f t="shared" si="7"/>
        <v>Kml.Documento</v>
      </c>
      <c r="W19" s="14" t="s">
        <v>64</v>
      </c>
      <c r="X19" s="30" t="str">
        <f t="shared" si="8"/>
        <v>Key-Kml-19</v>
      </c>
      <c r="Y19" s="14" t="s">
        <v>2</v>
      </c>
      <c r="Z19" s="14" t="s">
        <v>2</v>
      </c>
      <c r="AA19" s="14" t="s">
        <v>2</v>
      </c>
      <c r="AB19" s="14" t="s">
        <v>2</v>
      </c>
      <c r="AC19" s="14" t="s">
        <v>2</v>
      </c>
      <c r="AD19" s="37" t="s">
        <v>117</v>
      </c>
    </row>
    <row r="20" spans="1:30" ht="7.5" customHeight="1" x14ac:dyDescent="0.2">
      <c r="A20" s="31">
        <v>20</v>
      </c>
      <c r="B20" s="11" t="s">
        <v>91</v>
      </c>
      <c r="C20" s="12" t="s">
        <v>64</v>
      </c>
      <c r="D20" s="11" t="s">
        <v>92</v>
      </c>
      <c r="E20" s="11" t="s">
        <v>96</v>
      </c>
      <c r="F20" s="36" t="s">
        <v>155</v>
      </c>
      <c r="G20" s="32" t="s">
        <v>2</v>
      </c>
      <c r="H20" s="32" t="s">
        <v>2</v>
      </c>
      <c r="I20" s="32" t="s">
        <v>2</v>
      </c>
      <c r="J20" s="32" t="s">
        <v>2</v>
      </c>
      <c r="K20" s="32" t="s">
        <v>2</v>
      </c>
      <c r="L20" s="13" t="str">
        <f t="shared" si="0"/>
        <v>Interoperabilidade</v>
      </c>
      <c r="M20" s="13" t="str">
        <f t="shared" si="1"/>
        <v>Esquemas</v>
      </c>
      <c r="N20" s="13" t="str">
        <f t="shared" si="2"/>
        <v>KML</v>
      </c>
      <c r="O20" s="13" t="str">
        <f t="shared" si="3"/>
        <v>Kml.Elemento.N0</v>
      </c>
      <c r="P20" s="37" t="s">
        <v>151</v>
      </c>
      <c r="Q20" s="37" t="s">
        <v>146</v>
      </c>
      <c r="R20" s="14" t="str">
        <f t="shared" si="4"/>
        <v>A KML element of level 0 Root (&lt;KML&gt;).</v>
      </c>
      <c r="S20" s="14" t="s">
        <v>2</v>
      </c>
      <c r="T20" s="14" t="str">
        <f t="shared" si="5"/>
        <v>Interoperabilidade</v>
      </c>
      <c r="U20" s="14" t="str">
        <f t="shared" si="6"/>
        <v>Esquemas</v>
      </c>
      <c r="V20" s="14" t="str">
        <f t="shared" si="7"/>
        <v>Kml.Elemento.N0</v>
      </c>
      <c r="W20" s="14" t="s">
        <v>64</v>
      </c>
      <c r="X20" s="30" t="str">
        <f t="shared" si="8"/>
        <v>Key-Kml-20</v>
      </c>
      <c r="Y20" s="14" t="s">
        <v>2</v>
      </c>
      <c r="Z20" s="14" t="s">
        <v>2</v>
      </c>
      <c r="AA20" s="14" t="s">
        <v>2</v>
      </c>
      <c r="AB20" s="14" t="s">
        <v>2</v>
      </c>
      <c r="AC20" s="14" t="s">
        <v>2</v>
      </c>
      <c r="AD20" s="37" t="s">
        <v>281</v>
      </c>
    </row>
    <row r="21" spans="1:30" ht="7.5" customHeight="1" x14ac:dyDescent="0.2">
      <c r="A21" s="31">
        <v>21</v>
      </c>
      <c r="B21" s="11" t="s">
        <v>91</v>
      </c>
      <c r="C21" s="12" t="s">
        <v>64</v>
      </c>
      <c r="D21" s="11" t="s">
        <v>92</v>
      </c>
      <c r="E21" s="11" t="s">
        <v>96</v>
      </c>
      <c r="F21" s="36" t="s">
        <v>156</v>
      </c>
      <c r="G21" s="32" t="s">
        <v>2</v>
      </c>
      <c r="H21" s="32" t="s">
        <v>2</v>
      </c>
      <c r="I21" s="32" t="s">
        <v>2</v>
      </c>
      <c r="J21" s="32" t="s">
        <v>2</v>
      </c>
      <c r="K21" s="32" t="s">
        <v>2</v>
      </c>
      <c r="L21" s="13" t="str">
        <f t="shared" si="0"/>
        <v>Interoperabilidade</v>
      </c>
      <c r="M21" s="13" t="str">
        <f t="shared" si="1"/>
        <v>Esquemas</v>
      </c>
      <c r="N21" s="13" t="str">
        <f t="shared" si="2"/>
        <v>KML</v>
      </c>
      <c r="O21" s="13" t="str">
        <f t="shared" si="3"/>
        <v>Kml.Elemento.N1</v>
      </c>
      <c r="P21" s="37" t="s">
        <v>152</v>
      </c>
      <c r="Q21" s="37" t="s">
        <v>147</v>
      </c>
      <c r="R21" s="14" t="str">
        <f t="shared" si="4"/>
        <v>A level 1 KML element (&lt;Document&gt; and &lt;Folder&gt;).</v>
      </c>
      <c r="S21" s="14" t="s">
        <v>2</v>
      </c>
      <c r="T21" s="14" t="str">
        <f t="shared" si="5"/>
        <v>Interoperabilidade</v>
      </c>
      <c r="U21" s="14" t="str">
        <f t="shared" si="6"/>
        <v>Esquemas</v>
      </c>
      <c r="V21" s="14" t="str">
        <f t="shared" si="7"/>
        <v>Kml.Elemento.N1</v>
      </c>
      <c r="W21" s="14" t="s">
        <v>64</v>
      </c>
      <c r="X21" s="30" t="str">
        <f t="shared" si="8"/>
        <v>Key-Kml-21</v>
      </c>
      <c r="Y21" s="14" t="s">
        <v>2</v>
      </c>
      <c r="Z21" s="14" t="s">
        <v>2</v>
      </c>
      <c r="AA21" s="14" t="s">
        <v>2</v>
      </c>
      <c r="AB21" s="14" t="s">
        <v>2</v>
      </c>
      <c r="AC21" s="14" t="s">
        <v>2</v>
      </c>
      <c r="AD21" s="37" t="s">
        <v>281</v>
      </c>
    </row>
    <row r="22" spans="1:30" ht="7.5" customHeight="1" x14ac:dyDescent="0.2">
      <c r="A22" s="31">
        <v>22</v>
      </c>
      <c r="B22" s="11" t="s">
        <v>91</v>
      </c>
      <c r="C22" s="12" t="s">
        <v>64</v>
      </c>
      <c r="D22" s="11" t="s">
        <v>92</v>
      </c>
      <c r="E22" s="11" t="s">
        <v>96</v>
      </c>
      <c r="F22" s="36" t="s">
        <v>157</v>
      </c>
      <c r="G22" s="32" t="s">
        <v>2</v>
      </c>
      <c r="H22" s="32" t="s">
        <v>2</v>
      </c>
      <c r="I22" s="32" t="s">
        <v>2</v>
      </c>
      <c r="J22" s="32" t="s">
        <v>2</v>
      </c>
      <c r="K22" s="32" t="s">
        <v>2</v>
      </c>
      <c r="L22" s="13" t="str">
        <f t="shared" si="0"/>
        <v>Interoperabilidade</v>
      </c>
      <c r="M22" s="13" t="str">
        <f t="shared" si="1"/>
        <v>Esquemas</v>
      </c>
      <c r="N22" s="13" t="str">
        <f t="shared" si="2"/>
        <v>KML</v>
      </c>
      <c r="O22" s="13" t="str">
        <f t="shared" si="3"/>
        <v>Kml.Elemento.N2</v>
      </c>
      <c r="P22" s="37" t="s">
        <v>153</v>
      </c>
      <c r="Q22" s="37" t="s">
        <v>148</v>
      </c>
      <c r="R22" s="14" t="str">
        <f t="shared" si="4"/>
        <v>A level 2 KML element (&lt;Placemark&gt;, &lt;GroundOverlay&gt;...).</v>
      </c>
      <c r="S22" s="14" t="s">
        <v>2</v>
      </c>
      <c r="T22" s="14" t="str">
        <f t="shared" si="5"/>
        <v>Interoperabilidade</v>
      </c>
      <c r="U22" s="14" t="str">
        <f t="shared" si="6"/>
        <v>Esquemas</v>
      </c>
      <c r="V22" s="14" t="str">
        <f t="shared" si="7"/>
        <v>Kml.Elemento.N2</v>
      </c>
      <c r="W22" s="14" t="s">
        <v>64</v>
      </c>
      <c r="X22" s="30" t="str">
        <f t="shared" si="8"/>
        <v>Key-Kml-22</v>
      </c>
      <c r="Y22" s="14" t="s">
        <v>2</v>
      </c>
      <c r="Z22" s="14" t="s">
        <v>2</v>
      </c>
      <c r="AA22" s="14" t="s">
        <v>2</v>
      </c>
      <c r="AB22" s="14" t="s">
        <v>2</v>
      </c>
      <c r="AC22" s="14" t="s">
        <v>2</v>
      </c>
      <c r="AD22" s="37" t="s">
        <v>281</v>
      </c>
    </row>
    <row r="23" spans="1:30" ht="7.5" customHeight="1" x14ac:dyDescent="0.2">
      <c r="A23" s="31">
        <v>23</v>
      </c>
      <c r="B23" s="11" t="s">
        <v>91</v>
      </c>
      <c r="C23" s="12" t="s">
        <v>64</v>
      </c>
      <c r="D23" s="11" t="s">
        <v>92</v>
      </c>
      <c r="E23" s="11" t="s">
        <v>96</v>
      </c>
      <c r="F23" s="36" t="s">
        <v>158</v>
      </c>
      <c r="G23" s="32" t="s">
        <v>2</v>
      </c>
      <c r="H23" s="32" t="s">
        <v>2</v>
      </c>
      <c r="I23" s="32" t="s">
        <v>2</v>
      </c>
      <c r="J23" s="32" t="s">
        <v>2</v>
      </c>
      <c r="K23" s="32" t="s">
        <v>2</v>
      </c>
      <c r="L23" s="13" t="str">
        <f t="shared" si="0"/>
        <v>Interoperabilidade</v>
      </c>
      <c r="M23" s="13" t="str">
        <f t="shared" si="1"/>
        <v>Esquemas</v>
      </c>
      <c r="N23" s="13" t="str">
        <f t="shared" si="2"/>
        <v>KML</v>
      </c>
      <c r="O23" s="13" t="str">
        <f t="shared" si="3"/>
        <v>Kml.Elemento.N3</v>
      </c>
      <c r="P23" s="37" t="s">
        <v>154</v>
      </c>
      <c r="Q23" s="37" t="s">
        <v>148</v>
      </c>
      <c r="R23" s="14" t="str">
        <f t="shared" si="4"/>
        <v>A level 3 KML element (&lt;Point&gt;, &lt;Polygon&gt;, &lt;Style&gt;).</v>
      </c>
      <c r="S23" s="14" t="s">
        <v>2</v>
      </c>
      <c r="T23" s="14" t="str">
        <f t="shared" si="5"/>
        <v>Interoperabilidade</v>
      </c>
      <c r="U23" s="14" t="str">
        <f t="shared" si="6"/>
        <v>Esquemas</v>
      </c>
      <c r="V23" s="14" t="str">
        <f t="shared" si="7"/>
        <v>Kml.Elemento.N3</v>
      </c>
      <c r="W23" s="14" t="s">
        <v>64</v>
      </c>
      <c r="X23" s="30" t="str">
        <f t="shared" si="8"/>
        <v>Key-Kml-23</v>
      </c>
      <c r="Y23" s="14" t="s">
        <v>2</v>
      </c>
      <c r="Z23" s="14" t="s">
        <v>2</v>
      </c>
      <c r="AA23" s="14" t="s">
        <v>2</v>
      </c>
      <c r="AB23" s="14" t="s">
        <v>2</v>
      </c>
      <c r="AC23" s="14" t="s">
        <v>2</v>
      </c>
      <c r="AD23" s="37" t="s">
        <v>281</v>
      </c>
    </row>
    <row r="24" spans="1:30" ht="7.5" customHeight="1" x14ac:dyDescent="0.2">
      <c r="A24" s="31">
        <v>24</v>
      </c>
      <c r="B24" s="11" t="s">
        <v>91</v>
      </c>
      <c r="C24" s="12" t="s">
        <v>64</v>
      </c>
      <c r="D24" s="11" t="s">
        <v>92</v>
      </c>
      <c r="E24" s="11" t="s">
        <v>96</v>
      </c>
      <c r="F24" s="36" t="s">
        <v>159</v>
      </c>
      <c r="G24" s="32" t="s">
        <v>2</v>
      </c>
      <c r="H24" s="32" t="s">
        <v>2</v>
      </c>
      <c r="I24" s="32" t="s">
        <v>2</v>
      </c>
      <c r="J24" s="32" t="s">
        <v>2</v>
      </c>
      <c r="K24" s="32" t="s">
        <v>2</v>
      </c>
      <c r="L24" s="13" t="str">
        <f t="shared" si="0"/>
        <v>Interoperabilidade</v>
      </c>
      <c r="M24" s="13" t="str">
        <f t="shared" si="1"/>
        <v>Esquemas</v>
      </c>
      <c r="N24" s="13" t="str">
        <f t="shared" si="2"/>
        <v>KML</v>
      </c>
      <c r="O24" s="13" t="str">
        <f t="shared" si="3"/>
        <v>Kml.Elemento.N4</v>
      </c>
      <c r="P24" s="37" t="s">
        <v>150</v>
      </c>
      <c r="Q24" s="37" t="s">
        <v>148</v>
      </c>
      <c r="R24" s="14" t="str">
        <f t="shared" si="4"/>
        <v>A level 4 KML element (&lt;Point&gt;, &lt;Polygon&gt;, &lt;Style&gt;).</v>
      </c>
      <c r="S24" s="14" t="s">
        <v>2</v>
      </c>
      <c r="T24" s="14" t="str">
        <f t="shared" si="5"/>
        <v>Interoperabilidade</v>
      </c>
      <c r="U24" s="14" t="str">
        <f t="shared" si="6"/>
        <v>Esquemas</v>
      </c>
      <c r="V24" s="14" t="str">
        <f t="shared" si="7"/>
        <v>Kml.Elemento.N4</v>
      </c>
      <c r="W24" s="14" t="s">
        <v>64</v>
      </c>
      <c r="X24" s="30" t="str">
        <f t="shared" si="8"/>
        <v>Key-Kml-24</v>
      </c>
      <c r="Y24" s="14" t="s">
        <v>2</v>
      </c>
      <c r="Z24" s="14" t="s">
        <v>2</v>
      </c>
      <c r="AA24" s="14" t="s">
        <v>2</v>
      </c>
      <c r="AB24" s="14" t="s">
        <v>2</v>
      </c>
      <c r="AC24" s="14" t="s">
        <v>2</v>
      </c>
      <c r="AD24" s="37" t="s">
        <v>281</v>
      </c>
    </row>
    <row r="25" spans="1:30" ht="7.5" customHeight="1" x14ac:dyDescent="0.2">
      <c r="A25" s="31">
        <v>25</v>
      </c>
      <c r="B25" s="11" t="s">
        <v>91</v>
      </c>
      <c r="C25" s="12" t="s">
        <v>64</v>
      </c>
      <c r="D25" s="11" t="s">
        <v>92</v>
      </c>
      <c r="E25" s="11" t="s">
        <v>96</v>
      </c>
      <c r="F25" s="36" t="s">
        <v>160</v>
      </c>
      <c r="G25" s="32" t="s">
        <v>2</v>
      </c>
      <c r="H25" s="32" t="s">
        <v>2</v>
      </c>
      <c r="I25" s="32" t="s">
        <v>2</v>
      </c>
      <c r="J25" s="32" t="s">
        <v>2</v>
      </c>
      <c r="K25" s="32" t="s">
        <v>2</v>
      </c>
      <c r="L25" s="13" t="str">
        <f t="shared" si="0"/>
        <v>Interoperabilidade</v>
      </c>
      <c r="M25" s="13" t="str">
        <f t="shared" si="1"/>
        <v>Esquemas</v>
      </c>
      <c r="N25" s="13" t="str">
        <f t="shared" si="2"/>
        <v>KML</v>
      </c>
      <c r="O25" s="13" t="str">
        <f t="shared" si="3"/>
        <v>Kml.Elemento.N5</v>
      </c>
      <c r="P25" s="37" t="s">
        <v>161</v>
      </c>
      <c r="Q25" s="37" t="s">
        <v>148</v>
      </c>
      <c r="R25" s="14" t="str">
        <f t="shared" si="4"/>
        <v>A level 5 KML element (&lt;outerBoundaryIs&gt;, &lt;LinearRing&gt;, &lt;coordinates&gt;).</v>
      </c>
      <c r="S25" s="14" t="s">
        <v>2</v>
      </c>
      <c r="T25" s="14" t="str">
        <f t="shared" si="5"/>
        <v>Interoperabilidade</v>
      </c>
      <c r="U25" s="14" t="str">
        <f t="shared" si="6"/>
        <v>Esquemas</v>
      </c>
      <c r="V25" s="14" t="str">
        <f t="shared" si="7"/>
        <v>Kml.Elemento.N5</v>
      </c>
      <c r="W25" s="14" t="s">
        <v>64</v>
      </c>
      <c r="X25" s="30" t="str">
        <f t="shared" si="8"/>
        <v>Key-Kml-25</v>
      </c>
      <c r="Y25" s="14" t="s">
        <v>2</v>
      </c>
      <c r="Z25" s="14" t="s">
        <v>2</v>
      </c>
      <c r="AA25" s="14" t="s">
        <v>2</v>
      </c>
      <c r="AB25" s="14" t="s">
        <v>2</v>
      </c>
      <c r="AC25" s="14" t="s">
        <v>2</v>
      </c>
      <c r="AD25" s="37" t="s">
        <v>281</v>
      </c>
    </row>
    <row r="26" spans="1:30" ht="7.5" customHeight="1" x14ac:dyDescent="0.2">
      <c r="A26" s="31">
        <v>26</v>
      </c>
      <c r="B26" s="11" t="s">
        <v>91</v>
      </c>
      <c r="C26" s="12" t="s">
        <v>64</v>
      </c>
      <c r="D26" s="11" t="s">
        <v>92</v>
      </c>
      <c r="E26" s="11" t="s">
        <v>96</v>
      </c>
      <c r="F26" s="36" t="s">
        <v>144</v>
      </c>
      <c r="G26" s="32" t="s">
        <v>2</v>
      </c>
      <c r="H26" s="32" t="s">
        <v>2</v>
      </c>
      <c r="I26" s="32" t="s">
        <v>2</v>
      </c>
      <c r="J26" s="32" t="s">
        <v>2</v>
      </c>
      <c r="K26" s="32" t="s">
        <v>2</v>
      </c>
      <c r="L26" s="13" t="str">
        <f t="shared" si="0"/>
        <v>Interoperabilidade</v>
      </c>
      <c r="M26" s="13" t="str">
        <f t="shared" si="1"/>
        <v>Esquemas</v>
      </c>
      <c r="N26" s="13" t="str">
        <f t="shared" si="2"/>
        <v>KML</v>
      </c>
      <c r="O26" s="13" t="str">
        <f t="shared" si="3"/>
        <v>Kml.Estilo</v>
      </c>
      <c r="P26" s="37" t="s">
        <v>97</v>
      </c>
      <c r="Q26" s="14" t="str">
        <f t="shared" ref="Q26:Q62" si="10">_xlfn.TRANSLATE(P26,"pt","es")</f>
        <v>Elemento de estilo en KML. Agrupa propiedades gráficas de personalización como colores, transparencias, tamaños e iconos.</v>
      </c>
      <c r="R26" s="14" t="str">
        <f t="shared" si="4"/>
        <v>Styling element in KML. Groups graphical customization properties such as colors, transparencies, sizes, and icons.</v>
      </c>
      <c r="S26" s="14" t="s">
        <v>2</v>
      </c>
      <c r="T26" s="14" t="str">
        <f t="shared" si="5"/>
        <v>Interoperabilidade</v>
      </c>
      <c r="U26" s="14" t="str">
        <f t="shared" si="6"/>
        <v>Esquemas</v>
      </c>
      <c r="V26" s="14" t="str">
        <f t="shared" si="7"/>
        <v>Kml.Estilo</v>
      </c>
      <c r="W26" s="14" t="s">
        <v>64</v>
      </c>
      <c r="X26" s="30" t="str">
        <f t="shared" si="8"/>
        <v>Key-Kml-26</v>
      </c>
      <c r="Y26" s="14" t="s">
        <v>2</v>
      </c>
      <c r="Z26" s="14" t="s">
        <v>2</v>
      </c>
      <c r="AA26" s="14" t="s">
        <v>2</v>
      </c>
      <c r="AB26" s="14" t="s">
        <v>2</v>
      </c>
      <c r="AC26" s="14" t="s">
        <v>2</v>
      </c>
      <c r="AD26" s="37" t="s">
        <v>129</v>
      </c>
    </row>
    <row r="27" spans="1:30" ht="7.5" customHeight="1" x14ac:dyDescent="0.2">
      <c r="A27" s="31">
        <v>27</v>
      </c>
      <c r="B27" s="11" t="s">
        <v>91</v>
      </c>
      <c r="C27" s="12" t="s">
        <v>64</v>
      </c>
      <c r="D27" s="11" t="s">
        <v>92</v>
      </c>
      <c r="E27" s="11" t="s">
        <v>96</v>
      </c>
      <c r="F27" s="36" t="s">
        <v>248</v>
      </c>
      <c r="G27" s="32" t="s">
        <v>2</v>
      </c>
      <c r="H27" s="32" t="s">
        <v>2</v>
      </c>
      <c r="I27" s="32" t="s">
        <v>2</v>
      </c>
      <c r="J27" s="32" t="s">
        <v>2</v>
      </c>
      <c r="K27" s="32" t="s">
        <v>2</v>
      </c>
      <c r="L27" s="13" t="str">
        <f t="shared" si="0"/>
        <v>Interoperabilidade</v>
      </c>
      <c r="M27" s="13" t="str">
        <f t="shared" si="1"/>
        <v>Esquemas</v>
      </c>
      <c r="N27" s="13" t="str">
        <f t="shared" si="2"/>
        <v>KML</v>
      </c>
      <c r="O27" s="13" t="str">
        <f t="shared" si="3"/>
        <v>Kml.Estilo.Balão</v>
      </c>
      <c r="P27" s="37" t="s">
        <v>100</v>
      </c>
      <c r="Q27" s="14" t="str">
        <f t="shared" si="10"/>
        <v>Elemento de estilo en KML. Personaliza la burbuja de información/ventana emergente que se abre al hacer clic en un elemento (soporta etiquetas HTML).</v>
      </c>
      <c r="R27" s="14" t="str">
        <f t="shared" si="4"/>
        <v>Styling element in KML. Customizes the info/pop-up bubble that opens when you click on an element (supports HTML tags).</v>
      </c>
      <c r="S27" s="14" t="s">
        <v>2</v>
      </c>
      <c r="T27" s="14" t="str">
        <f t="shared" si="5"/>
        <v>Interoperabilidade</v>
      </c>
      <c r="U27" s="14" t="str">
        <f t="shared" si="6"/>
        <v>Esquemas</v>
      </c>
      <c r="V27" s="14" t="str">
        <f t="shared" si="7"/>
        <v>Kml.Estilo.Balão</v>
      </c>
      <c r="W27" s="14" t="s">
        <v>64</v>
      </c>
      <c r="X27" s="30" t="str">
        <f t="shared" si="8"/>
        <v>Key-Kml-27</v>
      </c>
      <c r="Y27" s="14" t="s">
        <v>2</v>
      </c>
      <c r="Z27" s="14" t="s">
        <v>2</v>
      </c>
      <c r="AA27" s="14" t="s">
        <v>2</v>
      </c>
      <c r="AB27" s="14" t="s">
        <v>2</v>
      </c>
      <c r="AC27" s="14" t="s">
        <v>2</v>
      </c>
      <c r="AD27" s="37" t="s">
        <v>132</v>
      </c>
    </row>
    <row r="28" spans="1:30" ht="7.5" customHeight="1" x14ac:dyDescent="0.2">
      <c r="A28" s="31">
        <v>28</v>
      </c>
      <c r="B28" s="11" t="s">
        <v>91</v>
      </c>
      <c r="C28" s="12" t="s">
        <v>64</v>
      </c>
      <c r="D28" s="11" t="s">
        <v>92</v>
      </c>
      <c r="E28" s="11" t="s">
        <v>96</v>
      </c>
      <c r="F28" s="36" t="s">
        <v>240</v>
      </c>
      <c r="G28" s="32" t="s">
        <v>2</v>
      </c>
      <c r="H28" s="32" t="s">
        <v>2</v>
      </c>
      <c r="I28" s="32" t="s">
        <v>2</v>
      </c>
      <c r="J28" s="32" t="s">
        <v>2</v>
      </c>
      <c r="K28" s="32" t="s">
        <v>2</v>
      </c>
      <c r="L28" s="13" t="str">
        <f t="shared" si="0"/>
        <v>Interoperabilidade</v>
      </c>
      <c r="M28" s="13" t="str">
        <f t="shared" si="1"/>
        <v>Esquemas</v>
      </c>
      <c r="N28" s="13" t="str">
        <f t="shared" si="2"/>
        <v>KML</v>
      </c>
      <c r="O28" s="13" t="str">
        <f t="shared" si="3"/>
        <v>Kml.Estilo.Cor</v>
      </c>
      <c r="P28" s="37" t="s">
        <v>167</v>
      </c>
      <c r="Q28" s="14" t="str">
        <f t="shared" si="10"/>
        <v>Elemento KML. Establece un &lt;color&gt;color 7f0000ff&lt;/color&gt;</v>
      </c>
      <c r="R28" s="14" t="str">
        <f t="shared" si="4"/>
        <v>KML element. Sets a &lt;color&gt;color 7f0000ff&lt;/color&gt;</v>
      </c>
      <c r="S28" s="14" t="s">
        <v>2</v>
      </c>
      <c r="T28" s="14" t="str">
        <f t="shared" si="5"/>
        <v>Interoperabilidade</v>
      </c>
      <c r="U28" s="14" t="str">
        <f t="shared" si="6"/>
        <v>Esquemas</v>
      </c>
      <c r="V28" s="14" t="str">
        <f t="shared" si="7"/>
        <v>Kml.Estilo.Cor</v>
      </c>
      <c r="W28" s="14" t="s">
        <v>64</v>
      </c>
      <c r="X28" s="30" t="str">
        <f t="shared" si="8"/>
        <v>Key-Kml-28</v>
      </c>
      <c r="Y28" s="14" t="s">
        <v>2</v>
      </c>
      <c r="Z28" s="14" t="s">
        <v>2</v>
      </c>
      <c r="AA28" s="14" t="s">
        <v>2</v>
      </c>
      <c r="AB28" s="14" t="s">
        <v>2</v>
      </c>
      <c r="AC28" s="14" t="s">
        <v>2</v>
      </c>
      <c r="AD28" s="37" t="s">
        <v>197</v>
      </c>
    </row>
    <row r="29" spans="1:30" ht="7.5" customHeight="1" x14ac:dyDescent="0.2">
      <c r="A29" s="31">
        <v>29</v>
      </c>
      <c r="B29" s="11" t="s">
        <v>91</v>
      </c>
      <c r="C29" s="12" t="s">
        <v>64</v>
      </c>
      <c r="D29" s="11" t="s">
        <v>92</v>
      </c>
      <c r="E29" s="11" t="s">
        <v>96</v>
      </c>
      <c r="F29" s="36" t="s">
        <v>241</v>
      </c>
      <c r="G29" s="32" t="s">
        <v>2</v>
      </c>
      <c r="H29" s="32" t="s">
        <v>2</v>
      </c>
      <c r="I29" s="32" t="s">
        <v>2</v>
      </c>
      <c r="J29" s="32" t="s">
        <v>2</v>
      </c>
      <c r="K29" s="32" t="s">
        <v>2</v>
      </c>
      <c r="L29" s="13" t="str">
        <f t="shared" si="0"/>
        <v>Interoperabilidade</v>
      </c>
      <c r="M29" s="13" t="str">
        <f t="shared" si="1"/>
        <v>Esquemas</v>
      </c>
      <c r="N29" s="13" t="str">
        <f t="shared" si="2"/>
        <v>KML</v>
      </c>
      <c r="O29" s="13" t="str">
        <f t="shared" si="3"/>
        <v>Kml.Estilo.Espessura</v>
      </c>
      <c r="P29" s="37" t="s">
        <v>168</v>
      </c>
      <c r="Q29" s="14" t="str">
        <f t="shared" si="10"/>
        <v>Elemento KML. Establece un espesor &lt;width&gt;de 1&lt;/width&gt;</v>
      </c>
      <c r="R29" s="14" t="str">
        <f t="shared" si="4"/>
        <v>KML element. Sets a thickness &lt;width&gt;of 1&lt;/width&gt;</v>
      </c>
      <c r="S29" s="14" t="s">
        <v>2</v>
      </c>
      <c r="T29" s="14" t="str">
        <f t="shared" si="5"/>
        <v>Interoperabilidade</v>
      </c>
      <c r="U29" s="14" t="str">
        <f t="shared" si="6"/>
        <v>Esquemas</v>
      </c>
      <c r="V29" s="14" t="str">
        <f t="shared" si="7"/>
        <v>Kml.Estilo.Espessura</v>
      </c>
      <c r="W29" s="14" t="s">
        <v>64</v>
      </c>
      <c r="X29" s="30" t="str">
        <f t="shared" si="8"/>
        <v>Key-Kml-29</v>
      </c>
      <c r="Y29" s="14" t="s">
        <v>2</v>
      </c>
      <c r="Z29" s="14" t="s">
        <v>2</v>
      </c>
      <c r="AA29" s="14" t="s">
        <v>2</v>
      </c>
      <c r="AB29" s="14" t="s">
        <v>2</v>
      </c>
      <c r="AC29" s="14" t="s">
        <v>2</v>
      </c>
      <c r="AD29" s="37" t="s">
        <v>198</v>
      </c>
    </row>
    <row r="30" spans="1:30" ht="7.5" customHeight="1" x14ac:dyDescent="0.2">
      <c r="A30" s="31">
        <v>30</v>
      </c>
      <c r="B30" s="11" t="s">
        <v>91</v>
      </c>
      <c r="C30" s="12" t="s">
        <v>64</v>
      </c>
      <c r="D30" s="11" t="s">
        <v>92</v>
      </c>
      <c r="E30" s="11" t="s">
        <v>96</v>
      </c>
      <c r="F30" s="36" t="s">
        <v>249</v>
      </c>
      <c r="G30" s="32" t="s">
        <v>2</v>
      </c>
      <c r="H30" s="32" t="s">
        <v>2</v>
      </c>
      <c r="I30" s="32" t="s">
        <v>2</v>
      </c>
      <c r="J30" s="32" t="s">
        <v>2</v>
      </c>
      <c r="K30" s="32" t="s">
        <v>2</v>
      </c>
      <c r="L30" s="13" t="str">
        <f t="shared" si="0"/>
        <v>Interoperabilidade</v>
      </c>
      <c r="M30" s="13" t="str">
        <f t="shared" si="1"/>
        <v>Esquemas</v>
      </c>
      <c r="N30" s="13" t="str">
        <f t="shared" si="2"/>
        <v>KML</v>
      </c>
      <c r="O30" s="13" t="str">
        <f t="shared" si="3"/>
        <v>Kml.Estilo.Linha</v>
      </c>
      <c r="P30" s="37" t="s">
        <v>98</v>
      </c>
      <c r="Q30" s="14" t="str">
        <f t="shared" si="10"/>
        <v>Elemento de estilo en KML. Establece el color, la opacidad y el grosor de las líneas.</v>
      </c>
      <c r="R30" s="14" t="str">
        <f t="shared" si="4"/>
        <v>Styling element in KML. Sets the color, opacity, and thickness of the lines.</v>
      </c>
      <c r="S30" s="14" t="s">
        <v>2</v>
      </c>
      <c r="T30" s="14" t="str">
        <f t="shared" si="5"/>
        <v>Interoperabilidade</v>
      </c>
      <c r="U30" s="14" t="str">
        <f t="shared" si="6"/>
        <v>Esquemas</v>
      </c>
      <c r="V30" s="14" t="str">
        <f t="shared" si="7"/>
        <v>Kml.Estilo.Linha</v>
      </c>
      <c r="W30" s="14" t="s">
        <v>64</v>
      </c>
      <c r="X30" s="30" t="str">
        <f t="shared" si="8"/>
        <v>Key-Kml-30</v>
      </c>
      <c r="Y30" s="14" t="s">
        <v>2</v>
      </c>
      <c r="Z30" s="14" t="s">
        <v>2</v>
      </c>
      <c r="AA30" s="14" t="s">
        <v>2</v>
      </c>
      <c r="AB30" s="14" t="s">
        <v>2</v>
      </c>
      <c r="AC30" s="14" t="s">
        <v>2</v>
      </c>
      <c r="AD30" s="37" t="s">
        <v>130</v>
      </c>
    </row>
    <row r="31" spans="1:30" ht="7.5" customHeight="1" x14ac:dyDescent="0.2">
      <c r="A31" s="31">
        <v>31</v>
      </c>
      <c r="B31" s="11" t="s">
        <v>91</v>
      </c>
      <c r="C31" s="12" t="s">
        <v>64</v>
      </c>
      <c r="D31" s="11" t="s">
        <v>92</v>
      </c>
      <c r="E31" s="11" t="s">
        <v>96</v>
      </c>
      <c r="F31" s="36" t="s">
        <v>250</v>
      </c>
      <c r="G31" s="32" t="s">
        <v>2</v>
      </c>
      <c r="H31" s="32" t="s">
        <v>2</v>
      </c>
      <c r="I31" s="32" t="s">
        <v>2</v>
      </c>
      <c r="J31" s="32" t="s">
        <v>2</v>
      </c>
      <c r="K31" s="32" t="s">
        <v>2</v>
      </c>
      <c r="L31" s="13" t="str">
        <f t="shared" si="0"/>
        <v>Interoperabilidade</v>
      </c>
      <c r="M31" s="13" t="str">
        <f t="shared" si="1"/>
        <v>Esquemas</v>
      </c>
      <c r="N31" s="13" t="str">
        <f t="shared" si="2"/>
        <v>KML</v>
      </c>
      <c r="O31" s="13" t="str">
        <f t="shared" si="3"/>
        <v>Kml.Estilo.Mapa</v>
      </c>
      <c r="P31" s="37" t="s">
        <v>101</v>
      </c>
      <c r="Q31" s="14" t="str">
        <f t="shared" si="10"/>
        <v>Elemento de estilo en KML. Permite cambiar la apariencia de un elemento según la acción del usuario (por ejemplo, cambiar el icono cuando el cursor flota).</v>
      </c>
      <c r="R31" s="14" t="str">
        <f t="shared" si="4"/>
        <v>Styling element in KML. Allows you to toggle the appearance of an element based on the user's action (e.g., change the icon when the cursor hovers).</v>
      </c>
      <c r="S31" s="14" t="s">
        <v>2</v>
      </c>
      <c r="T31" s="14" t="str">
        <f t="shared" si="5"/>
        <v>Interoperabilidade</v>
      </c>
      <c r="U31" s="14" t="str">
        <f t="shared" si="6"/>
        <v>Esquemas</v>
      </c>
      <c r="V31" s="14" t="str">
        <f t="shared" si="7"/>
        <v>Kml.Estilo.Mapa</v>
      </c>
      <c r="W31" s="14" t="s">
        <v>64</v>
      </c>
      <c r="X31" s="30" t="str">
        <f t="shared" si="8"/>
        <v>Key-Kml-31</v>
      </c>
      <c r="Y31" s="14" t="s">
        <v>2</v>
      </c>
      <c r="Z31" s="14" t="s">
        <v>2</v>
      </c>
      <c r="AA31" s="14" t="s">
        <v>2</v>
      </c>
      <c r="AB31" s="14" t="s">
        <v>2</v>
      </c>
      <c r="AC31" s="14" t="s">
        <v>2</v>
      </c>
      <c r="AD31" s="37" t="s">
        <v>133</v>
      </c>
    </row>
    <row r="32" spans="1:30" ht="7.5" customHeight="1" x14ac:dyDescent="0.2">
      <c r="A32" s="31">
        <v>32</v>
      </c>
      <c r="B32" s="11" t="s">
        <v>91</v>
      </c>
      <c r="C32" s="12" t="s">
        <v>64</v>
      </c>
      <c r="D32" s="11" t="s">
        <v>92</v>
      </c>
      <c r="E32" s="11" t="s">
        <v>96</v>
      </c>
      <c r="F32" s="36" t="s">
        <v>251</v>
      </c>
      <c r="G32" s="32" t="s">
        <v>2</v>
      </c>
      <c r="H32" s="32" t="s">
        <v>2</v>
      </c>
      <c r="I32" s="32" t="s">
        <v>2</v>
      </c>
      <c r="J32" s="32" t="s">
        <v>2</v>
      </c>
      <c r="K32" s="32" t="s">
        <v>2</v>
      </c>
      <c r="L32" s="13" t="str">
        <f t="shared" si="0"/>
        <v>Interoperabilidade</v>
      </c>
      <c r="M32" s="13" t="str">
        <f t="shared" si="1"/>
        <v>Esquemas</v>
      </c>
      <c r="N32" s="13" t="str">
        <f t="shared" si="2"/>
        <v>KML</v>
      </c>
      <c r="O32" s="13" t="str">
        <f t="shared" si="3"/>
        <v>Kml.Estilo.Texto</v>
      </c>
      <c r="P32" s="37" t="s">
        <v>99</v>
      </c>
      <c r="Q32" s="14" t="str">
        <f t="shared" si="10"/>
        <v>Elemento de estilo en KML. Establece el color y la escala del texto de la etiqueta en viñetas.</v>
      </c>
      <c r="R32" s="14" t="str">
        <f t="shared" si="4"/>
        <v>Styling element in KML. Sets the color and scale of the bullet label text.</v>
      </c>
      <c r="S32" s="14" t="s">
        <v>2</v>
      </c>
      <c r="T32" s="14" t="str">
        <f t="shared" si="5"/>
        <v>Interoperabilidade</v>
      </c>
      <c r="U32" s="14" t="str">
        <f t="shared" si="6"/>
        <v>Esquemas</v>
      </c>
      <c r="V32" s="14" t="str">
        <f t="shared" si="7"/>
        <v>Kml.Estilo.Texto</v>
      </c>
      <c r="W32" s="14" t="s">
        <v>64</v>
      </c>
      <c r="X32" s="30" t="str">
        <f t="shared" si="8"/>
        <v>Key-Kml-32</v>
      </c>
      <c r="Y32" s="14" t="s">
        <v>2</v>
      </c>
      <c r="Z32" s="14" t="s">
        <v>2</v>
      </c>
      <c r="AA32" s="14" t="s">
        <v>2</v>
      </c>
      <c r="AB32" s="14" t="s">
        <v>2</v>
      </c>
      <c r="AC32" s="14" t="s">
        <v>2</v>
      </c>
      <c r="AD32" s="37" t="s">
        <v>131</v>
      </c>
    </row>
    <row r="33" spans="1:30" ht="7.5" customHeight="1" x14ac:dyDescent="0.2">
      <c r="A33" s="31">
        <v>33</v>
      </c>
      <c r="B33" s="11" t="s">
        <v>91</v>
      </c>
      <c r="C33" s="12" t="s">
        <v>64</v>
      </c>
      <c r="D33" s="11" t="s">
        <v>92</v>
      </c>
      <c r="E33" s="11" t="s">
        <v>96</v>
      </c>
      <c r="F33" s="36" t="s">
        <v>252</v>
      </c>
      <c r="G33" s="32" t="s">
        <v>2</v>
      </c>
      <c r="H33" s="32" t="s">
        <v>2</v>
      </c>
      <c r="I33" s="32" t="s">
        <v>2</v>
      </c>
      <c r="J33" s="32" t="s">
        <v>2</v>
      </c>
      <c r="K33" s="32" t="s">
        <v>2</v>
      </c>
      <c r="L33" s="13" t="str">
        <f t="shared" si="0"/>
        <v>Interoperabilidade</v>
      </c>
      <c r="M33" s="13" t="str">
        <f t="shared" si="1"/>
        <v>Esquemas</v>
      </c>
      <c r="N33" s="13" t="str">
        <f t="shared" si="2"/>
        <v>KML</v>
      </c>
      <c r="O33" s="13" t="str">
        <f t="shared" si="3"/>
        <v>Kml.Estilo.Usado</v>
      </c>
      <c r="P33" s="37" t="s">
        <v>165</v>
      </c>
      <c r="Q33" s="14" t="str">
        <f t="shared" si="10"/>
        <v>Elemento KML. Establece la referencia a un estilo &lt;styleUrl&gt;ya definido #EstilodeLinha&lt;/styleUrl&gt;</v>
      </c>
      <c r="R33" s="14" t="str">
        <f t="shared" si="4"/>
        <v>KML element. Sets the reference to a style already defined &lt;styleUrl&gt;#EstilodeLinha&lt;/styleUrl&gt;</v>
      </c>
      <c r="S33" s="14" t="s">
        <v>2</v>
      </c>
      <c r="T33" s="14" t="str">
        <f t="shared" si="5"/>
        <v>Interoperabilidade</v>
      </c>
      <c r="U33" s="14" t="str">
        <f t="shared" si="6"/>
        <v>Esquemas</v>
      </c>
      <c r="V33" s="14" t="str">
        <f t="shared" si="7"/>
        <v>Kml.Estilo.Usado</v>
      </c>
      <c r="W33" s="14" t="s">
        <v>64</v>
      </c>
      <c r="X33" s="30" t="str">
        <f t="shared" si="8"/>
        <v>Key-Kml-33</v>
      </c>
      <c r="Y33" s="14" t="s">
        <v>2</v>
      </c>
      <c r="Z33" s="14" t="s">
        <v>2</v>
      </c>
      <c r="AA33" s="14" t="s">
        <v>2</v>
      </c>
      <c r="AB33" s="14" t="s">
        <v>2</v>
      </c>
      <c r="AC33" s="14" t="s">
        <v>2</v>
      </c>
      <c r="AD33" s="37" t="s">
        <v>194</v>
      </c>
    </row>
    <row r="34" spans="1:30" ht="7.5" customHeight="1" x14ac:dyDescent="0.2">
      <c r="A34" s="31">
        <v>34</v>
      </c>
      <c r="B34" s="11" t="s">
        <v>91</v>
      </c>
      <c r="C34" s="12" t="s">
        <v>64</v>
      </c>
      <c r="D34" s="11" t="s">
        <v>92</v>
      </c>
      <c r="E34" s="11" t="s">
        <v>96</v>
      </c>
      <c r="F34" s="36" t="s">
        <v>257</v>
      </c>
      <c r="G34" s="32" t="s">
        <v>2</v>
      </c>
      <c r="H34" s="32" t="s">
        <v>2</v>
      </c>
      <c r="I34" s="32" t="s">
        <v>2</v>
      </c>
      <c r="J34" s="32" t="s">
        <v>2</v>
      </c>
      <c r="K34" s="32" t="s">
        <v>2</v>
      </c>
      <c r="L34" s="13" t="str">
        <f t="shared" ref="L34:L62" si="11">CONCATENATE("", C34)</f>
        <v>Interoperabilidade</v>
      </c>
      <c r="M34" s="13" t="str">
        <f t="shared" ref="M34:M62" si="12">CONCATENATE("", D34)</f>
        <v>Esquemas</v>
      </c>
      <c r="N34" s="13" t="str">
        <f t="shared" ref="N34:N62" si="13">CONCATENATE("", E34)</f>
        <v>KML</v>
      </c>
      <c r="O34" s="13" t="str">
        <f t="shared" ref="O34:O62" si="14">CONCATENATE("", F34)</f>
        <v>Kml.Estilo.Visibilidade</v>
      </c>
      <c r="P34" s="37" t="s">
        <v>169</v>
      </c>
      <c r="Q34" s="14" t="str">
        <f t="shared" si="10"/>
        <v>Elemento KML. Establece un modo de visibilidad &lt;gx:etiquetaVisibilidad&gt; &lt;/gx:etiquetaVisibilidad&gt;</v>
      </c>
      <c r="R34" s="14" t="str">
        <f t="shared" ref="R34:R62" si="15">_xlfn.TRANSLATE(P34,"pt","en")</f>
        <v>KML element. Sets a visibility mode &lt;gx:labelVisibility&gt; &lt;/gx:labelVisibility&gt;</v>
      </c>
      <c r="S34" s="14" t="s">
        <v>2</v>
      </c>
      <c r="T34" s="14" t="str">
        <f t="shared" ref="T34:T62" si="16">SUBSTITUTE(C34, "_", " ")</f>
        <v>Interoperabilidade</v>
      </c>
      <c r="U34" s="14" t="str">
        <f t="shared" ref="U34:U62" si="17">SUBSTITUTE(D34, "_", " ")</f>
        <v>Esquemas</v>
      </c>
      <c r="V34" s="14" t="str">
        <f t="shared" ref="V34:V62" si="18">SUBSTITUTE(F34, "_", " ")</f>
        <v>Kml.Estilo.Visibilidade</v>
      </c>
      <c r="W34" s="14" t="s">
        <v>64</v>
      </c>
      <c r="X34" s="30" t="str">
        <f t="shared" ref="X34:X63" si="19">CONCATENATE("Key-Kml-",A34)</f>
        <v>Key-Kml-34</v>
      </c>
      <c r="Y34" s="14" t="s">
        <v>2</v>
      </c>
      <c r="Z34" s="14" t="s">
        <v>2</v>
      </c>
      <c r="AA34" s="14" t="s">
        <v>2</v>
      </c>
      <c r="AB34" s="14" t="s">
        <v>2</v>
      </c>
      <c r="AC34" s="14" t="s">
        <v>2</v>
      </c>
      <c r="AD34" s="37" t="s">
        <v>200</v>
      </c>
    </row>
    <row r="35" spans="1:30" ht="7.5" customHeight="1" x14ac:dyDescent="0.2">
      <c r="A35" s="31">
        <v>35</v>
      </c>
      <c r="B35" s="11" t="s">
        <v>91</v>
      </c>
      <c r="C35" s="12" t="s">
        <v>64</v>
      </c>
      <c r="D35" s="11" t="s">
        <v>92</v>
      </c>
      <c r="E35" s="11" t="s">
        <v>96</v>
      </c>
      <c r="F35" s="36" t="s">
        <v>174</v>
      </c>
      <c r="G35" s="32" t="s">
        <v>2</v>
      </c>
      <c r="H35" s="32" t="s">
        <v>2</v>
      </c>
      <c r="I35" s="32" t="s">
        <v>2</v>
      </c>
      <c r="J35" s="32" t="s">
        <v>2</v>
      </c>
      <c r="K35" s="32" t="s">
        <v>2</v>
      </c>
      <c r="L35" s="13" t="str">
        <f t="shared" si="11"/>
        <v>Interoperabilidade</v>
      </c>
      <c r="M35" s="13" t="str">
        <f t="shared" si="12"/>
        <v>Esquemas</v>
      </c>
      <c r="N35" s="13" t="str">
        <f t="shared" si="13"/>
        <v>KML</v>
      </c>
      <c r="O35" s="13" t="str">
        <f t="shared" si="14"/>
        <v>Kml.Extrusão</v>
      </c>
      <c r="P35" s="37" t="s">
        <v>170</v>
      </c>
      <c r="Q35" s="14" t="str">
        <f t="shared" si="10"/>
        <v>Elemento KML. Fija un valor de extrusión &lt;extrude&gt;de 1&lt;/extrude&gt;.</v>
      </c>
      <c r="R35" s="14" t="str">
        <f t="shared" si="15"/>
        <v>KML element. Sets an extrusion value &lt;extrude&gt;of 1&lt;/extrude&gt;.</v>
      </c>
      <c r="S35" s="14" t="s">
        <v>2</v>
      </c>
      <c r="T35" s="14" t="str">
        <f t="shared" si="16"/>
        <v>Interoperabilidade</v>
      </c>
      <c r="U35" s="14" t="str">
        <f t="shared" si="17"/>
        <v>Esquemas</v>
      </c>
      <c r="V35" s="14" t="str">
        <f t="shared" si="18"/>
        <v>Kml.Extrusão</v>
      </c>
      <c r="W35" s="14" t="s">
        <v>64</v>
      </c>
      <c r="X35" s="30" t="str">
        <f t="shared" si="19"/>
        <v>Key-Kml-35</v>
      </c>
      <c r="Y35" s="14" t="s">
        <v>2</v>
      </c>
      <c r="Z35" s="14" t="s">
        <v>2</v>
      </c>
      <c r="AA35" s="14" t="s">
        <v>2</v>
      </c>
      <c r="AB35" s="14" t="s">
        <v>2</v>
      </c>
      <c r="AC35" s="14" t="s">
        <v>2</v>
      </c>
      <c r="AD35" s="37" t="s">
        <v>195</v>
      </c>
    </row>
    <row r="36" spans="1:30" ht="7.5" customHeight="1" x14ac:dyDescent="0.2">
      <c r="A36" s="31">
        <v>36</v>
      </c>
      <c r="B36" s="11" t="s">
        <v>91</v>
      </c>
      <c r="C36" s="12" t="s">
        <v>64</v>
      </c>
      <c r="D36" s="11" t="s">
        <v>92</v>
      </c>
      <c r="E36" s="11" t="s">
        <v>96</v>
      </c>
      <c r="F36" s="36" t="s">
        <v>228</v>
      </c>
      <c r="G36" s="32" t="s">
        <v>2</v>
      </c>
      <c r="H36" s="32" t="s">
        <v>2</v>
      </c>
      <c r="I36" s="32" t="s">
        <v>2</v>
      </c>
      <c r="J36" s="32" t="s">
        <v>2</v>
      </c>
      <c r="K36" s="32" t="s">
        <v>2</v>
      </c>
      <c r="L36" s="13" t="str">
        <f t="shared" si="11"/>
        <v>Interoperabilidade</v>
      </c>
      <c r="M36" s="13" t="str">
        <f t="shared" si="12"/>
        <v>Esquemas</v>
      </c>
      <c r="N36" s="13" t="str">
        <f t="shared" si="13"/>
        <v>KML</v>
      </c>
      <c r="O36" s="13" t="str">
        <f t="shared" si="14"/>
        <v>Kml.Gira.X</v>
      </c>
      <c r="P36" s="37" t="s">
        <v>185</v>
      </c>
      <c r="Q36" s="14" t="str">
        <f t="shared" si="10"/>
        <v>Elemento KML. Ajusta la inclinación alrededor del eje &lt;tilt&gt;X 10,5&lt;/tilt&gt; Un valor de 0 está hacia abajo hacia la Tierra. Valor 90, la vista es hacia el horizonte. El valor &gt; 90 indica que la opinión sube. Los valores siempre son positivos.</v>
      </c>
      <c r="R36" s="14" t="str">
        <f t="shared" si="15"/>
        <v>KML element. Sets the tilt about the X-axis &lt;tilt&gt;10.5&lt;/tilt&gt; A value of 0 view is downward toward the Earth. Value 90 the view is to the horizon. Value &gt; 90 indicates the view points up. The values are always positive.</v>
      </c>
      <c r="S36" s="14" t="s">
        <v>2</v>
      </c>
      <c r="T36" s="14" t="str">
        <f t="shared" si="16"/>
        <v>Interoperabilidade</v>
      </c>
      <c r="U36" s="14" t="str">
        <f t="shared" si="17"/>
        <v>Esquemas</v>
      </c>
      <c r="V36" s="14" t="str">
        <f t="shared" si="18"/>
        <v>Kml.Gira.X</v>
      </c>
      <c r="W36" s="14" t="s">
        <v>64</v>
      </c>
      <c r="X36" s="30" t="str">
        <f t="shared" si="19"/>
        <v>Key-Kml-36</v>
      </c>
      <c r="Y36" s="14" t="s">
        <v>2</v>
      </c>
      <c r="Z36" s="14" t="s">
        <v>2</v>
      </c>
      <c r="AA36" s="14" t="s">
        <v>2</v>
      </c>
      <c r="AB36" s="14" t="s">
        <v>2</v>
      </c>
      <c r="AC36" s="14" t="s">
        <v>2</v>
      </c>
      <c r="AD36" s="37" t="s">
        <v>206</v>
      </c>
    </row>
    <row r="37" spans="1:30" ht="7.5" customHeight="1" x14ac:dyDescent="0.2">
      <c r="A37" s="31">
        <v>37</v>
      </c>
      <c r="B37" s="11" t="s">
        <v>91</v>
      </c>
      <c r="C37" s="12" t="s">
        <v>64</v>
      </c>
      <c r="D37" s="11" t="s">
        <v>92</v>
      </c>
      <c r="E37" s="11" t="s">
        <v>96</v>
      </c>
      <c r="F37" s="36" t="s">
        <v>227</v>
      </c>
      <c r="G37" s="32" t="s">
        <v>2</v>
      </c>
      <c r="H37" s="32" t="s">
        <v>2</v>
      </c>
      <c r="I37" s="32" t="s">
        <v>2</v>
      </c>
      <c r="J37" s="32" t="s">
        <v>2</v>
      </c>
      <c r="K37" s="32" t="s">
        <v>2</v>
      </c>
      <c r="L37" s="13" t="str">
        <f t="shared" si="11"/>
        <v>Interoperabilidade</v>
      </c>
      <c r="M37" s="13" t="str">
        <f t="shared" si="12"/>
        <v>Esquemas</v>
      </c>
      <c r="N37" s="13" t="str">
        <f t="shared" si="13"/>
        <v>KML</v>
      </c>
      <c r="O37" s="13" t="str">
        <f t="shared" si="14"/>
        <v>Kml.Gira.Z</v>
      </c>
      <c r="P37" s="37" t="s">
        <v>184</v>
      </c>
      <c r="Q37" s="14" t="str">
        <f t="shared" si="10"/>
        <v>Elemento KML. Define que un giro alrededor del eje &lt;roll&gt;Z 0&lt;/roll&gt; no puede ser valor negativo.</v>
      </c>
      <c r="R37" s="14" t="str">
        <f t="shared" si="15"/>
        <v>KML element. Defines a turn around the Z-axis &lt;roll&gt;0&lt;/roll&gt; cannot be negative value.</v>
      </c>
      <c r="S37" s="14" t="s">
        <v>2</v>
      </c>
      <c r="T37" s="14" t="str">
        <f t="shared" si="16"/>
        <v>Interoperabilidade</v>
      </c>
      <c r="U37" s="14" t="str">
        <f t="shared" si="17"/>
        <v>Esquemas</v>
      </c>
      <c r="V37" s="14" t="str">
        <f t="shared" si="18"/>
        <v>Kml.Gira.Z</v>
      </c>
      <c r="W37" s="14" t="s">
        <v>64</v>
      </c>
      <c r="X37" s="30" t="str">
        <f t="shared" si="19"/>
        <v>Key-Kml-37</v>
      </c>
      <c r="Y37" s="14" t="s">
        <v>2</v>
      </c>
      <c r="Z37" s="14" t="s">
        <v>2</v>
      </c>
      <c r="AA37" s="14" t="s">
        <v>2</v>
      </c>
      <c r="AB37" s="14" t="s">
        <v>2</v>
      </c>
      <c r="AC37" s="14" t="s">
        <v>2</v>
      </c>
      <c r="AD37" s="37" t="s">
        <v>207</v>
      </c>
    </row>
    <row r="38" spans="1:30" ht="7.5" customHeight="1" x14ac:dyDescent="0.2">
      <c r="A38" s="31">
        <v>38</v>
      </c>
      <c r="B38" s="11" t="s">
        <v>91</v>
      </c>
      <c r="C38" s="12" t="s">
        <v>64</v>
      </c>
      <c r="D38" s="11" t="s">
        <v>92</v>
      </c>
      <c r="E38" s="11" t="s">
        <v>96</v>
      </c>
      <c r="F38" s="36" t="s">
        <v>143</v>
      </c>
      <c r="G38" s="32" t="s">
        <v>2</v>
      </c>
      <c r="H38" s="32" t="s">
        <v>2</v>
      </c>
      <c r="I38" s="32" t="s">
        <v>2</v>
      </c>
      <c r="J38" s="32" t="s">
        <v>2</v>
      </c>
      <c r="K38" s="32" t="s">
        <v>2</v>
      </c>
      <c r="L38" s="13" t="str">
        <f t="shared" si="11"/>
        <v>Interoperabilidade</v>
      </c>
      <c r="M38" s="13" t="str">
        <f t="shared" si="12"/>
        <v>Esquemas</v>
      </c>
      <c r="N38" s="13" t="str">
        <f t="shared" si="13"/>
        <v>KML</v>
      </c>
      <c r="O38" s="13" t="str">
        <f t="shared" si="14"/>
        <v>Kml.Lugar</v>
      </c>
      <c r="P38" s="37" t="s">
        <v>115</v>
      </c>
      <c r="Q38" s="14" t="str">
        <f t="shared" si="10"/>
        <v>Elemento de características geográficas en KML. Define el elemento más común que representa una característica geográfica individual y puede asociar un nombre, descripción, estilo y geometría.</v>
      </c>
      <c r="R38" s="14" t="str">
        <f t="shared" si="15"/>
        <v>Geographic feature element in KML. Defines the most common element that represents an individual geographic feature and can associate a name, description, style, and geometry.</v>
      </c>
      <c r="S38" s="14" t="s">
        <v>2</v>
      </c>
      <c r="T38" s="14" t="str">
        <f t="shared" si="16"/>
        <v>Interoperabilidade</v>
      </c>
      <c r="U38" s="14" t="str">
        <f t="shared" si="17"/>
        <v>Esquemas</v>
      </c>
      <c r="V38" s="14" t="str">
        <f t="shared" si="18"/>
        <v>Kml.Lugar</v>
      </c>
      <c r="W38" s="14" t="s">
        <v>64</v>
      </c>
      <c r="X38" s="30" t="str">
        <f t="shared" si="19"/>
        <v>Key-Kml-38</v>
      </c>
      <c r="Y38" s="14" t="s">
        <v>2</v>
      </c>
      <c r="Z38" s="14" t="s">
        <v>2</v>
      </c>
      <c r="AA38" s="14" t="s">
        <v>2</v>
      </c>
      <c r="AB38" s="14" t="s">
        <v>2</v>
      </c>
      <c r="AC38" s="14" t="s">
        <v>2</v>
      </c>
      <c r="AD38" s="37" t="s">
        <v>119</v>
      </c>
    </row>
    <row r="39" spans="1:30" ht="7.5" customHeight="1" x14ac:dyDescent="0.2">
      <c r="A39" s="31">
        <v>39</v>
      </c>
      <c r="B39" s="11" t="s">
        <v>91</v>
      </c>
      <c r="C39" s="12" t="s">
        <v>64</v>
      </c>
      <c r="D39" s="11" t="s">
        <v>92</v>
      </c>
      <c r="E39" s="11" t="s">
        <v>96</v>
      </c>
      <c r="F39" s="36" t="s">
        <v>266</v>
      </c>
      <c r="G39" s="32" t="s">
        <v>2</v>
      </c>
      <c r="H39" s="32" t="s">
        <v>2</v>
      </c>
      <c r="I39" s="32" t="s">
        <v>2</v>
      </c>
      <c r="J39" s="32" t="s">
        <v>2</v>
      </c>
      <c r="K39" s="32" t="s">
        <v>2</v>
      </c>
      <c r="L39" s="13" t="str">
        <f t="shared" si="11"/>
        <v>Interoperabilidade</v>
      </c>
      <c r="M39" s="13" t="str">
        <f t="shared" si="12"/>
        <v>Esquemas</v>
      </c>
      <c r="N39" s="13" t="str">
        <f t="shared" si="13"/>
        <v>KML</v>
      </c>
      <c r="O39" s="13" t="str">
        <f t="shared" si="14"/>
        <v>Kml.Lugar.Geometria</v>
      </c>
      <c r="P39" s="37" t="s">
        <v>113</v>
      </c>
      <c r="Q39" s="14" t="str">
        <f t="shared" si="10"/>
        <v>Elemento de características geográficas en KML. Un contenedor que agrupa varias geometrías bajo un único Placemark (por ejemplo, un país compuesto por varias islas).</v>
      </c>
      <c r="R39" s="14" t="str">
        <f t="shared" si="15"/>
        <v>Geographic feature element in KML. A container that groups several geometries under a single Placemark (for example, a country composed of several islands).</v>
      </c>
      <c r="S39" s="14" t="s">
        <v>2</v>
      </c>
      <c r="T39" s="14" t="str">
        <f t="shared" si="16"/>
        <v>Interoperabilidade</v>
      </c>
      <c r="U39" s="14" t="str">
        <f t="shared" si="17"/>
        <v>Esquemas</v>
      </c>
      <c r="V39" s="14" t="str">
        <f t="shared" si="18"/>
        <v>Kml.Lugar.Geometria</v>
      </c>
      <c r="W39" s="14" t="s">
        <v>64</v>
      </c>
      <c r="X39" s="30" t="str">
        <f t="shared" si="19"/>
        <v>Key-Kml-39</v>
      </c>
      <c r="Y39" s="14" t="s">
        <v>2</v>
      </c>
      <c r="Z39" s="14" t="s">
        <v>2</v>
      </c>
      <c r="AA39" s="14" t="s">
        <v>2</v>
      </c>
      <c r="AB39" s="14" t="s">
        <v>2</v>
      </c>
      <c r="AC39" s="14" t="s">
        <v>2</v>
      </c>
      <c r="AD39" s="37" t="s">
        <v>124</v>
      </c>
    </row>
    <row r="40" spans="1:30" ht="7.5" customHeight="1" x14ac:dyDescent="0.2">
      <c r="A40" s="31">
        <v>41</v>
      </c>
      <c r="B40" s="11" t="s">
        <v>91</v>
      </c>
      <c r="C40" s="12" t="s">
        <v>64</v>
      </c>
      <c r="D40" s="11" t="s">
        <v>92</v>
      </c>
      <c r="E40" s="11" t="s">
        <v>96</v>
      </c>
      <c r="F40" s="36" t="s">
        <v>258</v>
      </c>
      <c r="G40" s="32" t="s">
        <v>2</v>
      </c>
      <c r="H40" s="32" t="s">
        <v>2</v>
      </c>
      <c r="I40" s="32" t="s">
        <v>2</v>
      </c>
      <c r="J40" s="32" t="s">
        <v>2</v>
      </c>
      <c r="K40" s="32" t="s">
        <v>2</v>
      </c>
      <c r="L40" s="13" t="str">
        <f t="shared" si="11"/>
        <v>Interoperabilidade</v>
      </c>
      <c r="M40" s="13" t="str">
        <f t="shared" si="12"/>
        <v>Esquemas</v>
      </c>
      <c r="N40" s="13" t="str">
        <f t="shared" si="13"/>
        <v>KML</v>
      </c>
      <c r="O40" s="13" t="str">
        <f t="shared" si="14"/>
        <v>Kml.Lugar.Ponto</v>
      </c>
      <c r="P40" s="37" t="s">
        <v>109</v>
      </c>
      <c r="Q40" s="14" t="str">
        <f t="shared" si="10"/>
        <v>Elemento de características geográficas en KML. Establece una ubicación puntual en el mapa usando longitud, latitud y, opcionalmente, coordenadas de altitud.</v>
      </c>
      <c r="R40" s="14" t="str">
        <f t="shared" si="15"/>
        <v>Geographic feature element in KML. Sets a point location on the map using longitude, latitude, and optionally altitude coordinates.</v>
      </c>
      <c r="S40" s="14" t="s">
        <v>2</v>
      </c>
      <c r="T40" s="14" t="str">
        <f t="shared" si="16"/>
        <v>Interoperabilidade</v>
      </c>
      <c r="U40" s="14" t="str">
        <f t="shared" si="17"/>
        <v>Esquemas</v>
      </c>
      <c r="V40" s="14" t="str">
        <f t="shared" si="18"/>
        <v>Kml.Lugar.Ponto</v>
      </c>
      <c r="W40" s="14" t="s">
        <v>64</v>
      </c>
      <c r="X40" s="30" t="str">
        <f t="shared" si="19"/>
        <v>Key-Kml-41</v>
      </c>
      <c r="Y40" s="14" t="s">
        <v>2</v>
      </c>
      <c r="Z40" s="14" t="s">
        <v>2</v>
      </c>
      <c r="AA40" s="14" t="s">
        <v>2</v>
      </c>
      <c r="AB40" s="14" t="s">
        <v>2</v>
      </c>
      <c r="AC40" s="14" t="s">
        <v>2</v>
      </c>
      <c r="AD40" s="37" t="s">
        <v>120</v>
      </c>
    </row>
    <row r="41" spans="1:30" ht="7.5" customHeight="1" x14ac:dyDescent="0.2">
      <c r="A41" s="31">
        <v>42</v>
      </c>
      <c r="B41" s="11" t="s">
        <v>91</v>
      </c>
      <c r="C41" s="12" t="s">
        <v>64</v>
      </c>
      <c r="D41" s="11" t="s">
        <v>92</v>
      </c>
      <c r="E41" s="11" t="s">
        <v>96</v>
      </c>
      <c r="F41" s="36" t="s">
        <v>259</v>
      </c>
      <c r="G41" s="32" t="s">
        <v>2</v>
      </c>
      <c r="H41" s="32" t="s">
        <v>2</v>
      </c>
      <c r="I41" s="32" t="s">
        <v>2</v>
      </c>
      <c r="J41" s="32" t="s">
        <v>2</v>
      </c>
      <c r="K41" s="32" t="s">
        <v>2</v>
      </c>
      <c r="L41" s="13" t="str">
        <f t="shared" si="11"/>
        <v>Interoperabilidade</v>
      </c>
      <c r="M41" s="13" t="str">
        <f t="shared" si="12"/>
        <v>Esquemas</v>
      </c>
      <c r="N41" s="13" t="str">
        <f t="shared" si="13"/>
        <v>KML</v>
      </c>
      <c r="O41" s="13" t="str">
        <f t="shared" si="14"/>
        <v>Kml.Lugar.Ponto.Altitude</v>
      </c>
      <c r="P41" s="37" t="s">
        <v>166</v>
      </c>
      <c r="Q41" s="14" t="str">
        <f t="shared" si="10"/>
        <v>Elemento KML. Fija una altitud &lt;altitude&gt;de 10,5&lt;/altitude&gt;</v>
      </c>
      <c r="R41" s="14" t="str">
        <f t="shared" si="15"/>
        <v>KML element. Set an altitude &lt;altitude&gt;of 10.5&lt;/altitude&gt;</v>
      </c>
      <c r="S41" s="14" t="s">
        <v>2</v>
      </c>
      <c r="T41" s="14" t="str">
        <f t="shared" si="16"/>
        <v>Interoperabilidade</v>
      </c>
      <c r="U41" s="14" t="str">
        <f t="shared" si="17"/>
        <v>Esquemas</v>
      </c>
      <c r="V41" s="14" t="str">
        <f t="shared" si="18"/>
        <v>Kml.Lugar.Ponto.Altitude</v>
      </c>
      <c r="W41" s="14" t="s">
        <v>64</v>
      </c>
      <c r="X41" s="30" t="str">
        <f t="shared" si="19"/>
        <v>Key-Kml-42</v>
      </c>
      <c r="Y41" s="14" t="s">
        <v>2</v>
      </c>
      <c r="Z41" s="14" t="s">
        <v>2</v>
      </c>
      <c r="AA41" s="14" t="s">
        <v>2</v>
      </c>
      <c r="AB41" s="14" t="s">
        <v>2</v>
      </c>
      <c r="AC41" s="14" t="s">
        <v>2</v>
      </c>
      <c r="AD41" s="37" t="s">
        <v>203</v>
      </c>
    </row>
    <row r="42" spans="1:30" ht="7.5" customHeight="1" x14ac:dyDescent="0.2">
      <c r="A42" s="31">
        <v>43</v>
      </c>
      <c r="B42" s="11" t="s">
        <v>91</v>
      </c>
      <c r="C42" s="12" t="s">
        <v>64</v>
      </c>
      <c r="D42" s="11" t="s">
        <v>92</v>
      </c>
      <c r="E42" s="11" t="s">
        <v>96</v>
      </c>
      <c r="F42" s="36" t="s">
        <v>260</v>
      </c>
      <c r="G42" s="32" t="s">
        <v>2</v>
      </c>
      <c r="H42" s="32" t="s">
        <v>2</v>
      </c>
      <c r="I42" s="32" t="s">
        <v>2</v>
      </c>
      <c r="J42" s="32" t="s">
        <v>2</v>
      </c>
      <c r="K42" s="32" t="s">
        <v>2</v>
      </c>
      <c r="L42" s="13" t="str">
        <f t="shared" si="11"/>
        <v>Interoperabilidade</v>
      </c>
      <c r="M42" s="13" t="str">
        <f t="shared" si="12"/>
        <v>Esquemas</v>
      </c>
      <c r="N42" s="13" t="str">
        <f t="shared" si="13"/>
        <v>KML</v>
      </c>
      <c r="O42" s="13" t="str">
        <f t="shared" si="14"/>
        <v>Kml.Lugar.Ponto.AltitudeModo</v>
      </c>
      <c r="P42" s="37" t="s">
        <v>186</v>
      </c>
      <c r="Q42" s="14" t="str">
        <f t="shared" si="10"/>
        <v>Elemento KML. Establece el modo &lt;altitudeMode&gt;altitud absoluta&lt;/altitudeMode&gt; (Valores posibles: relativeToGround, clampToGround y absoluto)</v>
      </c>
      <c r="R42" s="14" t="str">
        <f t="shared" si="15"/>
        <v>KML element. Sets &lt;altitudeMode&gt;the absolute altitude&lt;/altitudeMode&gt; mode (Possible values: relativeToGround, clampToGround, and absolute)</v>
      </c>
      <c r="S42" s="14" t="s">
        <v>2</v>
      </c>
      <c r="T42" s="14" t="str">
        <f t="shared" si="16"/>
        <v>Interoperabilidade</v>
      </c>
      <c r="U42" s="14" t="str">
        <f t="shared" si="17"/>
        <v>Esquemas</v>
      </c>
      <c r="V42" s="14" t="str">
        <f t="shared" si="18"/>
        <v>Kml.Lugar.Ponto.AltitudeModo</v>
      </c>
      <c r="W42" s="14" t="s">
        <v>64</v>
      </c>
      <c r="X42" s="30" t="str">
        <f t="shared" si="19"/>
        <v>Key-Kml-43</v>
      </c>
      <c r="Y42" s="14" t="s">
        <v>2</v>
      </c>
      <c r="Z42" s="14" t="s">
        <v>2</v>
      </c>
      <c r="AA42" s="14" t="s">
        <v>2</v>
      </c>
      <c r="AB42" s="14" t="s">
        <v>2</v>
      </c>
      <c r="AC42" s="14" t="s">
        <v>2</v>
      </c>
      <c r="AD42" s="37" t="s">
        <v>204</v>
      </c>
    </row>
    <row r="43" spans="1:30" ht="7.5" customHeight="1" x14ac:dyDescent="0.2">
      <c r="A43" s="31">
        <v>44</v>
      </c>
      <c r="B43" s="11" t="s">
        <v>91</v>
      </c>
      <c r="C43" s="12" t="s">
        <v>64</v>
      </c>
      <c r="D43" s="11" t="s">
        <v>92</v>
      </c>
      <c r="E43" s="11" t="s">
        <v>96</v>
      </c>
      <c r="F43" s="36" t="s">
        <v>261</v>
      </c>
      <c r="G43" s="32" t="s">
        <v>2</v>
      </c>
      <c r="H43" s="32" t="s">
        <v>2</v>
      </c>
      <c r="I43" s="32" t="s">
        <v>2</v>
      </c>
      <c r="J43" s="32" t="s">
        <v>2</v>
      </c>
      <c r="K43" s="32" t="s">
        <v>2</v>
      </c>
      <c r="L43" s="13" t="str">
        <f t="shared" si="11"/>
        <v>Interoperabilidade</v>
      </c>
      <c r="M43" s="13" t="str">
        <f t="shared" si="12"/>
        <v>Esquemas</v>
      </c>
      <c r="N43" s="13" t="str">
        <f t="shared" si="13"/>
        <v>KML</v>
      </c>
      <c r="O43" s="13" t="str">
        <f t="shared" si="14"/>
        <v>Kml.Lugar.Ponto.Latitude</v>
      </c>
      <c r="P43" s="37" t="s">
        <v>173</v>
      </c>
      <c r="Q43" s="14" t="str">
        <f t="shared" si="10"/>
        <v>Elemento KML. Conjuntos latitud &lt;latitude&gt;-22.45&lt;/latitude&gt;</v>
      </c>
      <c r="R43" s="14" t="str">
        <f t="shared" si="15"/>
        <v>KML element. Sets latitude &lt;latitude&gt;-22.45&lt;/latitude&gt;</v>
      </c>
      <c r="S43" s="14" t="s">
        <v>2</v>
      </c>
      <c r="T43" s="14" t="str">
        <f t="shared" si="16"/>
        <v>Interoperabilidade</v>
      </c>
      <c r="U43" s="14" t="str">
        <f t="shared" si="17"/>
        <v>Esquemas</v>
      </c>
      <c r="V43" s="14" t="str">
        <f t="shared" si="18"/>
        <v>Kml.Lugar.Ponto.Latitude</v>
      </c>
      <c r="W43" s="14" t="s">
        <v>64</v>
      </c>
      <c r="X43" s="30" t="str">
        <f t="shared" si="19"/>
        <v>Key-Kml-44</v>
      </c>
      <c r="Y43" s="14" t="s">
        <v>2</v>
      </c>
      <c r="Z43" s="14" t="s">
        <v>2</v>
      </c>
      <c r="AA43" s="14" t="s">
        <v>2</v>
      </c>
      <c r="AB43" s="14" t="s">
        <v>2</v>
      </c>
      <c r="AC43" s="14" t="s">
        <v>2</v>
      </c>
      <c r="AD43" s="37" t="s">
        <v>201</v>
      </c>
    </row>
    <row r="44" spans="1:30" ht="7.5" customHeight="1" x14ac:dyDescent="0.2">
      <c r="A44" s="31">
        <v>45</v>
      </c>
      <c r="B44" s="11" t="s">
        <v>91</v>
      </c>
      <c r="C44" s="12" t="s">
        <v>64</v>
      </c>
      <c r="D44" s="11" t="s">
        <v>92</v>
      </c>
      <c r="E44" s="11" t="s">
        <v>96</v>
      </c>
      <c r="F44" s="36" t="s">
        <v>262</v>
      </c>
      <c r="G44" s="32" t="s">
        <v>2</v>
      </c>
      <c r="H44" s="32" t="s">
        <v>2</v>
      </c>
      <c r="I44" s="32" t="s">
        <v>2</v>
      </c>
      <c r="J44" s="32" t="s">
        <v>2</v>
      </c>
      <c r="K44" s="32" t="s">
        <v>2</v>
      </c>
      <c r="L44" s="13" t="str">
        <f t="shared" si="11"/>
        <v>Interoperabilidade</v>
      </c>
      <c r="M44" s="13" t="str">
        <f t="shared" si="12"/>
        <v>Esquemas</v>
      </c>
      <c r="N44" s="13" t="str">
        <f t="shared" si="13"/>
        <v>KML</v>
      </c>
      <c r="O44" s="13" t="str">
        <f t="shared" si="14"/>
        <v>Kml.Lugar.Ponto.Longitude</v>
      </c>
      <c r="P44" s="37" t="s">
        <v>172</v>
      </c>
      <c r="Q44" s="14" t="str">
        <f t="shared" si="10"/>
        <v>Elemento KML. Conjuntos longitud &lt;longitude&gt;-122.36415&lt;/longitude&gt;</v>
      </c>
      <c r="R44" s="14" t="str">
        <f t="shared" si="15"/>
        <v>KML element. Sets longitude &lt;longitude&gt;-122.36415&lt;/longitude&gt;</v>
      </c>
      <c r="S44" s="14" t="s">
        <v>2</v>
      </c>
      <c r="T44" s="14" t="str">
        <f t="shared" si="16"/>
        <v>Interoperabilidade</v>
      </c>
      <c r="U44" s="14" t="str">
        <f t="shared" si="17"/>
        <v>Esquemas</v>
      </c>
      <c r="V44" s="14" t="str">
        <f t="shared" si="18"/>
        <v>Kml.Lugar.Ponto.Longitude</v>
      </c>
      <c r="W44" s="14" t="s">
        <v>64</v>
      </c>
      <c r="X44" s="30" t="str">
        <f t="shared" si="19"/>
        <v>Key-Kml-45</v>
      </c>
      <c r="Y44" s="14" t="s">
        <v>2</v>
      </c>
      <c r="Z44" s="14" t="s">
        <v>2</v>
      </c>
      <c r="AA44" s="14" t="s">
        <v>2</v>
      </c>
      <c r="AB44" s="14" t="s">
        <v>2</v>
      </c>
      <c r="AC44" s="14" t="s">
        <v>2</v>
      </c>
      <c r="AD44" s="37" t="s">
        <v>202</v>
      </c>
    </row>
    <row r="45" spans="1:30" ht="7.5" customHeight="1" x14ac:dyDescent="0.2">
      <c r="A45" s="31">
        <v>46</v>
      </c>
      <c r="B45" s="11" t="s">
        <v>91</v>
      </c>
      <c r="C45" s="12" t="s">
        <v>64</v>
      </c>
      <c r="D45" s="11" t="s">
        <v>92</v>
      </c>
      <c r="E45" s="11" t="s">
        <v>96</v>
      </c>
      <c r="F45" s="36" t="s">
        <v>305</v>
      </c>
      <c r="G45" s="32" t="s">
        <v>2</v>
      </c>
      <c r="H45" s="32" t="s">
        <v>2</v>
      </c>
      <c r="I45" s="32" t="s">
        <v>2</v>
      </c>
      <c r="J45" s="32" t="s">
        <v>2</v>
      </c>
      <c r="K45" s="32" t="s">
        <v>2</v>
      </c>
      <c r="L45" s="13" t="str">
        <f t="shared" si="11"/>
        <v>Interoperabilidade</v>
      </c>
      <c r="M45" s="13" t="str">
        <f t="shared" si="12"/>
        <v>Esquemas</v>
      </c>
      <c r="N45" s="13" t="str">
        <f t="shared" si="13"/>
        <v>KML</v>
      </c>
      <c r="O45" s="13" t="str">
        <f t="shared" si="14"/>
        <v>Kml.Lugar.Ponto.XYZ</v>
      </c>
      <c r="P45" s="37" t="s">
        <v>164</v>
      </c>
      <c r="Q45" s="14" t="str">
        <f t="shared" si="10"/>
        <v>Elemento de coordenadas en KML. Coordenadas. X, Y, Z separados por comas y coordinados por espacios &lt;coordinates&gt;x1 , y1 , z1 x2 , y2 , z2 x3 , y3 , z3 x4 , y4 , z4&lt;/coordinates&gt;.</v>
      </c>
      <c r="R45" s="14" t="str">
        <f t="shared" si="15"/>
        <v>Coordinate element in KML. Coordinates. X, Y, Z separated by commas and coordinated by spaces &lt;coordinates&gt;x1 , y1 , z1 x2 , y2 , z2 x3 , y3 , z3 x4 , y4 , z4&lt;/coordinates&gt;.</v>
      </c>
      <c r="S45" s="14" t="s">
        <v>2</v>
      </c>
      <c r="T45" s="14" t="str">
        <f t="shared" si="16"/>
        <v>Interoperabilidade</v>
      </c>
      <c r="U45" s="14" t="str">
        <f t="shared" si="17"/>
        <v>Esquemas</v>
      </c>
      <c r="V45" s="14" t="str">
        <f t="shared" si="18"/>
        <v>Kml.Lugar.Ponto.XYZ</v>
      </c>
      <c r="W45" s="14" t="s">
        <v>64</v>
      </c>
      <c r="X45" s="30" t="str">
        <f t="shared" si="19"/>
        <v>Key-Kml-46</v>
      </c>
      <c r="Y45" s="14" t="s">
        <v>2</v>
      </c>
      <c r="Z45" s="14" t="s">
        <v>2</v>
      </c>
      <c r="AA45" s="14" t="s">
        <v>2</v>
      </c>
      <c r="AB45" s="14" t="s">
        <v>2</v>
      </c>
      <c r="AC45" s="14" t="s">
        <v>2</v>
      </c>
      <c r="AD45" s="37" t="s">
        <v>163</v>
      </c>
    </row>
    <row r="46" spans="1:30" ht="7.5" customHeight="1" x14ac:dyDescent="0.2">
      <c r="A46" s="31">
        <v>47</v>
      </c>
      <c r="B46" s="11" t="s">
        <v>91</v>
      </c>
      <c r="C46" s="12" t="s">
        <v>64</v>
      </c>
      <c r="D46" s="11" t="s">
        <v>92</v>
      </c>
      <c r="E46" s="11" t="s">
        <v>96</v>
      </c>
      <c r="F46" s="36" t="s">
        <v>263</v>
      </c>
      <c r="G46" s="32" t="s">
        <v>2</v>
      </c>
      <c r="H46" s="32" t="s">
        <v>2</v>
      </c>
      <c r="I46" s="32" t="s">
        <v>2</v>
      </c>
      <c r="J46" s="32" t="s">
        <v>2</v>
      </c>
      <c r="K46" s="32" t="s">
        <v>2</v>
      </c>
      <c r="L46" s="13" t="str">
        <f t="shared" si="11"/>
        <v>Interoperabilidade</v>
      </c>
      <c r="M46" s="13" t="str">
        <f t="shared" si="12"/>
        <v>Esquemas</v>
      </c>
      <c r="N46" s="13" t="str">
        <f t="shared" si="13"/>
        <v>KML</v>
      </c>
      <c r="O46" s="13" t="str">
        <f t="shared" si="14"/>
        <v>Kml.Lugar.Segmento</v>
      </c>
      <c r="P46" s="37" t="s">
        <v>110</v>
      </c>
      <c r="Q46" s="14" t="str">
        <f t="shared" si="10"/>
        <v>Elemento de características geográficas en KML. Define una línea continua a través de una secuencia de coordenadas (útil para caminos, rutas y ríos).</v>
      </c>
      <c r="R46" s="14" t="str">
        <f t="shared" si="15"/>
        <v>Geographic feature element in KML. Defines a continuous line through a sequence of coordinates (useful for paths, routes, and rivers).</v>
      </c>
      <c r="S46" s="14" t="s">
        <v>2</v>
      </c>
      <c r="T46" s="14" t="str">
        <f t="shared" si="16"/>
        <v>Interoperabilidade</v>
      </c>
      <c r="U46" s="14" t="str">
        <f t="shared" si="17"/>
        <v>Esquemas</v>
      </c>
      <c r="V46" s="14" t="str">
        <f t="shared" si="18"/>
        <v>Kml.Lugar.Segmento</v>
      </c>
      <c r="W46" s="14" t="s">
        <v>64</v>
      </c>
      <c r="X46" s="30" t="str">
        <f t="shared" si="19"/>
        <v>Key-Kml-47</v>
      </c>
      <c r="Y46" s="14" t="s">
        <v>2</v>
      </c>
      <c r="Z46" s="14" t="s">
        <v>2</v>
      </c>
      <c r="AA46" s="14" t="s">
        <v>2</v>
      </c>
      <c r="AB46" s="14" t="s">
        <v>2</v>
      </c>
      <c r="AC46" s="14" t="s">
        <v>2</v>
      </c>
      <c r="AD46" s="37" t="s">
        <v>121</v>
      </c>
    </row>
    <row r="47" spans="1:30" ht="7.5" customHeight="1" x14ac:dyDescent="0.2">
      <c r="A47" s="31">
        <v>48</v>
      </c>
      <c r="B47" s="11" t="s">
        <v>91</v>
      </c>
      <c r="C47" s="12" t="s">
        <v>64</v>
      </c>
      <c r="D47" s="11" t="s">
        <v>92</v>
      </c>
      <c r="E47" s="11" t="s">
        <v>96</v>
      </c>
      <c r="F47" s="36" t="s">
        <v>264</v>
      </c>
      <c r="G47" s="32" t="s">
        <v>2</v>
      </c>
      <c r="H47" s="32" t="s">
        <v>2</v>
      </c>
      <c r="I47" s="32" t="s">
        <v>2</v>
      </c>
      <c r="J47" s="32" t="s">
        <v>2</v>
      </c>
      <c r="K47" s="32" t="s">
        <v>2</v>
      </c>
      <c r="L47" s="13" t="str">
        <f t="shared" si="11"/>
        <v>Interoperabilidade</v>
      </c>
      <c r="M47" s="13" t="str">
        <f t="shared" si="12"/>
        <v>Esquemas</v>
      </c>
      <c r="N47" s="13" t="str">
        <f t="shared" si="13"/>
        <v>KML</v>
      </c>
      <c r="O47" s="13" t="str">
        <f t="shared" si="14"/>
        <v>Kml.Lugar.Segmento.Poligonal</v>
      </c>
      <c r="P47" s="37" t="s">
        <v>111</v>
      </c>
      <c r="Q47" s="14" t="str">
        <f t="shared" si="10"/>
        <v>Elemento de características geográficas en KML. Una línea cerrada, no auto-intersectante, usada principalmente para definir los límites de un polígono.</v>
      </c>
      <c r="R47" s="14" t="str">
        <f t="shared" si="15"/>
        <v>Geographic feature element in KML. A closed, non-self-intersecting line, used primarily to define the boundaries of a polygon.</v>
      </c>
      <c r="S47" s="14" t="s">
        <v>2</v>
      </c>
      <c r="T47" s="14" t="str">
        <f t="shared" si="16"/>
        <v>Interoperabilidade</v>
      </c>
      <c r="U47" s="14" t="str">
        <f t="shared" si="17"/>
        <v>Esquemas</v>
      </c>
      <c r="V47" s="14" t="str">
        <f t="shared" si="18"/>
        <v>Kml.Lugar.Segmento.Poligonal</v>
      </c>
      <c r="W47" s="14" t="s">
        <v>64</v>
      </c>
      <c r="X47" s="30" t="str">
        <f t="shared" si="19"/>
        <v>Key-Kml-48</v>
      </c>
      <c r="Y47" s="14" t="s">
        <v>2</v>
      </c>
      <c r="Z47" s="14" t="s">
        <v>2</v>
      </c>
      <c r="AA47" s="14" t="s">
        <v>2</v>
      </c>
      <c r="AB47" s="14" t="s">
        <v>2</v>
      </c>
      <c r="AC47" s="14" t="s">
        <v>2</v>
      </c>
      <c r="AD47" s="37" t="s">
        <v>122</v>
      </c>
    </row>
    <row r="48" spans="1:30" ht="7.5" customHeight="1" x14ac:dyDescent="0.2">
      <c r="A48" s="31">
        <v>49</v>
      </c>
      <c r="B48" s="11" t="s">
        <v>91</v>
      </c>
      <c r="C48" s="12" t="s">
        <v>64</v>
      </c>
      <c r="D48" s="11" t="s">
        <v>92</v>
      </c>
      <c r="E48" s="11" t="s">
        <v>96</v>
      </c>
      <c r="F48" s="36" t="s">
        <v>265</v>
      </c>
      <c r="G48" s="32" t="s">
        <v>2</v>
      </c>
      <c r="H48" s="32" t="s">
        <v>2</v>
      </c>
      <c r="I48" s="32" t="s">
        <v>2</v>
      </c>
      <c r="J48" s="32" t="s">
        <v>2</v>
      </c>
      <c r="K48" s="32" t="s">
        <v>2</v>
      </c>
      <c r="L48" s="13" t="str">
        <f t="shared" si="11"/>
        <v>Interoperabilidade</v>
      </c>
      <c r="M48" s="13" t="str">
        <f t="shared" si="12"/>
        <v>Esquemas</v>
      </c>
      <c r="N48" s="13" t="str">
        <f t="shared" si="13"/>
        <v>KML</v>
      </c>
      <c r="O48" s="13" t="str">
        <f t="shared" si="14"/>
        <v>Kml.Lugar.Segmento.Poligono</v>
      </c>
      <c r="P48" s="37" t="s">
        <v>112</v>
      </c>
      <c r="Q48" s="14" t="str">
        <f t="shared" si="10"/>
        <v>Elemento de características geográficas en KML. Define un área delimitada por un límite exterior (&lt;outerBoundaryIs&gt;) y, opcionalmente, por un límite interior (&lt;innerBoundaryIs&gt;) para crear agujeros.</v>
      </c>
      <c r="R48" s="14" t="str">
        <f t="shared" si="15"/>
        <v>Geographic feature element in KML. Defines an area bounded by an outer boundary (&lt;outerBoundaryIs&gt;) and, optionally, inner boundary (&lt;innerBoundaryIs&gt;) to create holes.</v>
      </c>
      <c r="S48" s="14" t="s">
        <v>2</v>
      </c>
      <c r="T48" s="14" t="str">
        <f t="shared" si="16"/>
        <v>Interoperabilidade</v>
      </c>
      <c r="U48" s="14" t="str">
        <f t="shared" si="17"/>
        <v>Esquemas</v>
      </c>
      <c r="V48" s="14" t="str">
        <f t="shared" si="18"/>
        <v>Kml.Lugar.Segmento.Poligono</v>
      </c>
      <c r="W48" s="14" t="s">
        <v>64</v>
      </c>
      <c r="X48" s="30" t="str">
        <f t="shared" si="19"/>
        <v>Key-Kml-49</v>
      </c>
      <c r="Y48" s="14" t="s">
        <v>2</v>
      </c>
      <c r="Z48" s="14" t="s">
        <v>2</v>
      </c>
      <c r="AA48" s="14" t="s">
        <v>2</v>
      </c>
      <c r="AB48" s="14" t="s">
        <v>2</v>
      </c>
      <c r="AC48" s="14" t="s">
        <v>2</v>
      </c>
      <c r="AD48" s="37" t="s">
        <v>123</v>
      </c>
    </row>
    <row r="49" spans="1:30" ht="7.5" customHeight="1" x14ac:dyDescent="0.2">
      <c r="A49" s="31">
        <v>40</v>
      </c>
      <c r="B49" s="11" t="s">
        <v>91</v>
      </c>
      <c r="C49" s="12" t="s">
        <v>64</v>
      </c>
      <c r="D49" s="11" t="s">
        <v>92</v>
      </c>
      <c r="E49" s="11" t="s">
        <v>96</v>
      </c>
      <c r="F49" s="36" t="s">
        <v>330</v>
      </c>
      <c r="G49" s="32" t="s">
        <v>2</v>
      </c>
      <c r="H49" s="32" t="s">
        <v>2</v>
      </c>
      <c r="I49" s="32" t="s">
        <v>2</v>
      </c>
      <c r="J49" s="32" t="s">
        <v>2</v>
      </c>
      <c r="K49" s="32" t="s">
        <v>2</v>
      </c>
      <c r="L49" s="13" t="str">
        <f t="shared" si="11"/>
        <v>Interoperabilidade</v>
      </c>
      <c r="M49" s="13" t="str">
        <f t="shared" si="12"/>
        <v>Esquemas</v>
      </c>
      <c r="N49" s="13" t="str">
        <f t="shared" si="13"/>
        <v>KML</v>
      </c>
      <c r="O49" s="13" t="str">
        <f t="shared" si="14"/>
        <v>Kml.Lugar.Segmento.Projeção</v>
      </c>
      <c r="P49" s="37" t="s">
        <v>329</v>
      </c>
      <c r="Q49" s="14" t="str">
        <f t="shared" si="10"/>
        <v>Determina si una línea o polígono sigue la curvatura de la tierra, los relieves del terreno o si se dibuja como una línea recta en el espacio tridimensional. &lt;tessellate&gt;1&lt;/tessellate&gt; solo funciona si el modo altitud (&lt;altitudeMode&gt;) está configurado en clampToGround (fijado a tierra, que es el valor predeterminado). Si la altitud es absoluta o relativa al suelo, se ignora el efecto del teselado.</v>
      </c>
      <c r="R49" s="14" t="str">
        <f t="shared" si="15"/>
        <v>Controls whether a line or polygon follows the curvature of the earth, the terrain reliefs, or whether it is drawn as a straight line in three-dimensional space. &lt;tessellate&gt;1&lt;/tessellate&gt; Works only if the altitude mode (&lt;altitudeMode&gt;) is set to clampToGround (secured to ground, which is the default). If the altitude is absolute or relative to the ground, the effect of tessellate is ignored.</v>
      </c>
      <c r="S49" s="14" t="s">
        <v>2</v>
      </c>
      <c r="T49" s="14" t="str">
        <f t="shared" si="16"/>
        <v>Interoperabilidade</v>
      </c>
      <c r="U49" s="14" t="str">
        <f t="shared" si="17"/>
        <v>Esquemas</v>
      </c>
      <c r="V49" s="14" t="str">
        <f t="shared" si="18"/>
        <v>Kml.Lugar.Segmento.Projeção</v>
      </c>
      <c r="W49" s="14" t="s">
        <v>64</v>
      </c>
      <c r="X49" s="30" t="str">
        <f t="shared" si="19"/>
        <v>Key-Kml-40</v>
      </c>
      <c r="Y49" s="14" t="s">
        <v>2</v>
      </c>
      <c r="Z49" s="14" t="s">
        <v>2</v>
      </c>
      <c r="AA49" s="14" t="s">
        <v>2</v>
      </c>
      <c r="AB49" s="14" t="s">
        <v>2</v>
      </c>
      <c r="AC49" s="14" t="s">
        <v>2</v>
      </c>
      <c r="AD49" s="37" t="s">
        <v>196</v>
      </c>
    </row>
    <row r="50" spans="1:30" ht="7.5" customHeight="1" x14ac:dyDescent="0.2">
      <c r="A50" s="31">
        <v>50</v>
      </c>
      <c r="B50" s="11" t="s">
        <v>91</v>
      </c>
      <c r="C50" s="12" t="s">
        <v>64</v>
      </c>
      <c r="D50" s="11" t="s">
        <v>92</v>
      </c>
      <c r="E50" s="11" t="s">
        <v>96</v>
      </c>
      <c r="F50" s="36" t="s">
        <v>272</v>
      </c>
      <c r="G50" s="32" t="s">
        <v>2</v>
      </c>
      <c r="H50" s="32" t="s">
        <v>2</v>
      </c>
      <c r="I50" s="32" t="s">
        <v>2</v>
      </c>
      <c r="J50" s="32" t="s">
        <v>2</v>
      </c>
      <c r="K50" s="32" t="s">
        <v>2</v>
      </c>
      <c r="L50" s="13" t="str">
        <f t="shared" si="11"/>
        <v>Interoperabilidade</v>
      </c>
      <c r="M50" s="13" t="str">
        <f t="shared" si="12"/>
        <v>Esquemas</v>
      </c>
      <c r="N50" s="13" t="str">
        <f t="shared" si="13"/>
        <v>KML</v>
      </c>
      <c r="O50" s="13" t="str">
        <f t="shared" si="14"/>
        <v>Kml.Modelo.3D</v>
      </c>
      <c r="P50" s="37" t="s">
        <v>114</v>
      </c>
      <c r="Q50" s="14" t="str">
        <f t="shared" si="10"/>
        <v>Elemento de características geográficas en KML. Permite insertar modelos 3D complejos (normalmente en formato COLLADA .dae) en el mapa.</v>
      </c>
      <c r="R50" s="14" t="str">
        <f t="shared" si="15"/>
        <v>Geographic feature element in KML. It allows you to insert complex 3D models (usually in COLLADA .dae format) into the map.</v>
      </c>
      <c r="S50" s="14" t="s">
        <v>2</v>
      </c>
      <c r="T50" s="14" t="str">
        <f t="shared" si="16"/>
        <v>Interoperabilidade</v>
      </c>
      <c r="U50" s="14" t="str">
        <f t="shared" si="17"/>
        <v>Esquemas</v>
      </c>
      <c r="V50" s="14" t="str">
        <f t="shared" si="18"/>
        <v>Kml.Modelo.3D</v>
      </c>
      <c r="W50" s="14" t="s">
        <v>64</v>
      </c>
      <c r="X50" s="30" t="str">
        <f t="shared" si="19"/>
        <v>Key-Kml-50</v>
      </c>
      <c r="Y50" s="14" t="s">
        <v>2</v>
      </c>
      <c r="Z50" s="14" t="s">
        <v>2</v>
      </c>
      <c r="AA50" s="14" t="s">
        <v>2</v>
      </c>
      <c r="AB50" s="14" t="s">
        <v>2</v>
      </c>
      <c r="AC50" s="14" t="s">
        <v>2</v>
      </c>
      <c r="AD50" s="37" t="s">
        <v>125</v>
      </c>
    </row>
    <row r="51" spans="1:30" ht="7.5" customHeight="1" x14ac:dyDescent="0.2">
      <c r="A51" s="31">
        <v>51</v>
      </c>
      <c r="B51" s="11" t="s">
        <v>91</v>
      </c>
      <c r="C51" s="12" t="s">
        <v>64</v>
      </c>
      <c r="D51" s="11" t="s">
        <v>92</v>
      </c>
      <c r="E51" s="11" t="s">
        <v>96</v>
      </c>
      <c r="F51" s="36" t="s">
        <v>175</v>
      </c>
      <c r="G51" s="32" t="s">
        <v>2</v>
      </c>
      <c r="H51" s="32" t="s">
        <v>2</v>
      </c>
      <c r="I51" s="32" t="s">
        <v>2</v>
      </c>
      <c r="J51" s="32" t="s">
        <v>2</v>
      </c>
      <c r="K51" s="32" t="s">
        <v>2</v>
      </c>
      <c r="L51" s="13" t="str">
        <f t="shared" si="11"/>
        <v>Interoperabilidade</v>
      </c>
      <c r="M51" s="13" t="str">
        <f t="shared" si="12"/>
        <v>Esquemas</v>
      </c>
      <c r="N51" s="13" t="str">
        <f t="shared" si="13"/>
        <v>KML</v>
      </c>
      <c r="O51" s="13" t="str">
        <f t="shared" si="14"/>
        <v>Kml.Nome</v>
      </c>
      <c r="P51" s="37" t="s">
        <v>171</v>
      </c>
      <c r="Q51" s="14" t="str">
        <f t="shared" si="10"/>
        <v>Elemento KML. Define un nombre que puede ser archivo, lugar, etc. &lt;name&gt;Nombre del elemento&lt;/name&gt;</v>
      </c>
      <c r="R51" s="14" t="str">
        <f t="shared" si="15"/>
        <v>KML element. Defines a name that can be file, place, etc. &lt;name&gt;Element Name&lt;/name&gt;</v>
      </c>
      <c r="S51" s="14" t="s">
        <v>2</v>
      </c>
      <c r="T51" s="14" t="str">
        <f t="shared" si="16"/>
        <v>Interoperabilidade</v>
      </c>
      <c r="U51" s="14" t="str">
        <f t="shared" si="17"/>
        <v>Esquemas</v>
      </c>
      <c r="V51" s="14" t="str">
        <f t="shared" si="18"/>
        <v>Kml.Nome</v>
      </c>
      <c r="W51" s="14" t="s">
        <v>64</v>
      </c>
      <c r="X51" s="30" t="str">
        <f t="shared" si="19"/>
        <v>Key-Kml-51</v>
      </c>
      <c r="Y51" s="14" t="s">
        <v>2</v>
      </c>
      <c r="Z51" s="14" t="s">
        <v>2</v>
      </c>
      <c r="AA51" s="14" t="s">
        <v>2</v>
      </c>
      <c r="AB51" s="14" t="s">
        <v>2</v>
      </c>
      <c r="AC51" s="14" t="s">
        <v>2</v>
      </c>
      <c r="AD51" s="37" t="s">
        <v>193</v>
      </c>
    </row>
    <row r="52" spans="1:30" ht="7.5" customHeight="1" x14ac:dyDescent="0.2">
      <c r="A52" s="31">
        <v>52</v>
      </c>
      <c r="B52" s="11" t="s">
        <v>91</v>
      </c>
      <c r="C52" s="12" t="s">
        <v>64</v>
      </c>
      <c r="D52" s="11" t="s">
        <v>92</v>
      </c>
      <c r="E52" s="11" t="s">
        <v>96</v>
      </c>
      <c r="F52" s="36" t="s">
        <v>324</v>
      </c>
      <c r="G52" s="32" t="s">
        <v>2</v>
      </c>
      <c r="H52" s="32" t="s">
        <v>2</v>
      </c>
      <c r="I52" s="32" t="s">
        <v>2</v>
      </c>
      <c r="J52" s="32" t="s">
        <v>2</v>
      </c>
      <c r="K52" s="32" t="s">
        <v>2</v>
      </c>
      <c r="L52" s="13" t="str">
        <f t="shared" si="11"/>
        <v>Interoperabilidade</v>
      </c>
      <c r="M52" s="13" t="str">
        <f t="shared" si="12"/>
        <v>Esquemas</v>
      </c>
      <c r="N52" s="13" t="str">
        <f t="shared" si="13"/>
        <v>KML</v>
      </c>
      <c r="O52" s="13" t="str">
        <f t="shared" si="14"/>
        <v>Kml.Pasta</v>
      </c>
      <c r="P52" s="37" t="s">
        <v>236</v>
      </c>
      <c r="Q52" s="14" t="str">
        <f t="shared" si="10"/>
        <v>KML folder grouper element que ordena elementos en la jerarquía de carpetas (como la barra lateral de Google Earth), permite habilitar o desactivar la visibilidad de bloques.</v>
      </c>
      <c r="R52" s="14" t="str">
        <f t="shared" si="15"/>
        <v>KML folder grouper element that sorts elements in folder hierarchy (such as the Google Earth sidebar), allows you to enable or disable block visibility.</v>
      </c>
      <c r="S52" s="14" t="s">
        <v>2</v>
      </c>
      <c r="T52" s="14" t="str">
        <f t="shared" si="16"/>
        <v>Interoperabilidade</v>
      </c>
      <c r="U52" s="14" t="str">
        <f t="shared" si="17"/>
        <v>Esquemas</v>
      </c>
      <c r="V52" s="14" t="str">
        <f t="shared" si="18"/>
        <v>Kml.Pasta</v>
      </c>
      <c r="W52" s="14" t="s">
        <v>64</v>
      </c>
      <c r="X52" s="30" t="str">
        <f t="shared" si="19"/>
        <v>Key-Kml-52</v>
      </c>
      <c r="Y52" s="14" t="s">
        <v>2</v>
      </c>
      <c r="Z52" s="14" t="s">
        <v>2</v>
      </c>
      <c r="AA52" s="14" t="s">
        <v>2</v>
      </c>
      <c r="AB52" s="14" t="s">
        <v>2</v>
      </c>
      <c r="AC52" s="14" t="s">
        <v>2</v>
      </c>
      <c r="AD52" s="37" t="s">
        <v>118</v>
      </c>
    </row>
    <row r="53" spans="1:30" ht="7.5" customHeight="1" x14ac:dyDescent="0.2">
      <c r="A53" s="31">
        <v>53</v>
      </c>
      <c r="B53" s="11" t="s">
        <v>91</v>
      </c>
      <c r="C53" s="12" t="s">
        <v>64</v>
      </c>
      <c r="D53" s="11" t="s">
        <v>92</v>
      </c>
      <c r="E53" s="11" t="s">
        <v>96</v>
      </c>
      <c r="F53" s="36" t="s">
        <v>328</v>
      </c>
      <c r="G53" s="32" t="s">
        <v>2</v>
      </c>
      <c r="H53" s="32" t="s">
        <v>2</v>
      </c>
      <c r="I53" s="32" t="s">
        <v>2</v>
      </c>
      <c r="J53" s="32" t="s">
        <v>2</v>
      </c>
      <c r="K53" s="32" t="s">
        <v>2</v>
      </c>
      <c r="L53" s="13" t="str">
        <f t="shared" si="11"/>
        <v>Interoperabilidade</v>
      </c>
      <c r="M53" s="13" t="str">
        <f t="shared" si="12"/>
        <v>Esquemas</v>
      </c>
      <c r="N53" s="13" t="str">
        <f t="shared" si="13"/>
        <v>KML</v>
      </c>
      <c r="O53" s="13" t="str">
        <f t="shared" si="14"/>
        <v>Kml.Pasta.Aberta</v>
      </c>
      <c r="P53" s="37" t="s">
        <v>325</v>
      </c>
      <c r="Q53" s="14" t="str">
        <f t="shared" si="10"/>
        <v>Especifica si un elemento en el árbol de lugares en Google Earth o Google Maps se muestra abierto o cerrado por &lt;open&gt;defecto 1&lt;/open&gt;</v>
      </c>
      <c r="R53" s="14" t="str">
        <f t="shared" si="15"/>
        <v>Specifies whether an item in the place tree in Google Earth or Google Maps is displayed open or closed by default &lt;open&gt;1&lt;/open&gt;</v>
      </c>
      <c r="S53" s="14" t="s">
        <v>2</v>
      </c>
      <c r="T53" s="14" t="str">
        <f t="shared" si="16"/>
        <v>Interoperabilidade</v>
      </c>
      <c r="U53" s="14" t="str">
        <f t="shared" si="17"/>
        <v>Esquemas</v>
      </c>
      <c r="V53" s="14" t="str">
        <f t="shared" si="18"/>
        <v>Kml.Pasta.Aberta</v>
      </c>
      <c r="W53" s="14" t="s">
        <v>64</v>
      </c>
      <c r="X53" s="30" t="str">
        <f t="shared" si="19"/>
        <v>Key-Kml-53</v>
      </c>
      <c r="Y53" s="14" t="s">
        <v>2</v>
      </c>
      <c r="Z53" s="14" t="s">
        <v>2</v>
      </c>
      <c r="AA53" s="14" t="s">
        <v>2</v>
      </c>
      <c r="AB53" s="14" t="s">
        <v>2</v>
      </c>
      <c r="AC53" s="14" t="s">
        <v>2</v>
      </c>
      <c r="AD53" s="37" t="s">
        <v>199</v>
      </c>
    </row>
    <row r="54" spans="1:30" ht="7.5" customHeight="1" x14ac:dyDescent="0.2">
      <c r="A54" s="31">
        <v>54</v>
      </c>
      <c r="B54" s="11" t="s">
        <v>91</v>
      </c>
      <c r="C54" s="12" t="s">
        <v>64</v>
      </c>
      <c r="D54" s="11" t="s">
        <v>92</v>
      </c>
      <c r="E54" s="11" t="s">
        <v>96</v>
      </c>
      <c r="F54" s="36" t="s">
        <v>212</v>
      </c>
      <c r="G54" s="32" t="s">
        <v>2</v>
      </c>
      <c r="H54" s="32" t="s">
        <v>2</v>
      </c>
      <c r="I54" s="32" t="s">
        <v>2</v>
      </c>
      <c r="J54" s="32" t="s">
        <v>2</v>
      </c>
      <c r="K54" s="32" t="s">
        <v>2</v>
      </c>
      <c r="L54" s="13" t="str">
        <f t="shared" si="11"/>
        <v>Interoperabilidade</v>
      </c>
      <c r="M54" s="13" t="str">
        <f t="shared" si="12"/>
        <v>Esquemas</v>
      </c>
      <c r="N54" s="13" t="str">
        <f t="shared" si="13"/>
        <v>KML</v>
      </c>
      <c r="O54" s="13" t="str">
        <f t="shared" si="14"/>
        <v>Kml.Region</v>
      </c>
      <c r="P54" s="37" t="s">
        <v>215</v>
      </c>
      <c r="Q54" s="14" t="str">
        <f t="shared" si="10"/>
        <v>Elemento KML. Define una región. &lt;Region&gt; ..... &lt;/Region&gt;</v>
      </c>
      <c r="R54" s="14" t="str">
        <f t="shared" si="15"/>
        <v>KML element. Defines a region. &lt;Region&gt; ..... &lt;/Region&gt;</v>
      </c>
      <c r="S54" s="14" t="s">
        <v>2</v>
      </c>
      <c r="T54" s="14" t="str">
        <f t="shared" si="16"/>
        <v>Interoperabilidade</v>
      </c>
      <c r="U54" s="14" t="str">
        <f t="shared" si="17"/>
        <v>Esquemas</v>
      </c>
      <c r="V54" s="14" t="str">
        <f t="shared" si="18"/>
        <v>Kml.Region</v>
      </c>
      <c r="W54" s="14" t="s">
        <v>64</v>
      </c>
      <c r="X54" s="30" t="str">
        <f t="shared" si="19"/>
        <v>Key-Kml-54</v>
      </c>
      <c r="Y54" s="14" t="s">
        <v>2</v>
      </c>
      <c r="Z54" s="14" t="s">
        <v>2</v>
      </c>
      <c r="AA54" s="14" t="s">
        <v>2</v>
      </c>
      <c r="AB54" s="14" t="s">
        <v>2</v>
      </c>
      <c r="AC54" s="14" t="s">
        <v>2</v>
      </c>
      <c r="AD54" s="37" t="s">
        <v>217</v>
      </c>
    </row>
    <row r="55" spans="1:30" ht="7.5" customHeight="1" x14ac:dyDescent="0.2">
      <c r="A55" s="31">
        <v>55</v>
      </c>
      <c r="B55" s="11" t="s">
        <v>91</v>
      </c>
      <c r="C55" s="12" t="s">
        <v>64</v>
      </c>
      <c r="D55" s="11" t="s">
        <v>92</v>
      </c>
      <c r="E55" s="11" t="s">
        <v>96</v>
      </c>
      <c r="F55" s="36" t="s">
        <v>254</v>
      </c>
      <c r="G55" s="32" t="s">
        <v>2</v>
      </c>
      <c r="H55" s="32" t="s">
        <v>2</v>
      </c>
      <c r="I55" s="32" t="s">
        <v>2</v>
      </c>
      <c r="J55" s="32" t="s">
        <v>2</v>
      </c>
      <c r="K55" s="32" t="s">
        <v>2</v>
      </c>
      <c r="L55" s="13" t="str">
        <f t="shared" si="11"/>
        <v>Interoperabilidade</v>
      </c>
      <c r="M55" s="13" t="str">
        <f t="shared" si="12"/>
        <v>Esquemas</v>
      </c>
      <c r="N55" s="13" t="str">
        <f t="shared" si="13"/>
        <v>KML</v>
      </c>
      <c r="O55" s="13" t="str">
        <f t="shared" si="14"/>
        <v>Kml.Sobrepor</v>
      </c>
      <c r="P55" s="37" t="s">
        <v>106</v>
      </c>
      <c r="Q55" s="14" t="str">
        <f t="shared" si="10"/>
        <v>Elemento superpuesto en KML. Muestra una imagen fija en la pantalla de la aplicación (como logotipos, leyendas o brújulas) independientemente de la navegación por el mapa.</v>
      </c>
      <c r="R55" s="14" t="str">
        <f t="shared" si="15"/>
        <v>Overlay element in KML. Displays a fixed image on the app screen (such as logos, legends, or compasses) independent of the map navigation.</v>
      </c>
      <c r="S55" s="14" t="s">
        <v>2</v>
      </c>
      <c r="T55" s="14" t="str">
        <f t="shared" si="16"/>
        <v>Interoperabilidade</v>
      </c>
      <c r="U55" s="14" t="str">
        <f t="shared" si="17"/>
        <v>Esquemas</v>
      </c>
      <c r="V55" s="14" t="str">
        <f t="shared" si="18"/>
        <v>Kml.Sobrepor</v>
      </c>
      <c r="W55" s="14" t="s">
        <v>64</v>
      </c>
      <c r="X55" s="30" t="str">
        <f t="shared" si="19"/>
        <v>Key-Kml-55</v>
      </c>
      <c r="Y55" s="14" t="s">
        <v>2</v>
      </c>
      <c r="Z55" s="14" t="s">
        <v>2</v>
      </c>
      <c r="AA55" s="14" t="s">
        <v>2</v>
      </c>
      <c r="AB55" s="14" t="s">
        <v>2</v>
      </c>
      <c r="AC55" s="14" t="s">
        <v>2</v>
      </c>
      <c r="AD55" s="37" t="s">
        <v>127</v>
      </c>
    </row>
    <row r="56" spans="1:30" ht="7.5" customHeight="1" x14ac:dyDescent="0.2">
      <c r="A56" s="31">
        <v>56</v>
      </c>
      <c r="B56" s="11" t="s">
        <v>91</v>
      </c>
      <c r="C56" s="12" t="s">
        <v>64</v>
      </c>
      <c r="D56" s="11" t="s">
        <v>92</v>
      </c>
      <c r="E56" s="11" t="s">
        <v>96</v>
      </c>
      <c r="F56" s="36" t="s">
        <v>255</v>
      </c>
      <c r="G56" s="32" t="s">
        <v>2</v>
      </c>
      <c r="H56" s="32" t="s">
        <v>2</v>
      </c>
      <c r="I56" s="32" t="s">
        <v>2</v>
      </c>
      <c r="J56" s="32" t="s">
        <v>2</v>
      </c>
      <c r="K56" s="32" t="s">
        <v>2</v>
      </c>
      <c r="L56" s="13" t="str">
        <f t="shared" si="11"/>
        <v>Interoperabilidade</v>
      </c>
      <c r="M56" s="13" t="str">
        <f t="shared" si="12"/>
        <v>Esquemas</v>
      </c>
      <c r="N56" s="13" t="str">
        <f t="shared" si="13"/>
        <v>KML</v>
      </c>
      <c r="O56" s="13" t="str">
        <f t="shared" si="14"/>
        <v>Kml.Sobrepor.Foto</v>
      </c>
      <c r="P56" s="37" t="s">
        <v>107</v>
      </c>
      <c r="Q56" s="14" t="str">
        <f t="shared" si="10"/>
        <v>Elemento superpuesto en KML. Asocia una foto con una ubicación geográfica específica, permitiendo navegación en gigapíxeles o vista panorámica.</v>
      </c>
      <c r="R56" s="14" t="str">
        <f t="shared" si="15"/>
        <v>Overlay element in KML. Associates a photo with a specific geographic location, allowing gigapixel navigation or panoramic view.</v>
      </c>
      <c r="S56" s="14" t="s">
        <v>2</v>
      </c>
      <c r="T56" s="14" t="str">
        <f t="shared" si="16"/>
        <v>Interoperabilidade</v>
      </c>
      <c r="U56" s="14" t="str">
        <f t="shared" si="17"/>
        <v>Esquemas</v>
      </c>
      <c r="V56" s="14" t="str">
        <f t="shared" si="18"/>
        <v>Kml.Sobrepor.Foto</v>
      </c>
      <c r="W56" s="14" t="s">
        <v>64</v>
      </c>
      <c r="X56" s="30" t="str">
        <f t="shared" si="19"/>
        <v>Key-Kml-56</v>
      </c>
      <c r="Y56" s="14" t="s">
        <v>2</v>
      </c>
      <c r="Z56" s="14" t="s">
        <v>2</v>
      </c>
      <c r="AA56" s="14" t="s">
        <v>2</v>
      </c>
      <c r="AB56" s="14" t="s">
        <v>2</v>
      </c>
      <c r="AC56" s="14" t="s">
        <v>2</v>
      </c>
      <c r="AD56" s="37" t="s">
        <v>128</v>
      </c>
    </row>
    <row r="57" spans="1:30" ht="7.5" customHeight="1" x14ac:dyDescent="0.2">
      <c r="A57" s="31">
        <v>57</v>
      </c>
      <c r="B57" s="11" t="s">
        <v>91</v>
      </c>
      <c r="C57" s="12" t="s">
        <v>64</v>
      </c>
      <c r="D57" s="11" t="s">
        <v>92</v>
      </c>
      <c r="E57" s="11" t="s">
        <v>96</v>
      </c>
      <c r="F57" s="36" t="s">
        <v>256</v>
      </c>
      <c r="G57" s="32" t="s">
        <v>2</v>
      </c>
      <c r="H57" s="32" t="s">
        <v>2</v>
      </c>
      <c r="I57" s="32" t="s">
        <v>2</v>
      </c>
      <c r="J57" s="32" t="s">
        <v>2</v>
      </c>
      <c r="K57" s="32" t="s">
        <v>2</v>
      </c>
      <c r="L57" s="13" t="str">
        <f t="shared" si="11"/>
        <v>Interoperabilidade</v>
      </c>
      <c r="M57" s="13" t="str">
        <f t="shared" si="12"/>
        <v>Esquemas</v>
      </c>
      <c r="N57" s="13" t="str">
        <f t="shared" si="13"/>
        <v>KML</v>
      </c>
      <c r="O57" s="13" t="str">
        <f t="shared" si="14"/>
        <v>Kml.Sobrepor.Piso</v>
      </c>
      <c r="P57" s="37" t="s">
        <v>108</v>
      </c>
      <c r="Q57" s="14" t="str">
        <f t="shared" si="10"/>
        <v>Elemento superpuesto en KML. Proyecta una imagen bidimensional directamente sobre la superficie terrestre, alineada por coordenadas geográficas de frontera.</v>
      </c>
      <c r="R57" s="14" t="str">
        <f t="shared" si="15"/>
        <v>Overlay element in KML. It projects a two-dimensional image directly onto the Earth's surface, aligned by geographic boundary coordinates.</v>
      </c>
      <c r="S57" s="14" t="s">
        <v>2</v>
      </c>
      <c r="T57" s="14" t="str">
        <f t="shared" si="16"/>
        <v>Interoperabilidade</v>
      </c>
      <c r="U57" s="14" t="str">
        <f t="shared" si="17"/>
        <v>Esquemas</v>
      </c>
      <c r="V57" s="14" t="str">
        <f t="shared" si="18"/>
        <v>Kml.Sobrepor.Piso</v>
      </c>
      <c r="W57" s="14" t="s">
        <v>64</v>
      </c>
      <c r="X57" s="30" t="str">
        <f t="shared" si="19"/>
        <v>Key-Kml-57</v>
      </c>
      <c r="Y57" s="14" t="s">
        <v>2</v>
      </c>
      <c r="Z57" s="14" t="s">
        <v>2</v>
      </c>
      <c r="AA57" s="14" t="s">
        <v>2</v>
      </c>
      <c r="AB57" s="14" t="s">
        <v>2</v>
      </c>
      <c r="AC57" s="14" t="s">
        <v>2</v>
      </c>
      <c r="AD57" s="37" t="s">
        <v>126</v>
      </c>
    </row>
    <row r="58" spans="1:30" ht="7.5" customHeight="1" x14ac:dyDescent="0.2">
      <c r="A58" s="31">
        <v>58</v>
      </c>
      <c r="B58" s="11" t="s">
        <v>91</v>
      </c>
      <c r="C58" s="12" t="s">
        <v>64</v>
      </c>
      <c r="D58" s="11" t="s">
        <v>92</v>
      </c>
      <c r="E58" s="11" t="s">
        <v>96</v>
      </c>
      <c r="F58" s="36" t="s">
        <v>246</v>
      </c>
      <c r="G58" s="32" t="s">
        <v>2</v>
      </c>
      <c r="H58" s="32" t="s">
        <v>2</v>
      </c>
      <c r="I58" s="32" t="s">
        <v>2</v>
      </c>
      <c r="J58" s="32" t="s">
        <v>2</v>
      </c>
      <c r="K58" s="32" t="s">
        <v>2</v>
      </c>
      <c r="L58" s="13" t="str">
        <f t="shared" si="11"/>
        <v>Interoperabilidade</v>
      </c>
      <c r="M58" s="13" t="str">
        <f t="shared" si="12"/>
        <v>Esquemas</v>
      </c>
      <c r="N58" s="13" t="str">
        <f t="shared" si="13"/>
        <v>KML</v>
      </c>
      <c r="O58" s="13" t="str">
        <f t="shared" si="14"/>
        <v>Kml.Tempo.Intervalo</v>
      </c>
      <c r="P58" s="37" t="s">
        <v>105</v>
      </c>
      <c r="Q58" s="14" t="str">
        <f t="shared" si="10"/>
        <v>Elemento de animación en KML. Establece un rango de tiempo con &lt;begin&gt;la fecha/hora de inicio () y fin &lt;end&gt;().</v>
      </c>
      <c r="R58" s="14" t="str">
        <f t="shared" si="15"/>
        <v>Animation element in KML. Sets a time range with start (&lt;begin&gt;) and end () date/time&lt;end&gt;.</v>
      </c>
      <c r="S58" s="14" t="s">
        <v>2</v>
      </c>
      <c r="T58" s="14" t="str">
        <f t="shared" si="16"/>
        <v>Interoperabilidade</v>
      </c>
      <c r="U58" s="14" t="str">
        <f t="shared" si="17"/>
        <v>Esquemas</v>
      </c>
      <c r="V58" s="14" t="str">
        <f t="shared" si="18"/>
        <v>Kml.Tempo.Intervalo</v>
      </c>
      <c r="W58" s="14" t="s">
        <v>64</v>
      </c>
      <c r="X58" s="30" t="str">
        <f t="shared" si="19"/>
        <v>Key-Kml-58</v>
      </c>
      <c r="Y58" s="14" t="s">
        <v>2</v>
      </c>
      <c r="Z58" s="14" t="s">
        <v>2</v>
      </c>
      <c r="AA58" s="14" t="s">
        <v>2</v>
      </c>
      <c r="AB58" s="14" t="s">
        <v>2</v>
      </c>
      <c r="AC58" s="14" t="s">
        <v>2</v>
      </c>
      <c r="AD58" s="37" t="s">
        <v>135</v>
      </c>
    </row>
    <row r="59" spans="1:30" ht="7.5" customHeight="1" x14ac:dyDescent="0.2">
      <c r="A59" s="31">
        <v>59</v>
      </c>
      <c r="B59" s="11" t="s">
        <v>91</v>
      </c>
      <c r="C59" s="12" t="s">
        <v>64</v>
      </c>
      <c r="D59" s="11" t="s">
        <v>92</v>
      </c>
      <c r="E59" s="11" t="s">
        <v>96</v>
      </c>
      <c r="F59" s="36" t="s">
        <v>242</v>
      </c>
      <c r="G59" s="32" t="s">
        <v>2</v>
      </c>
      <c r="H59" s="32" t="s">
        <v>2</v>
      </c>
      <c r="I59" s="32" t="s">
        <v>2</v>
      </c>
      <c r="J59" s="32" t="s">
        <v>2</v>
      </c>
      <c r="K59" s="32" t="s">
        <v>2</v>
      </c>
      <c r="L59" s="13" t="str">
        <f t="shared" si="11"/>
        <v>Interoperabilidade</v>
      </c>
      <c r="M59" s="13" t="str">
        <f t="shared" si="12"/>
        <v>Esquemas</v>
      </c>
      <c r="N59" s="13" t="str">
        <f t="shared" si="13"/>
        <v>KML</v>
      </c>
      <c r="O59" s="13" t="str">
        <f t="shared" si="14"/>
        <v>Kml.Tempo.Momento</v>
      </c>
      <c r="P59" s="37" t="s">
        <v>177</v>
      </c>
      <c r="Q59" s="14" t="str">
        <f t="shared" si="10"/>
        <v>Elemento KML. Define un momento que puede ser un año, una fecha o una hora. &lt;when&gt;01-08-2024&lt;/when&gt;</v>
      </c>
      <c r="R59" s="14" t="str">
        <f t="shared" si="15"/>
        <v>KML element. Defines a moment that can be a year, date, or time. &lt;when&gt;2024-08-01&lt;/when&gt;</v>
      </c>
      <c r="S59" s="14" t="s">
        <v>2</v>
      </c>
      <c r="T59" s="14" t="str">
        <f t="shared" si="16"/>
        <v>Interoperabilidade</v>
      </c>
      <c r="U59" s="14" t="str">
        <f t="shared" si="17"/>
        <v>Esquemas</v>
      </c>
      <c r="V59" s="14" t="str">
        <f t="shared" si="18"/>
        <v>Kml.Tempo.Momento</v>
      </c>
      <c r="W59" s="14" t="s">
        <v>64</v>
      </c>
      <c r="X59" s="30" t="str">
        <f t="shared" si="19"/>
        <v>Key-Kml-59</v>
      </c>
      <c r="Y59" s="14" t="s">
        <v>2</v>
      </c>
      <c r="Z59" s="14" t="s">
        <v>2</v>
      </c>
      <c r="AA59" s="14" t="s">
        <v>2</v>
      </c>
      <c r="AB59" s="14" t="s">
        <v>2</v>
      </c>
      <c r="AC59" s="14" t="s">
        <v>2</v>
      </c>
      <c r="AD59" s="37" t="s">
        <v>209</v>
      </c>
    </row>
    <row r="60" spans="1:30" ht="7.5" customHeight="1" x14ac:dyDescent="0.2">
      <c r="A60" s="31">
        <v>60</v>
      </c>
      <c r="B60" s="11" t="s">
        <v>91</v>
      </c>
      <c r="C60" s="12" t="s">
        <v>64</v>
      </c>
      <c r="D60" s="11" t="s">
        <v>92</v>
      </c>
      <c r="E60" s="11" t="s">
        <v>96</v>
      </c>
      <c r="F60" s="36" t="s">
        <v>244</v>
      </c>
      <c r="G60" s="32" t="s">
        <v>2</v>
      </c>
      <c r="H60" s="32" t="s">
        <v>2</v>
      </c>
      <c r="I60" s="32" t="s">
        <v>2</v>
      </c>
      <c r="J60" s="32" t="s">
        <v>2</v>
      </c>
      <c r="K60" s="32" t="s">
        <v>2</v>
      </c>
      <c r="L60" s="13" t="str">
        <f t="shared" si="11"/>
        <v>Interoperabilidade</v>
      </c>
      <c r="M60" s="13" t="str">
        <f t="shared" si="12"/>
        <v>Esquemas</v>
      </c>
      <c r="N60" s="13" t="str">
        <f t="shared" si="13"/>
        <v>KML</v>
      </c>
      <c r="O60" s="13" t="str">
        <f t="shared" si="14"/>
        <v>Kml.Tempo.Momento.Final</v>
      </c>
      <c r="P60" s="37" t="s">
        <v>225</v>
      </c>
      <c r="Q60" s="14" t="str">
        <f t="shared" si="10"/>
        <v>Elemento KML. Establece un momento final en &lt;TimeSpan&gt;un . &lt;end&gt;01-08-2024&lt;/end&gt;</v>
      </c>
      <c r="R60" s="14" t="str">
        <f t="shared" si="15"/>
        <v>KML element. Sets an end moment in a &lt;TimeSpan&gt;. &lt;end&gt;2024-08-01&lt;/end&gt;</v>
      </c>
      <c r="S60" s="14" t="s">
        <v>2</v>
      </c>
      <c r="T60" s="14" t="str">
        <f t="shared" si="16"/>
        <v>Interoperabilidade</v>
      </c>
      <c r="U60" s="14" t="str">
        <f t="shared" si="17"/>
        <v>Esquemas</v>
      </c>
      <c r="V60" s="14" t="str">
        <f t="shared" si="18"/>
        <v>Kml.Tempo.Momento.Final</v>
      </c>
      <c r="W60" s="14" t="s">
        <v>64</v>
      </c>
      <c r="X60" s="30" t="str">
        <f t="shared" si="19"/>
        <v>Key-Kml-60</v>
      </c>
      <c r="Y60" s="14" t="s">
        <v>2</v>
      </c>
      <c r="Z60" s="14" t="s">
        <v>2</v>
      </c>
      <c r="AA60" s="14" t="s">
        <v>2</v>
      </c>
      <c r="AB60" s="14" t="s">
        <v>2</v>
      </c>
      <c r="AC60" s="14" t="s">
        <v>2</v>
      </c>
      <c r="AD60" s="37" t="s">
        <v>247</v>
      </c>
    </row>
    <row r="61" spans="1:30" ht="7.5" customHeight="1" x14ac:dyDescent="0.2">
      <c r="A61" s="31">
        <v>61</v>
      </c>
      <c r="B61" s="11" t="s">
        <v>91</v>
      </c>
      <c r="C61" s="12" t="s">
        <v>64</v>
      </c>
      <c r="D61" s="11" t="s">
        <v>92</v>
      </c>
      <c r="E61" s="11" t="s">
        <v>96</v>
      </c>
      <c r="F61" s="36" t="s">
        <v>243</v>
      </c>
      <c r="G61" s="32" t="s">
        <v>2</v>
      </c>
      <c r="H61" s="32" t="s">
        <v>2</v>
      </c>
      <c r="I61" s="32" t="s">
        <v>2</v>
      </c>
      <c r="J61" s="32" t="s">
        <v>2</v>
      </c>
      <c r="K61" s="32" t="s">
        <v>2</v>
      </c>
      <c r="L61" s="13" t="str">
        <f t="shared" si="11"/>
        <v>Interoperabilidade</v>
      </c>
      <c r="M61" s="13" t="str">
        <f t="shared" si="12"/>
        <v>Esquemas</v>
      </c>
      <c r="N61" s="13" t="str">
        <f t="shared" si="13"/>
        <v>KML</v>
      </c>
      <c r="O61" s="13" t="str">
        <f t="shared" si="14"/>
        <v>Kml.Tempo.Momento.Inicial</v>
      </c>
      <c r="P61" s="37" t="s">
        <v>226</v>
      </c>
      <c r="Q61" s="14" t="str">
        <f t="shared" si="10"/>
        <v>Elemento KML. Establece un momento inicial en &lt;TimeSpan&gt;un . &lt;begin&gt;01-01-2024&lt;/begin&gt;</v>
      </c>
      <c r="R61" s="14" t="str">
        <f t="shared" si="15"/>
        <v>KML element. Sets a starting moment in a &lt;TimeSpan&gt;. &lt;begin&gt;2024-01-01&lt;/begin&gt;</v>
      </c>
      <c r="S61" s="14" t="s">
        <v>2</v>
      </c>
      <c r="T61" s="14" t="str">
        <f t="shared" si="16"/>
        <v>Interoperabilidade</v>
      </c>
      <c r="U61" s="14" t="str">
        <f t="shared" si="17"/>
        <v>Esquemas</v>
      </c>
      <c r="V61" s="14" t="str">
        <f t="shared" si="18"/>
        <v>Kml.Tempo.Momento.Inicial</v>
      </c>
      <c r="W61" s="14" t="s">
        <v>64</v>
      </c>
      <c r="X61" s="30" t="str">
        <f t="shared" si="19"/>
        <v>Key-Kml-61</v>
      </c>
      <c r="Y61" s="14" t="s">
        <v>2</v>
      </c>
      <c r="Z61" s="14" t="s">
        <v>2</v>
      </c>
      <c r="AA61" s="14" t="s">
        <v>2</v>
      </c>
      <c r="AB61" s="14" t="s">
        <v>2</v>
      </c>
      <c r="AC61" s="14" t="s">
        <v>2</v>
      </c>
      <c r="AD61" s="37" t="s">
        <v>210</v>
      </c>
    </row>
    <row r="62" spans="1:30" ht="7.5" customHeight="1" x14ac:dyDescent="0.2">
      <c r="A62" s="31">
        <v>62</v>
      </c>
      <c r="B62" s="11" t="s">
        <v>91</v>
      </c>
      <c r="C62" s="12" t="s">
        <v>64</v>
      </c>
      <c r="D62" s="11" t="s">
        <v>92</v>
      </c>
      <c r="E62" s="11" t="s">
        <v>96</v>
      </c>
      <c r="F62" s="36" t="s">
        <v>245</v>
      </c>
      <c r="G62" s="32" t="s">
        <v>2</v>
      </c>
      <c r="H62" s="32" t="s">
        <v>2</v>
      </c>
      <c r="I62" s="32" t="s">
        <v>2</v>
      </c>
      <c r="J62" s="32" t="s">
        <v>2</v>
      </c>
      <c r="K62" s="32" t="s">
        <v>2</v>
      </c>
      <c r="L62" s="13" t="str">
        <f t="shared" si="11"/>
        <v>Interoperabilidade</v>
      </c>
      <c r="M62" s="13" t="str">
        <f t="shared" si="12"/>
        <v>Esquemas</v>
      </c>
      <c r="N62" s="13" t="str">
        <f t="shared" si="13"/>
        <v>KML</v>
      </c>
      <c r="O62" s="13" t="str">
        <f t="shared" si="14"/>
        <v>Kml.Tempo.Registra</v>
      </c>
      <c r="P62" s="37" t="s">
        <v>102</v>
      </c>
      <c r="Q62" s="14" t="str">
        <f t="shared" si="10"/>
        <v>Elemento de animación en KML. Asocia un elemento con un punto específico en el tiempo (por ejemplo, un evento puntual).</v>
      </c>
      <c r="R62" s="14" t="str">
        <f t="shared" si="15"/>
        <v>Animation element in KML. Associates an element with a specific point in time (e.g., point event).</v>
      </c>
      <c r="S62" s="14" t="s">
        <v>2</v>
      </c>
      <c r="T62" s="14" t="str">
        <f t="shared" si="16"/>
        <v>Interoperabilidade</v>
      </c>
      <c r="U62" s="14" t="str">
        <f t="shared" si="17"/>
        <v>Esquemas</v>
      </c>
      <c r="V62" s="14" t="str">
        <f t="shared" si="18"/>
        <v>Kml.Tempo.Registra</v>
      </c>
      <c r="W62" s="14" t="s">
        <v>64</v>
      </c>
      <c r="X62" s="30" t="str">
        <f t="shared" si="19"/>
        <v>Key-Kml-62</v>
      </c>
      <c r="Y62" s="14" t="s">
        <v>2</v>
      </c>
      <c r="Z62" s="14" t="s">
        <v>2</v>
      </c>
      <c r="AA62" s="14" t="s">
        <v>2</v>
      </c>
      <c r="AB62" s="14" t="s">
        <v>2</v>
      </c>
      <c r="AC62" s="14" t="s">
        <v>2</v>
      </c>
      <c r="AD62" s="37" t="s">
        <v>134</v>
      </c>
    </row>
    <row r="63" spans="1:30" s="63" customFormat="1" ht="7.5" customHeight="1" x14ac:dyDescent="0.2">
      <c r="A63" s="31">
        <v>63</v>
      </c>
      <c r="B63" s="11" t="s">
        <v>332</v>
      </c>
      <c r="C63" s="60" t="s">
        <v>333</v>
      </c>
      <c r="D63" s="60" t="s">
        <v>334</v>
      </c>
      <c r="E63" s="60" t="s">
        <v>335</v>
      </c>
      <c r="F63" s="60" t="s">
        <v>336</v>
      </c>
      <c r="G63" s="32" t="s">
        <v>2</v>
      </c>
      <c r="H63" s="32" t="s">
        <v>2</v>
      </c>
      <c r="I63" s="32" t="s">
        <v>2</v>
      </c>
      <c r="J63" s="32" t="s">
        <v>2</v>
      </c>
      <c r="K63" s="32" t="s">
        <v>2</v>
      </c>
      <c r="L63" s="13" t="str">
        <f t="shared" ref="L63:O63" si="20">SUBSTITUTE(CONCATENATE("", C63), ".", " ")</f>
        <v>De API</v>
      </c>
      <c r="M63" s="13" t="str">
        <f t="shared" si="20"/>
        <v>Métodos</v>
      </c>
      <c r="N63" s="13" t="str">
        <f t="shared" si="20"/>
        <v>Macros</v>
      </c>
      <c r="O63" s="13" t="str">
        <f t="shared" si="20"/>
        <v>API Revit</v>
      </c>
      <c r="P63" s="14" t="s">
        <v>337</v>
      </c>
      <c r="Q63" s="14" t="s">
        <v>338</v>
      </c>
      <c r="R63" s="14" t="s">
        <v>339</v>
      </c>
      <c r="S63" s="14" t="s">
        <v>2</v>
      </c>
      <c r="T63" s="14" t="str">
        <f t="shared" ref="T63:V63" si="21">SUBSTITUTE(C63, ".", " ")</f>
        <v>De API</v>
      </c>
      <c r="U63" s="14" t="str">
        <f t="shared" si="21"/>
        <v>Métodos</v>
      </c>
      <c r="V63" s="61" t="str">
        <f t="shared" si="21"/>
        <v>Macros</v>
      </c>
      <c r="W63" s="14" t="s">
        <v>64</v>
      </c>
      <c r="X63" s="30" t="str">
        <f t="shared" si="19"/>
        <v>Key-Kml-63</v>
      </c>
      <c r="Y63" s="62" t="s">
        <v>2</v>
      </c>
      <c r="Z63" s="62" t="s">
        <v>2</v>
      </c>
      <c r="AA63" s="62" t="s">
        <v>2</v>
      </c>
      <c r="AB63" s="62" t="s">
        <v>2</v>
      </c>
      <c r="AC63" s="62" t="s">
        <v>2</v>
      </c>
      <c r="AD63" s="62" t="s">
        <v>2</v>
      </c>
    </row>
  </sheetData>
  <sortState xmlns:xlrd2="http://schemas.microsoft.com/office/spreadsheetml/2017/richdata2" ref="A2:AD62">
    <sortCondition ref="F30:F62"/>
  </sortState>
  <conditionalFormatting sqref="A2:B62 A63">
    <cfRule type="cellIs" dxfId="0" priority="6" operator="equal">
      <formula>"null"</formula>
    </cfRule>
  </conditionalFormatting>
  <conditionalFormatting sqref="F1:F62">
    <cfRule type="duplicateValues" dxfId="34" priority="5"/>
  </conditionalFormatting>
  <conditionalFormatting sqref="R1">
    <cfRule type="cellIs" dxfId="33" priority="7" operator="equal">
      <formula>"null"</formula>
    </cfRule>
  </conditionalFormatting>
  <conditionalFormatting sqref="AC1:AD1">
    <cfRule type="cellIs" dxfId="32" priority="8" operator="equal">
      <formula>"null"</formula>
    </cfRule>
  </conditionalFormatting>
  <conditionalFormatting sqref="B63">
    <cfRule type="cellIs" dxfId="3" priority="2" operator="equal">
      <formula>"null"</formula>
    </cfRule>
  </conditionalFormatting>
  <conditionalFormatting sqref="F63">
    <cfRule type="duplicateValues" dxfId="2" priority="3"/>
  </conditionalFormatting>
  <conditionalFormatting sqref="R63">
    <cfRule type="cellIs" dxfId="1" priority="1" operator="equal">
      <formula>"null"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389E0-AD15-4DC4-98AC-F14614FE99CB}">
  <sheetPr codeName="Planilha16"/>
  <dimension ref="A1:U2"/>
  <sheetViews>
    <sheetView zoomScale="205" zoomScaleNormal="205" workbookViewId="0">
      <selection activeCell="A3" sqref="A3:XFD3"/>
    </sheetView>
  </sheetViews>
  <sheetFormatPr defaultColWidth="13.1640625" defaultRowHeight="8.25" x14ac:dyDescent="0.15"/>
  <cols>
    <col min="1" max="1" width="3.33203125" style="22" customWidth="1"/>
    <col min="2" max="10" width="7.6640625" style="23" customWidth="1"/>
    <col min="11" max="21" width="7.6640625" style="21" customWidth="1"/>
    <col min="22" max="16384" width="13.1640625" style="21"/>
  </cols>
  <sheetData>
    <row r="1" spans="1:21" s="18" customFormat="1" ht="15.6" customHeight="1" x14ac:dyDescent="0.15">
      <c r="A1" s="15" t="s">
        <v>66</v>
      </c>
      <c r="B1" s="16" t="s">
        <v>67</v>
      </c>
      <c r="C1" s="16" t="s">
        <v>68</v>
      </c>
      <c r="D1" s="16" t="s">
        <v>69</v>
      </c>
      <c r="E1" s="16" t="s">
        <v>70</v>
      </c>
      <c r="F1" s="16" t="s">
        <v>71</v>
      </c>
      <c r="G1" s="16" t="s">
        <v>72</v>
      </c>
      <c r="H1" s="16" t="s">
        <v>73</v>
      </c>
      <c r="I1" s="16" t="s">
        <v>74</v>
      </c>
      <c r="J1" s="16" t="s">
        <v>75</v>
      </c>
      <c r="K1" s="16" t="s">
        <v>76</v>
      </c>
      <c r="L1" s="16" t="s">
        <v>77</v>
      </c>
      <c r="M1" s="16" t="s">
        <v>78</v>
      </c>
      <c r="N1" s="16" t="s">
        <v>79</v>
      </c>
      <c r="O1" s="16" t="s">
        <v>80</v>
      </c>
      <c r="P1" s="16" t="s">
        <v>81</v>
      </c>
      <c r="Q1" s="16" t="s">
        <v>82</v>
      </c>
      <c r="R1" s="16" t="s">
        <v>83</v>
      </c>
      <c r="S1" s="16" t="s">
        <v>84</v>
      </c>
      <c r="T1" s="16" t="s">
        <v>85</v>
      </c>
      <c r="U1" s="17" t="s">
        <v>86</v>
      </c>
    </row>
    <row r="2" spans="1:21" s="18" customFormat="1" x14ac:dyDescent="0.15">
      <c r="A2" s="19">
        <v>2</v>
      </c>
      <c r="B2" s="20" t="s">
        <v>2</v>
      </c>
      <c r="C2" s="20" t="s">
        <v>2</v>
      </c>
      <c r="D2" s="20" t="s">
        <v>2</v>
      </c>
      <c r="E2" s="20" t="s">
        <v>2</v>
      </c>
      <c r="F2" s="20" t="s">
        <v>2</v>
      </c>
      <c r="G2" s="20" t="s">
        <v>2</v>
      </c>
      <c r="H2" s="20" t="s">
        <v>2</v>
      </c>
      <c r="I2" s="20" t="s">
        <v>2</v>
      </c>
      <c r="J2" s="20" t="s">
        <v>2</v>
      </c>
      <c r="K2" s="20" t="s">
        <v>2</v>
      </c>
      <c r="L2" s="20" t="s">
        <v>2</v>
      </c>
      <c r="M2" s="20" t="s">
        <v>2</v>
      </c>
      <c r="N2" s="20" t="s">
        <v>2</v>
      </c>
      <c r="O2" s="20" t="s">
        <v>2</v>
      </c>
      <c r="P2" s="20" t="s">
        <v>2</v>
      </c>
      <c r="Q2" s="20" t="s">
        <v>2</v>
      </c>
      <c r="R2" s="20" t="s">
        <v>2</v>
      </c>
      <c r="S2" s="20" t="s">
        <v>2</v>
      </c>
      <c r="T2" s="20" t="s">
        <v>2</v>
      </c>
      <c r="U2" s="20" t="s">
        <v>2</v>
      </c>
    </row>
  </sheetData>
  <conditionalFormatting sqref="A1:XFD1048576">
    <cfRule type="cellIs" dxfId="31" priority="1" operator="equal">
      <formula>"null"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D1F58-E12C-4CFF-B0CB-74B96F67AF9C}">
  <sheetPr codeName="Planilha17"/>
  <dimension ref="A1:G2"/>
  <sheetViews>
    <sheetView zoomScale="205" zoomScaleNormal="205" workbookViewId="0">
      <selection activeCell="E4" sqref="E4"/>
    </sheetView>
  </sheetViews>
  <sheetFormatPr defaultColWidth="10.6640625" defaultRowHeight="12" x14ac:dyDescent="0.2"/>
  <cols>
    <col min="1" max="1" width="1.33203125" style="27" bestFit="1" customWidth="1"/>
    <col min="2" max="2" width="7" style="28" bestFit="1" customWidth="1"/>
    <col min="3" max="3" width="13.33203125" style="28" bestFit="1" customWidth="1"/>
    <col min="4" max="7" width="12.83203125" style="28" bestFit="1" customWidth="1"/>
  </cols>
  <sheetData>
    <row r="1" spans="1:7" ht="33" customHeight="1" x14ac:dyDescent="0.2">
      <c r="A1" s="24">
        <v>0</v>
      </c>
      <c r="B1" s="25" t="s">
        <v>87</v>
      </c>
      <c r="C1" s="26" t="s">
        <v>88</v>
      </c>
      <c r="D1" s="26" t="s">
        <v>89</v>
      </c>
      <c r="E1" s="26" t="s">
        <v>89</v>
      </c>
      <c r="F1" s="26" t="s">
        <v>89</v>
      </c>
      <c r="G1" s="26" t="s">
        <v>89</v>
      </c>
    </row>
    <row r="2" spans="1:7" ht="8.25" customHeight="1" x14ac:dyDescent="0.2">
      <c r="A2" s="10">
        <v>2</v>
      </c>
      <c r="B2" s="14" t="s">
        <v>2</v>
      </c>
      <c r="C2" s="14" t="s">
        <v>2</v>
      </c>
      <c r="D2" s="14" t="s">
        <v>2</v>
      </c>
      <c r="E2" s="14" t="s">
        <v>2</v>
      </c>
      <c r="F2" s="14" t="s">
        <v>2</v>
      </c>
      <c r="G2" s="14" t="s">
        <v>2</v>
      </c>
    </row>
  </sheetData>
  <conditionalFormatting sqref="A1:G1 B3:G1048576">
    <cfRule type="containsText" dxfId="30" priority="5" operator="containsText" text="null">
      <formula>NOT(ISERROR(SEARCH("null",A1)))</formula>
    </cfRule>
  </conditionalFormatting>
  <conditionalFormatting sqref="B2">
    <cfRule type="duplicateValues" dxfId="29" priority="12"/>
    <cfRule type="duplicateValues" dxfId="28" priority="13"/>
  </conditionalFormatting>
  <conditionalFormatting sqref="B3:B1048576 A1:B1">
    <cfRule type="duplicateValues" dxfId="27" priority="6"/>
  </conditionalFormatting>
  <conditionalFormatting sqref="B3:B1048576 B1">
    <cfRule type="duplicateValues" dxfId="26" priority="4"/>
  </conditionalFormatting>
  <conditionalFormatting sqref="B2:G2">
    <cfRule type="containsText" dxfId="25" priority="2" operator="containsText" text="null">
      <formula>NOT(ISERROR(SEARCH("null",B2)))</formula>
    </cfRule>
  </conditionalFormatting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366C-5F74-4E71-97A7-7194C8A394D8}">
  <dimension ref="A1:W23"/>
  <sheetViews>
    <sheetView zoomScale="220" zoomScaleNormal="220" workbookViewId="0">
      <pane ySplit="1" topLeftCell="A2" activePane="bottomLeft" state="frozen"/>
      <selection pane="bottomLeft" activeCell="F2" sqref="F2"/>
    </sheetView>
  </sheetViews>
  <sheetFormatPr defaultColWidth="6.1640625" defaultRowHeight="7.5" customHeight="1" x14ac:dyDescent="0.2"/>
  <cols>
    <col min="1" max="1" width="2.83203125" style="55" bestFit="1" customWidth="1"/>
    <col min="2" max="2" width="8.6640625" style="38" customWidth="1"/>
    <col min="3" max="3" width="11.83203125" style="52" customWidth="1"/>
    <col min="4" max="4" width="11.6640625" style="52" customWidth="1"/>
    <col min="5" max="5" width="8" style="52" customWidth="1"/>
    <col min="6" max="6" width="12.1640625" style="52" customWidth="1"/>
    <col min="7" max="7" width="8.6640625" style="52" customWidth="1"/>
    <col min="8" max="8" width="5.6640625" style="52" customWidth="1"/>
    <col min="9" max="9" width="5.33203125" style="52" customWidth="1"/>
    <col min="10" max="10" width="8.5" style="52" customWidth="1"/>
    <col min="11" max="11" width="7.83203125" style="52" customWidth="1"/>
    <col min="12" max="12" width="8.5" style="52" customWidth="1"/>
    <col min="13" max="13" width="8.33203125" style="52" customWidth="1"/>
    <col min="14" max="14" width="5.83203125" style="52" bestFit="1" customWidth="1"/>
    <col min="15" max="15" width="17.1640625" style="52" customWidth="1"/>
    <col min="16" max="16" width="8" style="52" customWidth="1"/>
    <col min="17" max="17" width="19.83203125" style="52" customWidth="1"/>
    <col min="18" max="23" width="5.6640625" style="52" customWidth="1"/>
    <col min="24" max="16384" width="6.1640625" style="52"/>
  </cols>
  <sheetData>
    <row r="1" spans="1:23" s="44" customFormat="1" ht="29.25" customHeight="1" x14ac:dyDescent="0.2">
      <c r="A1" s="40">
        <v>1</v>
      </c>
      <c r="B1" s="41" t="s">
        <v>4</v>
      </c>
      <c r="C1" s="42" t="s">
        <v>5</v>
      </c>
      <c r="D1" s="42" t="s">
        <v>6</v>
      </c>
      <c r="E1" s="43" t="s">
        <v>7</v>
      </c>
      <c r="F1" s="42" t="s">
        <v>6</v>
      </c>
      <c r="G1" s="43" t="s">
        <v>7</v>
      </c>
      <c r="H1" s="42" t="s">
        <v>6</v>
      </c>
      <c r="I1" s="43" t="s">
        <v>7</v>
      </c>
      <c r="J1" s="42" t="s">
        <v>6</v>
      </c>
      <c r="K1" s="43" t="s">
        <v>7</v>
      </c>
      <c r="L1" s="42" t="s">
        <v>6</v>
      </c>
      <c r="M1" s="43" t="s">
        <v>7</v>
      </c>
      <c r="N1" s="42" t="s">
        <v>6</v>
      </c>
      <c r="O1" s="43" t="s">
        <v>7</v>
      </c>
      <c r="P1" s="42" t="s">
        <v>6</v>
      </c>
      <c r="Q1" s="43" t="s">
        <v>7</v>
      </c>
      <c r="R1" s="42" t="s">
        <v>6</v>
      </c>
      <c r="S1" s="43" t="s">
        <v>7</v>
      </c>
      <c r="T1" s="42" t="s">
        <v>6</v>
      </c>
      <c r="U1" s="43" t="s">
        <v>7</v>
      </c>
      <c r="V1" s="42" t="s">
        <v>6</v>
      </c>
      <c r="W1" s="43" t="s">
        <v>7</v>
      </c>
    </row>
    <row r="2" spans="1:23" ht="7.5" customHeight="1" x14ac:dyDescent="0.2">
      <c r="A2" s="45">
        <v>2</v>
      </c>
      <c r="B2" s="39" t="s">
        <v>285</v>
      </c>
      <c r="C2" s="56" t="s">
        <v>322</v>
      </c>
      <c r="D2" s="46" t="s">
        <v>2</v>
      </c>
      <c r="E2" s="54" t="s">
        <v>2</v>
      </c>
      <c r="F2" s="46" t="s">
        <v>2</v>
      </c>
      <c r="G2" s="54" t="s">
        <v>2</v>
      </c>
      <c r="H2" s="46" t="s">
        <v>2</v>
      </c>
      <c r="I2" s="54" t="s">
        <v>2</v>
      </c>
      <c r="J2" s="46" t="s">
        <v>2</v>
      </c>
      <c r="K2" s="54" t="s">
        <v>2</v>
      </c>
      <c r="L2" s="46" t="s">
        <v>2</v>
      </c>
      <c r="M2" s="54" t="s">
        <v>2</v>
      </c>
      <c r="N2" s="47" t="s">
        <v>139</v>
      </c>
      <c r="O2" s="57" t="s">
        <v>277</v>
      </c>
      <c r="P2" s="49" t="s">
        <v>2</v>
      </c>
      <c r="Q2" s="50" t="s">
        <v>2</v>
      </c>
      <c r="R2" s="49" t="s">
        <v>2</v>
      </c>
      <c r="S2" s="50" t="s">
        <v>2</v>
      </c>
      <c r="T2" s="53" t="s">
        <v>2</v>
      </c>
      <c r="U2" s="50" t="s">
        <v>2</v>
      </c>
      <c r="V2" s="49" t="s">
        <v>2</v>
      </c>
      <c r="W2" s="50" t="s">
        <v>2</v>
      </c>
    </row>
    <row r="3" spans="1:23" ht="7.5" customHeight="1" x14ac:dyDescent="0.2">
      <c r="A3" s="45">
        <v>3</v>
      </c>
      <c r="B3" s="39" t="s">
        <v>282</v>
      </c>
      <c r="C3" s="56" t="s">
        <v>323</v>
      </c>
      <c r="D3" s="46" t="s">
        <v>331</v>
      </c>
      <c r="E3" s="39" t="s">
        <v>285</v>
      </c>
      <c r="F3" s="46" t="s">
        <v>2</v>
      </c>
      <c r="G3" s="54" t="s">
        <v>2</v>
      </c>
      <c r="H3" s="46" t="s">
        <v>2</v>
      </c>
      <c r="I3" s="54" t="s">
        <v>2</v>
      </c>
      <c r="J3" s="46" t="s">
        <v>2</v>
      </c>
      <c r="K3" s="54" t="s">
        <v>2</v>
      </c>
      <c r="L3" s="46" t="s">
        <v>2</v>
      </c>
      <c r="M3" s="54" t="s">
        <v>2</v>
      </c>
      <c r="N3" s="47" t="s">
        <v>139</v>
      </c>
      <c r="O3" s="57" t="s">
        <v>278</v>
      </c>
      <c r="P3" s="49" t="s">
        <v>2</v>
      </c>
      <c r="Q3" s="50" t="s">
        <v>2</v>
      </c>
      <c r="R3" s="49" t="s">
        <v>2</v>
      </c>
      <c r="S3" s="50" t="s">
        <v>2</v>
      </c>
      <c r="T3" s="53" t="s">
        <v>2</v>
      </c>
      <c r="U3" s="50" t="s">
        <v>2</v>
      </c>
      <c r="V3" s="49" t="s">
        <v>2</v>
      </c>
      <c r="W3" s="50" t="s">
        <v>2</v>
      </c>
    </row>
    <row r="4" spans="1:23" ht="7.5" customHeight="1" x14ac:dyDescent="0.2">
      <c r="A4" s="45">
        <v>4</v>
      </c>
      <c r="B4" s="39" t="s">
        <v>283</v>
      </c>
      <c r="C4" s="56" t="s">
        <v>324</v>
      </c>
      <c r="D4" s="46" t="s">
        <v>331</v>
      </c>
      <c r="E4" s="39" t="s">
        <v>282</v>
      </c>
      <c r="F4" s="46" t="s">
        <v>2</v>
      </c>
      <c r="G4" s="54" t="s">
        <v>2</v>
      </c>
      <c r="H4" s="46" t="s">
        <v>2</v>
      </c>
      <c r="I4" s="54" t="s">
        <v>2</v>
      </c>
      <c r="J4" s="46" t="s">
        <v>2</v>
      </c>
      <c r="K4" s="54" t="s">
        <v>2</v>
      </c>
      <c r="L4" s="46" t="s">
        <v>2</v>
      </c>
      <c r="M4" s="54" t="s">
        <v>2</v>
      </c>
      <c r="N4" s="47" t="s">
        <v>139</v>
      </c>
      <c r="O4" s="57" t="s">
        <v>279</v>
      </c>
      <c r="P4" s="49" t="s">
        <v>2</v>
      </c>
      <c r="Q4" s="50" t="s">
        <v>2</v>
      </c>
      <c r="R4" s="49" t="s">
        <v>2</v>
      </c>
      <c r="S4" s="50" t="s">
        <v>2</v>
      </c>
      <c r="T4" s="53" t="s">
        <v>2</v>
      </c>
      <c r="U4" s="50" t="s">
        <v>2</v>
      </c>
      <c r="V4" s="49" t="s">
        <v>2</v>
      </c>
      <c r="W4" s="50" t="s">
        <v>2</v>
      </c>
    </row>
    <row r="5" spans="1:23" ht="7.5" customHeight="1" x14ac:dyDescent="0.2">
      <c r="A5" s="45">
        <v>5</v>
      </c>
      <c r="B5" s="39" t="s">
        <v>284</v>
      </c>
      <c r="C5" s="56" t="s">
        <v>143</v>
      </c>
      <c r="D5" s="46" t="s">
        <v>331</v>
      </c>
      <c r="E5" s="39" t="s">
        <v>283</v>
      </c>
      <c r="F5" s="46" t="s">
        <v>2</v>
      </c>
      <c r="G5" s="54" t="s">
        <v>2</v>
      </c>
      <c r="H5" s="46" t="s">
        <v>2</v>
      </c>
      <c r="I5" s="54" t="s">
        <v>2</v>
      </c>
      <c r="J5" s="46" t="s">
        <v>2</v>
      </c>
      <c r="K5" s="54" t="s">
        <v>2</v>
      </c>
      <c r="L5" s="46" t="s">
        <v>2</v>
      </c>
      <c r="M5" s="54" t="s">
        <v>2</v>
      </c>
      <c r="N5" s="47" t="s">
        <v>139</v>
      </c>
      <c r="O5" s="57" t="s">
        <v>280</v>
      </c>
      <c r="P5" s="49" t="s">
        <v>2</v>
      </c>
      <c r="Q5" s="50" t="s">
        <v>2</v>
      </c>
      <c r="R5" s="49" t="s">
        <v>2</v>
      </c>
      <c r="S5" s="50" t="s">
        <v>2</v>
      </c>
      <c r="T5" s="53" t="s">
        <v>2</v>
      </c>
      <c r="U5" s="50" t="s">
        <v>2</v>
      </c>
      <c r="V5" s="49" t="s">
        <v>2</v>
      </c>
      <c r="W5" s="50" t="s">
        <v>2</v>
      </c>
    </row>
    <row r="6" spans="1:23" ht="7.5" customHeight="1" x14ac:dyDescent="0.2">
      <c r="A6" s="45">
        <v>6</v>
      </c>
      <c r="B6" s="39" t="s">
        <v>303</v>
      </c>
      <c r="C6" s="56" t="s">
        <v>258</v>
      </c>
      <c r="D6" s="46" t="s">
        <v>331</v>
      </c>
      <c r="E6" s="39" t="s">
        <v>304</v>
      </c>
      <c r="F6" s="46" t="s">
        <v>2</v>
      </c>
      <c r="G6" s="54" t="s">
        <v>2</v>
      </c>
      <c r="H6" s="46" t="s">
        <v>2</v>
      </c>
      <c r="I6" s="54" t="s">
        <v>2</v>
      </c>
      <c r="J6" s="46" t="s">
        <v>2</v>
      </c>
      <c r="K6" s="54" t="s">
        <v>2</v>
      </c>
      <c r="L6" s="46" t="s">
        <v>2</v>
      </c>
      <c r="M6" s="54" t="s">
        <v>2</v>
      </c>
      <c r="N6" s="47" t="s">
        <v>139</v>
      </c>
      <c r="O6" s="57" t="s">
        <v>320</v>
      </c>
      <c r="P6" s="49" t="s">
        <v>2</v>
      </c>
      <c r="Q6" s="50" t="s">
        <v>2</v>
      </c>
      <c r="R6" s="49" t="s">
        <v>2</v>
      </c>
      <c r="S6" s="50" t="s">
        <v>2</v>
      </c>
      <c r="T6" s="53" t="s">
        <v>2</v>
      </c>
      <c r="U6" s="50" t="s">
        <v>2</v>
      </c>
      <c r="V6" s="49" t="s">
        <v>2</v>
      </c>
      <c r="W6" s="50" t="s">
        <v>2</v>
      </c>
    </row>
    <row r="7" spans="1:23" ht="7.5" customHeight="1" x14ac:dyDescent="0.2">
      <c r="A7" s="45">
        <v>7</v>
      </c>
      <c r="B7" s="39" t="s">
        <v>304</v>
      </c>
      <c r="C7" s="56" t="s">
        <v>305</v>
      </c>
      <c r="D7" s="46" t="s">
        <v>2</v>
      </c>
      <c r="E7" s="54" t="s">
        <v>2</v>
      </c>
      <c r="F7" s="46" t="s">
        <v>2</v>
      </c>
      <c r="G7" s="54" t="s">
        <v>2</v>
      </c>
      <c r="H7" s="46" t="s">
        <v>2</v>
      </c>
      <c r="I7" s="54" t="s">
        <v>2</v>
      </c>
      <c r="J7" s="46" t="s">
        <v>2</v>
      </c>
      <c r="K7" s="54" t="s">
        <v>2</v>
      </c>
      <c r="L7" s="46" t="s">
        <v>2</v>
      </c>
      <c r="M7" s="54" t="s">
        <v>2</v>
      </c>
      <c r="N7" s="47" t="s">
        <v>139</v>
      </c>
      <c r="O7" s="57" t="s">
        <v>321</v>
      </c>
      <c r="P7" s="49" t="s">
        <v>2</v>
      </c>
      <c r="Q7" s="50" t="s">
        <v>2</v>
      </c>
      <c r="R7" s="49" t="s">
        <v>2</v>
      </c>
      <c r="S7" s="50" t="s">
        <v>2</v>
      </c>
      <c r="T7" s="53" t="s">
        <v>2</v>
      </c>
      <c r="U7" s="50" t="s">
        <v>2</v>
      </c>
      <c r="V7" s="49" t="s">
        <v>2</v>
      </c>
      <c r="W7" s="50" t="s">
        <v>2</v>
      </c>
    </row>
    <row r="8" spans="1:23" ht="7.5" customHeight="1" x14ac:dyDescent="0.2">
      <c r="A8" s="45">
        <v>8</v>
      </c>
      <c r="B8" s="39" t="s">
        <v>287</v>
      </c>
      <c r="C8" s="56" t="s">
        <v>155</v>
      </c>
      <c r="D8" s="51" t="s">
        <v>286</v>
      </c>
      <c r="E8" s="39" t="s">
        <v>285</v>
      </c>
      <c r="F8" s="46" t="s">
        <v>2</v>
      </c>
      <c r="G8" s="54" t="s">
        <v>2</v>
      </c>
      <c r="H8" s="46" t="s">
        <v>2</v>
      </c>
      <c r="I8" s="54" t="s">
        <v>2</v>
      </c>
      <c r="J8" s="46" t="s">
        <v>2</v>
      </c>
      <c r="K8" s="54" t="s">
        <v>2</v>
      </c>
      <c r="L8" s="46" t="s">
        <v>2</v>
      </c>
      <c r="M8" s="54" t="s">
        <v>2</v>
      </c>
      <c r="N8" s="47" t="s">
        <v>319</v>
      </c>
      <c r="O8" s="48" t="s">
        <v>274</v>
      </c>
      <c r="P8" s="49" t="s">
        <v>2</v>
      </c>
      <c r="Q8" s="50" t="s">
        <v>2</v>
      </c>
      <c r="R8" s="49" t="s">
        <v>2</v>
      </c>
      <c r="S8" s="50" t="s">
        <v>2</v>
      </c>
      <c r="T8" s="53" t="s">
        <v>2</v>
      </c>
      <c r="U8" s="50" t="s">
        <v>2</v>
      </c>
      <c r="V8" s="49" t="s">
        <v>2</v>
      </c>
      <c r="W8" s="50" t="s">
        <v>2</v>
      </c>
    </row>
    <row r="9" spans="1:23" ht="7.5" customHeight="1" x14ac:dyDescent="0.2">
      <c r="A9" s="45">
        <v>9</v>
      </c>
      <c r="B9" s="39" t="s">
        <v>288</v>
      </c>
      <c r="C9" s="56" t="s">
        <v>156</v>
      </c>
      <c r="D9" s="51" t="s">
        <v>286</v>
      </c>
      <c r="E9" s="39" t="s">
        <v>282</v>
      </c>
      <c r="F9" s="46" t="s">
        <v>331</v>
      </c>
      <c r="G9" s="39" t="s">
        <v>287</v>
      </c>
      <c r="H9" s="46" t="s">
        <v>2</v>
      </c>
      <c r="I9" s="54" t="s">
        <v>2</v>
      </c>
      <c r="J9" s="46" t="s">
        <v>2</v>
      </c>
      <c r="K9" s="54" t="s">
        <v>2</v>
      </c>
      <c r="L9" s="46" t="s">
        <v>2</v>
      </c>
      <c r="M9" s="54" t="s">
        <v>2</v>
      </c>
      <c r="N9" s="47" t="s">
        <v>319</v>
      </c>
      <c r="O9" s="48" t="s">
        <v>273</v>
      </c>
      <c r="P9" s="49" t="s">
        <v>2</v>
      </c>
      <c r="Q9" s="50" t="s">
        <v>2</v>
      </c>
      <c r="R9" s="49" t="s">
        <v>2</v>
      </c>
      <c r="S9" s="50" t="s">
        <v>2</v>
      </c>
      <c r="T9" s="53" t="s">
        <v>2</v>
      </c>
      <c r="U9" s="50" t="s">
        <v>2</v>
      </c>
      <c r="V9" s="49" t="s">
        <v>2</v>
      </c>
      <c r="W9" s="50" t="s">
        <v>2</v>
      </c>
    </row>
    <row r="10" spans="1:23" ht="7.5" customHeight="1" x14ac:dyDescent="0.2">
      <c r="A10" s="45">
        <v>10</v>
      </c>
      <c r="B10" s="39" t="s">
        <v>301</v>
      </c>
      <c r="C10" s="56" t="s">
        <v>157</v>
      </c>
      <c r="D10" s="51" t="s">
        <v>286</v>
      </c>
      <c r="E10" s="39" t="s">
        <v>283</v>
      </c>
      <c r="F10" s="46" t="s">
        <v>331</v>
      </c>
      <c r="G10" s="39" t="s">
        <v>288</v>
      </c>
      <c r="H10" s="46" t="s">
        <v>2</v>
      </c>
      <c r="I10" s="54" t="s">
        <v>2</v>
      </c>
      <c r="J10" s="46" t="s">
        <v>2</v>
      </c>
      <c r="K10" s="54" t="s">
        <v>2</v>
      </c>
      <c r="L10" s="46" t="s">
        <v>2</v>
      </c>
      <c r="M10" s="54" t="s">
        <v>2</v>
      </c>
      <c r="N10" s="47" t="s">
        <v>319</v>
      </c>
      <c r="O10" s="48" t="s">
        <v>275</v>
      </c>
      <c r="P10" s="49" t="s">
        <v>2</v>
      </c>
      <c r="Q10" s="50" t="s">
        <v>2</v>
      </c>
      <c r="R10" s="49" t="s">
        <v>2</v>
      </c>
      <c r="S10" s="50" t="s">
        <v>2</v>
      </c>
      <c r="T10" s="53" t="s">
        <v>2</v>
      </c>
      <c r="U10" s="50" t="s">
        <v>2</v>
      </c>
      <c r="V10" s="49" t="s">
        <v>2</v>
      </c>
      <c r="W10" s="50" t="s">
        <v>2</v>
      </c>
    </row>
    <row r="11" spans="1:23" ht="7.5" customHeight="1" x14ac:dyDescent="0.2">
      <c r="A11" s="45">
        <v>11</v>
      </c>
      <c r="B11" s="39" t="s">
        <v>302</v>
      </c>
      <c r="C11" s="56" t="s">
        <v>157</v>
      </c>
      <c r="D11" s="51" t="s">
        <v>286</v>
      </c>
      <c r="E11" s="39" t="s">
        <v>283</v>
      </c>
      <c r="F11" s="46" t="s">
        <v>331</v>
      </c>
      <c r="G11" s="39" t="s">
        <v>288</v>
      </c>
      <c r="H11" s="46" t="s">
        <v>2</v>
      </c>
      <c r="I11" s="54" t="s">
        <v>2</v>
      </c>
      <c r="J11" s="46" t="s">
        <v>2</v>
      </c>
      <c r="K11" s="54" t="s">
        <v>2</v>
      </c>
      <c r="L11" s="46" t="s">
        <v>2</v>
      </c>
      <c r="M11" s="54" t="s">
        <v>2</v>
      </c>
      <c r="N11" s="47" t="s">
        <v>319</v>
      </c>
      <c r="O11" s="48" t="s">
        <v>276</v>
      </c>
      <c r="P11" s="49" t="s">
        <v>2</v>
      </c>
      <c r="Q11" s="50" t="s">
        <v>2</v>
      </c>
      <c r="R11" s="49" t="s">
        <v>2</v>
      </c>
      <c r="S11" s="50" t="s">
        <v>2</v>
      </c>
      <c r="T11" s="53" t="s">
        <v>2</v>
      </c>
      <c r="U11" s="50" t="s">
        <v>2</v>
      </c>
      <c r="V11" s="49" t="s">
        <v>2</v>
      </c>
      <c r="W11" s="50" t="s">
        <v>2</v>
      </c>
    </row>
    <row r="12" spans="1:23" ht="7.5" customHeight="1" x14ac:dyDescent="0.2">
      <c r="A12" s="45">
        <v>12</v>
      </c>
      <c r="B12" s="39" t="s">
        <v>289</v>
      </c>
      <c r="C12" s="56" t="s">
        <v>158</v>
      </c>
      <c r="D12" s="51" t="s">
        <v>286</v>
      </c>
      <c r="E12" s="39" t="s">
        <v>284</v>
      </c>
      <c r="F12" s="46" t="s">
        <v>331</v>
      </c>
      <c r="G12" s="39" t="s">
        <v>301</v>
      </c>
      <c r="H12" s="46" t="s">
        <v>2</v>
      </c>
      <c r="I12" s="54" t="s">
        <v>2</v>
      </c>
      <c r="J12" s="51" t="s">
        <v>286</v>
      </c>
      <c r="K12" s="39" t="s">
        <v>303</v>
      </c>
      <c r="L12" s="51" t="s">
        <v>286</v>
      </c>
      <c r="M12" s="39" t="s">
        <v>304</v>
      </c>
      <c r="N12" s="47" t="s">
        <v>319</v>
      </c>
      <c r="O12" s="48" t="s">
        <v>307</v>
      </c>
      <c r="P12" s="47" t="s">
        <v>139</v>
      </c>
      <c r="Q12" s="50" t="s">
        <v>306</v>
      </c>
      <c r="R12" s="49" t="s">
        <v>2</v>
      </c>
      <c r="S12" s="50" t="s">
        <v>2</v>
      </c>
      <c r="T12" s="53" t="s">
        <v>2</v>
      </c>
      <c r="U12" s="50" t="s">
        <v>2</v>
      </c>
      <c r="V12" s="49" t="s">
        <v>2</v>
      </c>
      <c r="W12" s="50" t="s">
        <v>2</v>
      </c>
    </row>
    <row r="13" spans="1:23" ht="7.5" customHeight="1" x14ac:dyDescent="0.2">
      <c r="A13" s="45">
        <v>13</v>
      </c>
      <c r="B13" s="39" t="s">
        <v>290</v>
      </c>
      <c r="C13" s="56" t="s">
        <v>158</v>
      </c>
      <c r="D13" s="51" t="s">
        <v>286</v>
      </c>
      <c r="E13" s="39" t="s">
        <v>284</v>
      </c>
      <c r="F13" s="46" t="s">
        <v>331</v>
      </c>
      <c r="G13" s="39" t="s">
        <v>301</v>
      </c>
      <c r="H13" s="46" t="s">
        <v>2</v>
      </c>
      <c r="I13" s="54" t="s">
        <v>2</v>
      </c>
      <c r="J13" s="51" t="s">
        <v>286</v>
      </c>
      <c r="K13" s="39" t="s">
        <v>303</v>
      </c>
      <c r="L13" s="51" t="s">
        <v>286</v>
      </c>
      <c r="M13" s="39" t="s">
        <v>304</v>
      </c>
      <c r="N13" s="47" t="s">
        <v>319</v>
      </c>
      <c r="O13" s="48" t="s">
        <v>308</v>
      </c>
      <c r="P13" s="47" t="s">
        <v>139</v>
      </c>
      <c r="Q13" s="50" t="s">
        <v>306</v>
      </c>
      <c r="R13" s="49" t="s">
        <v>2</v>
      </c>
      <c r="S13" s="50" t="s">
        <v>2</v>
      </c>
      <c r="T13" s="53" t="s">
        <v>2</v>
      </c>
      <c r="U13" s="50" t="s">
        <v>2</v>
      </c>
      <c r="V13" s="49" t="s">
        <v>2</v>
      </c>
      <c r="W13" s="50" t="s">
        <v>2</v>
      </c>
    </row>
    <row r="14" spans="1:23" ht="7.5" customHeight="1" x14ac:dyDescent="0.2">
      <c r="A14" s="45">
        <v>14</v>
      </c>
      <c r="B14" s="39" t="s">
        <v>291</v>
      </c>
      <c r="C14" s="56" t="s">
        <v>158</v>
      </c>
      <c r="D14" s="51" t="s">
        <v>286</v>
      </c>
      <c r="E14" s="39" t="s">
        <v>284</v>
      </c>
      <c r="F14" s="46" t="s">
        <v>331</v>
      </c>
      <c r="G14" s="39" t="s">
        <v>301</v>
      </c>
      <c r="H14" s="46" t="s">
        <v>2</v>
      </c>
      <c r="I14" s="54" t="s">
        <v>2</v>
      </c>
      <c r="J14" s="51" t="s">
        <v>286</v>
      </c>
      <c r="K14" s="39" t="s">
        <v>303</v>
      </c>
      <c r="L14" s="51" t="s">
        <v>286</v>
      </c>
      <c r="M14" s="39" t="s">
        <v>304</v>
      </c>
      <c r="N14" s="47" t="s">
        <v>319</v>
      </c>
      <c r="O14" s="48" t="s">
        <v>310</v>
      </c>
      <c r="P14" s="47" t="s">
        <v>139</v>
      </c>
      <c r="Q14" s="50" t="s">
        <v>306</v>
      </c>
      <c r="R14" s="49" t="s">
        <v>2</v>
      </c>
      <c r="S14" s="50" t="s">
        <v>2</v>
      </c>
      <c r="T14" s="53" t="s">
        <v>2</v>
      </c>
      <c r="U14" s="50" t="s">
        <v>2</v>
      </c>
      <c r="V14" s="49" t="s">
        <v>2</v>
      </c>
      <c r="W14" s="50" t="s">
        <v>2</v>
      </c>
    </row>
    <row r="15" spans="1:23" ht="7.5" customHeight="1" x14ac:dyDescent="0.2">
      <c r="A15" s="45">
        <v>15</v>
      </c>
      <c r="B15" s="39" t="s">
        <v>292</v>
      </c>
      <c r="C15" s="56" t="s">
        <v>158</v>
      </c>
      <c r="D15" s="51" t="s">
        <v>286</v>
      </c>
      <c r="E15" s="39" t="s">
        <v>284</v>
      </c>
      <c r="F15" s="46" t="s">
        <v>331</v>
      </c>
      <c r="G15" s="39" t="s">
        <v>301</v>
      </c>
      <c r="H15" s="46" t="s">
        <v>2</v>
      </c>
      <c r="I15" s="54" t="s">
        <v>2</v>
      </c>
      <c r="J15" s="51" t="s">
        <v>286</v>
      </c>
      <c r="K15" s="39" t="s">
        <v>303</v>
      </c>
      <c r="L15" s="51" t="s">
        <v>286</v>
      </c>
      <c r="M15" s="39" t="s">
        <v>304</v>
      </c>
      <c r="N15" s="47" t="s">
        <v>319</v>
      </c>
      <c r="O15" s="48" t="s">
        <v>309</v>
      </c>
      <c r="P15" s="47" t="s">
        <v>139</v>
      </c>
      <c r="Q15" s="50" t="s">
        <v>306</v>
      </c>
      <c r="R15" s="49" t="s">
        <v>2</v>
      </c>
      <c r="S15" s="50" t="s">
        <v>2</v>
      </c>
      <c r="T15" s="53" t="s">
        <v>2</v>
      </c>
      <c r="U15" s="50" t="s">
        <v>2</v>
      </c>
      <c r="V15" s="49" t="s">
        <v>2</v>
      </c>
      <c r="W15" s="50" t="s">
        <v>2</v>
      </c>
    </row>
    <row r="16" spans="1:23" ht="7.5" customHeight="1" x14ac:dyDescent="0.2">
      <c r="A16" s="45">
        <v>16</v>
      </c>
      <c r="B16" s="39" t="s">
        <v>293</v>
      </c>
      <c r="C16" s="56" t="s">
        <v>158</v>
      </c>
      <c r="D16" s="51" t="s">
        <v>286</v>
      </c>
      <c r="E16" s="39" t="s">
        <v>284</v>
      </c>
      <c r="F16" s="46" t="s">
        <v>331</v>
      </c>
      <c r="G16" s="39" t="s">
        <v>301</v>
      </c>
      <c r="H16" s="46" t="s">
        <v>2</v>
      </c>
      <c r="I16" s="54" t="s">
        <v>2</v>
      </c>
      <c r="J16" s="51" t="s">
        <v>286</v>
      </c>
      <c r="K16" s="39" t="s">
        <v>303</v>
      </c>
      <c r="L16" s="51" t="s">
        <v>286</v>
      </c>
      <c r="M16" s="39" t="s">
        <v>304</v>
      </c>
      <c r="N16" s="47" t="s">
        <v>319</v>
      </c>
      <c r="O16" s="48" t="s">
        <v>311</v>
      </c>
      <c r="P16" s="47" t="s">
        <v>139</v>
      </c>
      <c r="Q16" s="50" t="s">
        <v>306</v>
      </c>
      <c r="R16" s="49" t="s">
        <v>2</v>
      </c>
      <c r="S16" s="50" t="s">
        <v>2</v>
      </c>
      <c r="T16" s="53" t="s">
        <v>2</v>
      </c>
      <c r="U16" s="50" t="s">
        <v>2</v>
      </c>
      <c r="V16" s="49" t="s">
        <v>2</v>
      </c>
      <c r="W16" s="50" t="s">
        <v>2</v>
      </c>
    </row>
    <row r="17" spans="1:23" ht="7.5" customHeight="1" x14ac:dyDescent="0.2">
      <c r="A17" s="45">
        <v>17</v>
      </c>
      <c r="B17" s="39" t="s">
        <v>294</v>
      </c>
      <c r="C17" s="56" t="s">
        <v>158</v>
      </c>
      <c r="D17" s="51" t="s">
        <v>286</v>
      </c>
      <c r="E17" s="39" t="s">
        <v>284</v>
      </c>
      <c r="F17" s="46" t="s">
        <v>331</v>
      </c>
      <c r="G17" s="39" t="s">
        <v>301</v>
      </c>
      <c r="H17" s="46" t="s">
        <v>2</v>
      </c>
      <c r="I17" s="54" t="s">
        <v>2</v>
      </c>
      <c r="J17" s="51" t="s">
        <v>286</v>
      </c>
      <c r="K17" s="39" t="s">
        <v>303</v>
      </c>
      <c r="L17" s="51" t="s">
        <v>286</v>
      </c>
      <c r="M17" s="39" t="s">
        <v>304</v>
      </c>
      <c r="N17" s="47" t="s">
        <v>319</v>
      </c>
      <c r="O17" s="48" t="s">
        <v>312</v>
      </c>
      <c r="P17" s="47" t="s">
        <v>139</v>
      </c>
      <c r="Q17" s="50" t="s">
        <v>306</v>
      </c>
      <c r="R17" s="49" t="s">
        <v>2</v>
      </c>
      <c r="S17" s="50" t="s">
        <v>2</v>
      </c>
      <c r="T17" s="53" t="s">
        <v>2</v>
      </c>
      <c r="U17" s="50" t="s">
        <v>2</v>
      </c>
      <c r="V17" s="49" t="s">
        <v>2</v>
      </c>
      <c r="W17" s="50" t="s">
        <v>2</v>
      </c>
    </row>
    <row r="18" spans="1:23" ht="7.5" customHeight="1" x14ac:dyDescent="0.2">
      <c r="A18" s="45">
        <v>18</v>
      </c>
      <c r="B18" s="39" t="s">
        <v>295</v>
      </c>
      <c r="C18" s="56" t="s">
        <v>158</v>
      </c>
      <c r="D18" s="51" t="s">
        <v>286</v>
      </c>
      <c r="E18" s="39" t="s">
        <v>284</v>
      </c>
      <c r="F18" s="46" t="s">
        <v>331</v>
      </c>
      <c r="G18" s="39" t="s">
        <v>302</v>
      </c>
      <c r="H18" s="46" t="s">
        <v>2</v>
      </c>
      <c r="I18" s="54" t="s">
        <v>2</v>
      </c>
      <c r="J18" s="51" t="s">
        <v>286</v>
      </c>
      <c r="K18" s="39" t="s">
        <v>303</v>
      </c>
      <c r="L18" s="51" t="s">
        <v>286</v>
      </c>
      <c r="M18" s="39" t="s">
        <v>304</v>
      </c>
      <c r="N18" s="47" t="s">
        <v>319</v>
      </c>
      <c r="O18" s="48" t="s">
        <v>313</v>
      </c>
      <c r="P18" s="47" t="s">
        <v>139</v>
      </c>
      <c r="Q18" s="50" t="s">
        <v>306</v>
      </c>
      <c r="R18" s="49" t="s">
        <v>2</v>
      </c>
      <c r="S18" s="50" t="s">
        <v>2</v>
      </c>
      <c r="T18" s="53" t="s">
        <v>2</v>
      </c>
      <c r="U18" s="50" t="s">
        <v>2</v>
      </c>
      <c r="V18" s="49" t="s">
        <v>2</v>
      </c>
      <c r="W18" s="50" t="s">
        <v>2</v>
      </c>
    </row>
    <row r="19" spans="1:23" ht="7.5" customHeight="1" x14ac:dyDescent="0.2">
      <c r="A19" s="45">
        <v>19</v>
      </c>
      <c r="B19" s="39" t="s">
        <v>296</v>
      </c>
      <c r="C19" s="56" t="s">
        <v>158</v>
      </c>
      <c r="D19" s="51" t="s">
        <v>286</v>
      </c>
      <c r="E19" s="39" t="s">
        <v>284</v>
      </c>
      <c r="F19" s="46" t="s">
        <v>331</v>
      </c>
      <c r="G19" s="39" t="s">
        <v>302</v>
      </c>
      <c r="H19" s="46" t="s">
        <v>2</v>
      </c>
      <c r="I19" s="54" t="s">
        <v>2</v>
      </c>
      <c r="J19" s="51" t="s">
        <v>286</v>
      </c>
      <c r="K19" s="39" t="s">
        <v>303</v>
      </c>
      <c r="L19" s="51" t="s">
        <v>286</v>
      </c>
      <c r="M19" s="39" t="s">
        <v>304</v>
      </c>
      <c r="N19" s="47" t="s">
        <v>319</v>
      </c>
      <c r="O19" s="48" t="s">
        <v>314</v>
      </c>
      <c r="P19" s="47" t="s">
        <v>139</v>
      </c>
      <c r="Q19" s="50" t="s">
        <v>306</v>
      </c>
      <c r="R19" s="49" t="s">
        <v>2</v>
      </c>
      <c r="S19" s="50" t="s">
        <v>2</v>
      </c>
      <c r="T19" s="53" t="s">
        <v>2</v>
      </c>
      <c r="U19" s="50" t="s">
        <v>2</v>
      </c>
      <c r="V19" s="49" t="s">
        <v>2</v>
      </c>
      <c r="W19" s="50" t="s">
        <v>2</v>
      </c>
    </row>
    <row r="20" spans="1:23" ht="7.5" customHeight="1" x14ac:dyDescent="0.2">
      <c r="A20" s="45">
        <v>20</v>
      </c>
      <c r="B20" s="39" t="s">
        <v>297</v>
      </c>
      <c r="C20" s="56" t="s">
        <v>158</v>
      </c>
      <c r="D20" s="51" t="s">
        <v>286</v>
      </c>
      <c r="E20" s="39" t="s">
        <v>284</v>
      </c>
      <c r="F20" s="46" t="s">
        <v>331</v>
      </c>
      <c r="G20" s="39" t="s">
        <v>302</v>
      </c>
      <c r="H20" s="46" t="s">
        <v>2</v>
      </c>
      <c r="I20" s="54" t="s">
        <v>2</v>
      </c>
      <c r="J20" s="51" t="s">
        <v>286</v>
      </c>
      <c r="K20" s="39" t="s">
        <v>303</v>
      </c>
      <c r="L20" s="51" t="s">
        <v>286</v>
      </c>
      <c r="M20" s="39" t="s">
        <v>304</v>
      </c>
      <c r="N20" s="47" t="s">
        <v>319</v>
      </c>
      <c r="O20" s="48" t="s">
        <v>315</v>
      </c>
      <c r="P20" s="47" t="s">
        <v>139</v>
      </c>
      <c r="Q20" s="50" t="s">
        <v>306</v>
      </c>
      <c r="R20" s="49" t="s">
        <v>2</v>
      </c>
      <c r="S20" s="50" t="s">
        <v>2</v>
      </c>
      <c r="T20" s="53" t="s">
        <v>2</v>
      </c>
      <c r="U20" s="50" t="s">
        <v>2</v>
      </c>
      <c r="V20" s="49" t="s">
        <v>2</v>
      </c>
      <c r="W20" s="50" t="s">
        <v>2</v>
      </c>
    </row>
    <row r="21" spans="1:23" ht="7.5" customHeight="1" x14ac:dyDescent="0.2">
      <c r="A21" s="45">
        <v>21</v>
      </c>
      <c r="B21" s="39" t="s">
        <v>298</v>
      </c>
      <c r="C21" s="56" t="s">
        <v>158</v>
      </c>
      <c r="D21" s="51" t="s">
        <v>286</v>
      </c>
      <c r="E21" s="39" t="s">
        <v>284</v>
      </c>
      <c r="F21" s="46" t="s">
        <v>331</v>
      </c>
      <c r="G21" s="39" t="s">
        <v>302</v>
      </c>
      <c r="H21" s="46" t="s">
        <v>2</v>
      </c>
      <c r="I21" s="54" t="s">
        <v>2</v>
      </c>
      <c r="J21" s="51" t="s">
        <v>286</v>
      </c>
      <c r="K21" s="39" t="s">
        <v>303</v>
      </c>
      <c r="L21" s="51" t="s">
        <v>286</v>
      </c>
      <c r="M21" s="39" t="s">
        <v>304</v>
      </c>
      <c r="N21" s="47" t="s">
        <v>319</v>
      </c>
      <c r="O21" s="48" t="s">
        <v>316</v>
      </c>
      <c r="P21" s="47" t="s">
        <v>139</v>
      </c>
      <c r="Q21" s="50" t="s">
        <v>306</v>
      </c>
      <c r="R21" s="49" t="s">
        <v>2</v>
      </c>
      <c r="S21" s="50" t="s">
        <v>2</v>
      </c>
      <c r="T21" s="53" t="s">
        <v>2</v>
      </c>
      <c r="U21" s="50" t="s">
        <v>2</v>
      </c>
      <c r="V21" s="49" t="s">
        <v>2</v>
      </c>
      <c r="W21" s="50" t="s">
        <v>2</v>
      </c>
    </row>
    <row r="22" spans="1:23" ht="7.5" customHeight="1" x14ac:dyDescent="0.2">
      <c r="A22" s="45">
        <v>22</v>
      </c>
      <c r="B22" s="39" t="s">
        <v>299</v>
      </c>
      <c r="C22" s="56" t="s">
        <v>158</v>
      </c>
      <c r="D22" s="51" t="s">
        <v>286</v>
      </c>
      <c r="E22" s="39" t="s">
        <v>284</v>
      </c>
      <c r="F22" s="46" t="s">
        <v>331</v>
      </c>
      <c r="G22" s="39" t="s">
        <v>302</v>
      </c>
      <c r="H22" s="46" t="s">
        <v>2</v>
      </c>
      <c r="I22" s="54" t="s">
        <v>2</v>
      </c>
      <c r="J22" s="51" t="s">
        <v>286</v>
      </c>
      <c r="K22" s="39" t="s">
        <v>303</v>
      </c>
      <c r="L22" s="51" t="s">
        <v>286</v>
      </c>
      <c r="M22" s="39" t="s">
        <v>304</v>
      </c>
      <c r="N22" s="47" t="s">
        <v>319</v>
      </c>
      <c r="O22" s="48" t="s">
        <v>317</v>
      </c>
      <c r="P22" s="47" t="s">
        <v>139</v>
      </c>
      <c r="Q22" s="50" t="s">
        <v>306</v>
      </c>
      <c r="R22" s="49" t="s">
        <v>2</v>
      </c>
      <c r="S22" s="50" t="s">
        <v>2</v>
      </c>
      <c r="T22" s="53" t="s">
        <v>2</v>
      </c>
      <c r="U22" s="50" t="s">
        <v>2</v>
      </c>
      <c r="V22" s="49" t="s">
        <v>2</v>
      </c>
      <c r="W22" s="50" t="s">
        <v>2</v>
      </c>
    </row>
    <row r="23" spans="1:23" ht="7.5" customHeight="1" x14ac:dyDescent="0.2">
      <c r="A23" s="45">
        <v>23</v>
      </c>
      <c r="B23" s="39" t="s">
        <v>300</v>
      </c>
      <c r="C23" s="56" t="s">
        <v>158</v>
      </c>
      <c r="D23" s="51" t="s">
        <v>286</v>
      </c>
      <c r="E23" s="39" t="s">
        <v>284</v>
      </c>
      <c r="F23" s="46" t="s">
        <v>331</v>
      </c>
      <c r="G23" s="39" t="s">
        <v>302</v>
      </c>
      <c r="H23" s="46" t="s">
        <v>2</v>
      </c>
      <c r="I23" s="54" t="s">
        <v>2</v>
      </c>
      <c r="J23" s="51" t="s">
        <v>286</v>
      </c>
      <c r="K23" s="39" t="s">
        <v>303</v>
      </c>
      <c r="L23" s="51" t="s">
        <v>286</v>
      </c>
      <c r="M23" s="39" t="s">
        <v>304</v>
      </c>
      <c r="N23" s="47" t="s">
        <v>319</v>
      </c>
      <c r="O23" s="48" t="s">
        <v>318</v>
      </c>
      <c r="P23" s="47" t="s">
        <v>139</v>
      </c>
      <c r="Q23" s="50" t="s">
        <v>306</v>
      </c>
      <c r="R23" s="49" t="s">
        <v>2</v>
      </c>
      <c r="S23" s="50" t="s">
        <v>2</v>
      </c>
      <c r="T23" s="53" t="s">
        <v>2</v>
      </c>
      <c r="U23" s="50" t="s">
        <v>2</v>
      </c>
      <c r="V23" s="49" t="s">
        <v>2</v>
      </c>
      <c r="W23" s="50" t="s">
        <v>2</v>
      </c>
    </row>
  </sheetData>
  <phoneticPr fontId="12" type="noConversion"/>
  <conditionalFormatting sqref="B10:B1048576 B1:B8">
    <cfRule type="duplicateValues" dxfId="24" priority="64"/>
    <cfRule type="duplicateValues" dxfId="23" priority="65"/>
  </conditionalFormatting>
  <conditionalFormatting sqref="C7">
    <cfRule type="duplicateValues" dxfId="22" priority="15"/>
  </conditionalFormatting>
  <conditionalFormatting sqref="D1">
    <cfRule type="duplicateValues" dxfId="21" priority="11"/>
  </conditionalFormatting>
  <conditionalFormatting sqref="E3">
    <cfRule type="duplicateValues" dxfId="20" priority="9"/>
    <cfRule type="duplicateValues" dxfId="19" priority="10"/>
  </conditionalFormatting>
  <conditionalFormatting sqref="E4">
    <cfRule type="duplicateValues" dxfId="18" priority="5"/>
    <cfRule type="duplicateValues" dxfId="17" priority="6"/>
  </conditionalFormatting>
  <conditionalFormatting sqref="E5">
    <cfRule type="duplicateValues" dxfId="16" priority="3"/>
    <cfRule type="duplicateValues" dxfId="15" priority="4"/>
  </conditionalFormatting>
  <conditionalFormatting sqref="E6">
    <cfRule type="duplicateValues" dxfId="14" priority="1"/>
    <cfRule type="duplicateValues" dxfId="13" priority="2"/>
  </conditionalFormatting>
  <conditionalFormatting sqref="H1 B1">
    <cfRule type="duplicateValues" dxfId="12" priority="71"/>
  </conditionalFormatting>
  <conditionalFormatting sqref="J1">
    <cfRule type="duplicateValues" dxfId="11" priority="63"/>
  </conditionalFormatting>
  <conditionalFormatting sqref="L1">
    <cfRule type="duplicateValues" dxfId="10" priority="12"/>
  </conditionalFormatting>
  <conditionalFormatting sqref="N1">
    <cfRule type="duplicateValues" dxfId="9" priority="70"/>
  </conditionalFormatting>
  <conditionalFormatting sqref="P1">
    <cfRule type="duplicateValues" dxfId="8" priority="69"/>
  </conditionalFormatting>
  <conditionalFormatting sqref="R1">
    <cfRule type="duplicateValues" dxfId="7" priority="68"/>
  </conditionalFormatting>
  <conditionalFormatting sqref="T1">
    <cfRule type="duplicateValues" dxfId="6" priority="67"/>
  </conditionalFormatting>
  <conditionalFormatting sqref="V1">
    <cfRule type="duplicateValues" dxfId="5" priority="66"/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Projeto</vt:lpstr>
      <vt:lpstr>Classes</vt:lpstr>
      <vt:lpstr>Disjunt</vt:lpstr>
      <vt:lpstr>Interop</vt:lpstr>
      <vt:lpstr>FatosIn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Luis Menegotto</dc:creator>
  <cp:lastModifiedBy>José Luis Menegotto</cp:lastModifiedBy>
  <dcterms:created xsi:type="dcterms:W3CDTF">2026-04-14T18:40:36Z</dcterms:created>
  <dcterms:modified xsi:type="dcterms:W3CDTF">2026-08-24T17:17:02Z</dcterms:modified>
</cp:coreProperties>
</file>