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Construtor_Onto\ARQ\"/>
    </mc:Choice>
  </mc:AlternateContent>
  <xr:revisionPtr revIDLastSave="0" documentId="13_ncr:1_{E8D23C4F-B679-4E69-A872-EEC9F4F2F136}" xr6:coauthVersionLast="47" xr6:coauthVersionMax="47" xr10:uidLastSave="{00000000-0000-0000-0000-000000000000}"/>
  <bookViews>
    <workbookView xWindow="-103" yWindow="-103" windowWidth="22149" windowHeight="13200" tabRatio="520" activeTab="4" xr2:uid="{00000000-000D-0000-FFFF-FFFF00000000}"/>
  </bookViews>
  <sheets>
    <sheet name="Projeto" sheetId="13" r:id="rId1"/>
    <sheet name="Classes" sheetId="30" r:id="rId2"/>
    <sheet name="Disjunt" sheetId="3" r:id="rId3"/>
    <sheet name="Interop" sheetId="16" r:id="rId4"/>
    <sheet name="FatosIn" sheetId="28" r:id="rId5"/>
  </sheets>
  <definedNames>
    <definedName name="_xlnm._FilterDatabase" localSheetId="3" hidden="1">Interop!$B$1:$B$2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107" i="30" l="1"/>
  <c r="V107" i="30"/>
  <c r="U107" i="30"/>
  <c r="T107" i="30"/>
  <c r="O107" i="30"/>
  <c r="N107" i="30"/>
  <c r="M107" i="30"/>
  <c r="L107" i="30"/>
  <c r="X131" i="30"/>
  <c r="V131" i="30"/>
  <c r="U131" i="30"/>
  <c r="T131" i="30"/>
  <c r="O131" i="30"/>
  <c r="N131" i="30"/>
  <c r="M131" i="30"/>
  <c r="L131" i="30"/>
  <c r="X130" i="30"/>
  <c r="V130" i="30"/>
  <c r="U130" i="30"/>
  <c r="T130" i="30"/>
  <c r="O130" i="30"/>
  <c r="N130" i="30"/>
  <c r="M130" i="30"/>
  <c r="L130" i="30"/>
  <c r="X129" i="30"/>
  <c r="V129" i="30"/>
  <c r="U129" i="30"/>
  <c r="T129" i="30"/>
  <c r="O129" i="30"/>
  <c r="N129" i="30"/>
  <c r="M129" i="30"/>
  <c r="L129" i="30"/>
  <c r="X128" i="30"/>
  <c r="V128" i="30"/>
  <c r="U128" i="30"/>
  <c r="T128" i="30"/>
  <c r="O128" i="30"/>
  <c r="N128" i="30"/>
  <c r="M128" i="30"/>
  <c r="L128" i="30"/>
  <c r="X226" i="30"/>
  <c r="V226" i="30"/>
  <c r="U226" i="30"/>
  <c r="T226" i="30"/>
  <c r="O226" i="30"/>
  <c r="N226" i="30"/>
  <c r="M226" i="30"/>
  <c r="L226" i="30"/>
  <c r="X133" i="30"/>
  <c r="V133" i="30"/>
  <c r="U133" i="30"/>
  <c r="T133" i="30"/>
  <c r="O133" i="30"/>
  <c r="N133" i="30"/>
  <c r="M133" i="30"/>
  <c r="L133" i="30"/>
  <c r="X132" i="30"/>
  <c r="V132" i="30"/>
  <c r="U132" i="30"/>
  <c r="T132" i="30"/>
  <c r="O132" i="30"/>
  <c r="N132" i="30"/>
  <c r="M132" i="30"/>
  <c r="L132" i="30"/>
  <c r="X115" i="30" l="1"/>
  <c r="V115" i="30"/>
  <c r="U115" i="30"/>
  <c r="T115" i="30"/>
  <c r="O115" i="30"/>
  <c r="N115" i="30"/>
  <c r="M115" i="30"/>
  <c r="L115" i="30"/>
  <c r="X114" i="30"/>
  <c r="V114" i="30"/>
  <c r="U114" i="30"/>
  <c r="T114" i="30"/>
  <c r="O114" i="30"/>
  <c r="N114" i="30"/>
  <c r="M114" i="30"/>
  <c r="L114" i="30"/>
  <c r="X111" i="30"/>
  <c r="V111" i="30"/>
  <c r="U111" i="30"/>
  <c r="T111" i="30"/>
  <c r="O111" i="30"/>
  <c r="N111" i="30"/>
  <c r="M111" i="30"/>
  <c r="L111" i="30"/>
  <c r="X110" i="30"/>
  <c r="V110" i="30"/>
  <c r="U110" i="30"/>
  <c r="T110" i="30"/>
  <c r="O110" i="30"/>
  <c r="N110" i="30"/>
  <c r="M110" i="30"/>
  <c r="L110" i="30"/>
  <c r="X109" i="30"/>
  <c r="V109" i="30"/>
  <c r="U109" i="30"/>
  <c r="T109" i="30"/>
  <c r="O109" i="30"/>
  <c r="N109" i="30"/>
  <c r="M109" i="30"/>
  <c r="L109" i="30"/>
  <c r="X108" i="30"/>
  <c r="V108" i="30"/>
  <c r="U108" i="30"/>
  <c r="T108" i="30"/>
  <c r="O108" i="30"/>
  <c r="N108" i="30"/>
  <c r="M108" i="30"/>
  <c r="L108" i="30"/>
  <c r="X353" i="30"/>
  <c r="X354" i="30"/>
  <c r="X355" i="30"/>
  <c r="X356" i="30"/>
  <c r="X357" i="30"/>
  <c r="X358" i="30"/>
  <c r="X78" i="30" l="1"/>
  <c r="V78" i="30"/>
  <c r="U78" i="30"/>
  <c r="T78" i="30"/>
  <c r="O78" i="30"/>
  <c r="N78" i="30"/>
  <c r="M78" i="30"/>
  <c r="L78" i="30"/>
  <c r="X77" i="30"/>
  <c r="V77" i="30"/>
  <c r="U77" i="30"/>
  <c r="T77" i="30"/>
  <c r="O77" i="30"/>
  <c r="N77" i="30"/>
  <c r="M77" i="30"/>
  <c r="L77" i="30"/>
  <c r="X76" i="30"/>
  <c r="V76" i="30"/>
  <c r="U76" i="30"/>
  <c r="T76" i="30"/>
  <c r="O76" i="30"/>
  <c r="N76" i="30"/>
  <c r="M76" i="30"/>
  <c r="L76" i="30"/>
  <c r="X75" i="30"/>
  <c r="V75" i="30"/>
  <c r="U75" i="30"/>
  <c r="T75" i="30"/>
  <c r="O75" i="30"/>
  <c r="N75" i="30"/>
  <c r="M75" i="30"/>
  <c r="L75" i="30"/>
  <c r="X74" i="30"/>
  <c r="V74" i="30"/>
  <c r="U74" i="30"/>
  <c r="T74" i="30"/>
  <c r="O74" i="30"/>
  <c r="N74" i="30"/>
  <c r="M74" i="30"/>
  <c r="L74" i="30"/>
  <c r="X73" i="30"/>
  <c r="V73" i="30"/>
  <c r="U73" i="30"/>
  <c r="T73" i="30"/>
  <c r="O73" i="30"/>
  <c r="N73" i="30"/>
  <c r="M73" i="30"/>
  <c r="L73" i="30"/>
  <c r="X72" i="30"/>
  <c r="V72" i="30"/>
  <c r="U72" i="30"/>
  <c r="T72" i="30"/>
  <c r="O72" i="30"/>
  <c r="N72" i="30"/>
  <c r="M72" i="30"/>
  <c r="L72" i="30"/>
  <c r="X71" i="30"/>
  <c r="V71" i="30"/>
  <c r="U71" i="30"/>
  <c r="T71" i="30"/>
  <c r="O71" i="30"/>
  <c r="N71" i="30"/>
  <c r="M71" i="30"/>
  <c r="L71" i="30"/>
  <c r="X70" i="30"/>
  <c r="V70" i="30"/>
  <c r="U70" i="30"/>
  <c r="T70" i="30"/>
  <c r="O70" i="30"/>
  <c r="N70" i="30"/>
  <c r="M70" i="30"/>
  <c r="L70" i="30"/>
  <c r="X69" i="30"/>
  <c r="V69" i="30"/>
  <c r="U69" i="30"/>
  <c r="T69" i="30"/>
  <c r="O69" i="30"/>
  <c r="N69" i="30"/>
  <c r="M69" i="30"/>
  <c r="L69" i="30"/>
  <c r="X68" i="30"/>
  <c r="V68" i="30"/>
  <c r="U68" i="30"/>
  <c r="T68" i="30"/>
  <c r="O68" i="30"/>
  <c r="N68" i="30"/>
  <c r="M68" i="30"/>
  <c r="L68" i="30"/>
  <c r="X67" i="30"/>
  <c r="V67" i="30"/>
  <c r="U67" i="30"/>
  <c r="T67" i="30"/>
  <c r="O67" i="30"/>
  <c r="N67" i="30"/>
  <c r="M67" i="30"/>
  <c r="L67" i="30"/>
  <c r="X66" i="30"/>
  <c r="V66" i="30"/>
  <c r="U66" i="30"/>
  <c r="T66" i="30"/>
  <c r="O66" i="30"/>
  <c r="N66" i="30"/>
  <c r="M66" i="30"/>
  <c r="L66" i="30"/>
  <c r="X65" i="30"/>
  <c r="V65" i="30"/>
  <c r="U65" i="30"/>
  <c r="T65" i="30"/>
  <c r="O65" i="30"/>
  <c r="N65" i="30"/>
  <c r="M65" i="30"/>
  <c r="L65" i="30"/>
  <c r="X64" i="30"/>
  <c r="V64" i="30"/>
  <c r="U64" i="30"/>
  <c r="T64" i="30"/>
  <c r="O64" i="30"/>
  <c r="N64" i="30"/>
  <c r="M64" i="30"/>
  <c r="L64" i="30"/>
  <c r="X63" i="30"/>
  <c r="V63" i="30"/>
  <c r="U63" i="30"/>
  <c r="T63" i="30"/>
  <c r="O63" i="30"/>
  <c r="N63" i="30"/>
  <c r="M63" i="30"/>
  <c r="L63" i="30"/>
  <c r="X86" i="30"/>
  <c r="V86" i="30"/>
  <c r="U86" i="30"/>
  <c r="T86" i="30"/>
  <c r="O86" i="30"/>
  <c r="N86" i="30"/>
  <c r="M86" i="30"/>
  <c r="L86" i="30"/>
  <c r="X85" i="30"/>
  <c r="V85" i="30"/>
  <c r="U85" i="30"/>
  <c r="T85" i="30"/>
  <c r="O85" i="30"/>
  <c r="N85" i="30"/>
  <c r="M85" i="30"/>
  <c r="L85" i="30"/>
  <c r="X84" i="30"/>
  <c r="V84" i="30"/>
  <c r="U84" i="30"/>
  <c r="T84" i="30"/>
  <c r="O84" i="30"/>
  <c r="N84" i="30"/>
  <c r="M84" i="30"/>
  <c r="L84" i="30"/>
  <c r="X83" i="30"/>
  <c r="V83" i="30"/>
  <c r="U83" i="30"/>
  <c r="T83" i="30"/>
  <c r="O83" i="30"/>
  <c r="N83" i="30"/>
  <c r="M83" i="30"/>
  <c r="L83" i="30"/>
  <c r="X82" i="30"/>
  <c r="V82" i="30"/>
  <c r="U82" i="30"/>
  <c r="T82" i="30"/>
  <c r="O82" i="30"/>
  <c r="N82" i="30"/>
  <c r="M82" i="30"/>
  <c r="L82" i="30"/>
  <c r="X81" i="30"/>
  <c r="V81" i="30"/>
  <c r="U81" i="30"/>
  <c r="T81" i="30"/>
  <c r="O81" i="30"/>
  <c r="N81" i="30"/>
  <c r="M81" i="30"/>
  <c r="L81" i="30"/>
  <c r="X80" i="30"/>
  <c r="V80" i="30"/>
  <c r="U80" i="30"/>
  <c r="T80" i="30"/>
  <c r="O80" i="30"/>
  <c r="N80" i="30"/>
  <c r="M80" i="30"/>
  <c r="L80" i="30"/>
  <c r="X79" i="30"/>
  <c r="V79" i="30"/>
  <c r="U79" i="30"/>
  <c r="T79" i="30"/>
  <c r="O79" i="30"/>
  <c r="N79" i="30"/>
  <c r="M79" i="30"/>
  <c r="L79" i="30"/>
  <c r="X89" i="30"/>
  <c r="V89" i="30"/>
  <c r="U89" i="30"/>
  <c r="T89" i="30"/>
  <c r="O89" i="30"/>
  <c r="N89" i="30"/>
  <c r="M89" i="30"/>
  <c r="L89" i="30"/>
  <c r="X88" i="30"/>
  <c r="V88" i="30"/>
  <c r="U88" i="30"/>
  <c r="T88" i="30"/>
  <c r="O88" i="30"/>
  <c r="N88" i="30"/>
  <c r="M88" i="30"/>
  <c r="L88" i="30"/>
  <c r="X87" i="30"/>
  <c r="V87" i="30"/>
  <c r="U87" i="30"/>
  <c r="T87" i="30"/>
  <c r="O87" i="30"/>
  <c r="N87" i="30"/>
  <c r="M87" i="30"/>
  <c r="L87" i="30"/>
  <c r="X171" i="30"/>
  <c r="V171" i="30"/>
  <c r="U171" i="30"/>
  <c r="T171" i="30"/>
  <c r="O171" i="30"/>
  <c r="N171" i="30"/>
  <c r="M171" i="30"/>
  <c r="L171" i="30"/>
  <c r="X178" i="30"/>
  <c r="V178" i="30"/>
  <c r="U178" i="30"/>
  <c r="T178" i="30"/>
  <c r="O178" i="30"/>
  <c r="N178" i="30"/>
  <c r="M178" i="30"/>
  <c r="L178" i="30"/>
  <c r="X177" i="30"/>
  <c r="V177" i="30"/>
  <c r="U177" i="30"/>
  <c r="T177" i="30"/>
  <c r="O177" i="30"/>
  <c r="N177" i="30"/>
  <c r="M177" i="30"/>
  <c r="L177" i="30"/>
  <c r="X176" i="30"/>
  <c r="V176" i="30"/>
  <c r="U176" i="30"/>
  <c r="T176" i="30"/>
  <c r="O176" i="30"/>
  <c r="N176" i="30"/>
  <c r="M176" i="30"/>
  <c r="L176" i="30"/>
  <c r="X175" i="30"/>
  <c r="V175" i="30"/>
  <c r="U175" i="30"/>
  <c r="T175" i="30"/>
  <c r="O175" i="30"/>
  <c r="N175" i="30"/>
  <c r="M175" i="30"/>
  <c r="L175" i="30"/>
  <c r="X174" i="30"/>
  <c r="V174" i="30"/>
  <c r="U174" i="30"/>
  <c r="T174" i="30"/>
  <c r="O174" i="30"/>
  <c r="N174" i="30"/>
  <c r="M174" i="30"/>
  <c r="L174" i="30"/>
  <c r="X173" i="30"/>
  <c r="V173" i="30"/>
  <c r="U173" i="30"/>
  <c r="T173" i="30"/>
  <c r="O173" i="30"/>
  <c r="N173" i="30"/>
  <c r="M173" i="30"/>
  <c r="L173" i="30"/>
  <c r="X172" i="30"/>
  <c r="V172" i="30"/>
  <c r="U172" i="30"/>
  <c r="T172" i="30"/>
  <c r="O172" i="30"/>
  <c r="N172" i="30"/>
  <c r="M172" i="30"/>
  <c r="L172" i="30"/>
  <c r="X157" i="30"/>
  <c r="V157" i="30"/>
  <c r="U157" i="30"/>
  <c r="T157" i="30"/>
  <c r="O157" i="30"/>
  <c r="N157" i="30"/>
  <c r="M157" i="30"/>
  <c r="L157" i="30"/>
  <c r="X156" i="30"/>
  <c r="V156" i="30"/>
  <c r="U156" i="30"/>
  <c r="T156" i="30"/>
  <c r="O156" i="30"/>
  <c r="N156" i="30"/>
  <c r="M156" i="30"/>
  <c r="L156" i="30"/>
  <c r="X155" i="30"/>
  <c r="V155" i="30"/>
  <c r="U155" i="30"/>
  <c r="T155" i="30"/>
  <c r="O155" i="30"/>
  <c r="N155" i="30"/>
  <c r="M155" i="30"/>
  <c r="L155" i="30"/>
  <c r="X127" i="30"/>
  <c r="V127" i="30"/>
  <c r="U127" i="30"/>
  <c r="T127" i="30"/>
  <c r="O127" i="30"/>
  <c r="N127" i="30"/>
  <c r="M127" i="30"/>
  <c r="L127" i="30"/>
  <c r="X126" i="30"/>
  <c r="V126" i="30"/>
  <c r="U126" i="30"/>
  <c r="T126" i="30"/>
  <c r="O126" i="30"/>
  <c r="N126" i="30"/>
  <c r="M126" i="30"/>
  <c r="L126" i="30"/>
  <c r="X125" i="30"/>
  <c r="V125" i="30"/>
  <c r="U125" i="30"/>
  <c r="T125" i="30"/>
  <c r="O125" i="30"/>
  <c r="N125" i="30"/>
  <c r="M125" i="30"/>
  <c r="L125" i="30"/>
  <c r="X124" i="30"/>
  <c r="V124" i="30"/>
  <c r="U124" i="30"/>
  <c r="T124" i="30"/>
  <c r="O124" i="30"/>
  <c r="N124" i="30"/>
  <c r="M124" i="30"/>
  <c r="L124" i="30"/>
  <c r="X123" i="30"/>
  <c r="V123" i="30"/>
  <c r="U123" i="30"/>
  <c r="T123" i="30"/>
  <c r="O123" i="30"/>
  <c r="N123" i="30"/>
  <c r="M123" i="30"/>
  <c r="L123" i="30"/>
  <c r="X122" i="30"/>
  <c r="V122" i="30"/>
  <c r="U122" i="30"/>
  <c r="T122" i="30"/>
  <c r="O122" i="30"/>
  <c r="N122" i="30"/>
  <c r="M122" i="30"/>
  <c r="L122" i="30"/>
  <c r="X121" i="30"/>
  <c r="V121" i="30"/>
  <c r="U121" i="30"/>
  <c r="T121" i="30"/>
  <c r="O121" i="30"/>
  <c r="N121" i="30"/>
  <c r="M121" i="30"/>
  <c r="L121" i="30"/>
  <c r="X120" i="30"/>
  <c r="V120" i="30"/>
  <c r="U120" i="30"/>
  <c r="T120" i="30"/>
  <c r="O120" i="30"/>
  <c r="N120" i="30"/>
  <c r="M120" i="30"/>
  <c r="L120" i="30"/>
  <c r="X119" i="30"/>
  <c r="V119" i="30"/>
  <c r="U119" i="30"/>
  <c r="T119" i="30"/>
  <c r="O119" i="30"/>
  <c r="N119" i="30"/>
  <c r="M119" i="30"/>
  <c r="L119" i="30"/>
  <c r="X346" i="30" l="1"/>
  <c r="V346" i="30"/>
  <c r="U346" i="30"/>
  <c r="T346" i="30"/>
  <c r="O346" i="30"/>
  <c r="N346" i="30"/>
  <c r="M346" i="30"/>
  <c r="L346" i="30"/>
  <c r="X2" i="30"/>
  <c r="X3" i="30"/>
  <c r="X4" i="30"/>
  <c r="X5" i="30"/>
  <c r="X6" i="30"/>
  <c r="X7" i="30"/>
  <c r="X8" i="30"/>
  <c r="X9" i="30"/>
  <c r="X10" i="30"/>
  <c r="X11" i="30"/>
  <c r="X12" i="30"/>
  <c r="X13" i="30"/>
  <c r="X14" i="30"/>
  <c r="X15" i="30"/>
  <c r="X16" i="30"/>
  <c r="X17" i="30"/>
  <c r="X18" i="30"/>
  <c r="X19" i="30"/>
  <c r="X20" i="30"/>
  <c r="X21" i="30"/>
  <c r="X22" i="30"/>
  <c r="X23" i="30"/>
  <c r="X24" i="30"/>
  <c r="X25" i="30"/>
  <c r="X26" i="30"/>
  <c r="X27" i="30"/>
  <c r="X28" i="30"/>
  <c r="X29" i="30"/>
  <c r="X30" i="30"/>
  <c r="X31" i="30"/>
  <c r="X32" i="30"/>
  <c r="X33" i="30"/>
  <c r="X34" i="30"/>
  <c r="X35" i="30"/>
  <c r="X36" i="30"/>
  <c r="X37" i="30"/>
  <c r="X38" i="30"/>
  <c r="X39" i="30"/>
  <c r="X40" i="30"/>
  <c r="X41" i="30"/>
  <c r="X42" i="30"/>
  <c r="X43" i="30"/>
  <c r="X44" i="30"/>
  <c r="X45" i="30"/>
  <c r="X46" i="30"/>
  <c r="X47" i="30"/>
  <c r="X48" i="30"/>
  <c r="X49" i="30"/>
  <c r="X50" i="30"/>
  <c r="X51" i="30"/>
  <c r="X52" i="30"/>
  <c r="X53" i="30"/>
  <c r="X54" i="30"/>
  <c r="X55" i="30"/>
  <c r="X56" i="30"/>
  <c r="X57" i="30"/>
  <c r="X58" i="30"/>
  <c r="X59" i="30"/>
  <c r="X60" i="30"/>
  <c r="X61" i="30"/>
  <c r="X62" i="30"/>
  <c r="X90" i="30"/>
  <c r="X91" i="30"/>
  <c r="X92" i="30"/>
  <c r="X93" i="30"/>
  <c r="X94" i="30"/>
  <c r="X95" i="30"/>
  <c r="X96" i="30"/>
  <c r="X97" i="30"/>
  <c r="X98" i="30"/>
  <c r="X99" i="30"/>
  <c r="X100" i="30"/>
  <c r="X101" i="30"/>
  <c r="X102" i="30"/>
  <c r="X103" i="30"/>
  <c r="X104" i="30"/>
  <c r="X105" i="30"/>
  <c r="X106" i="30"/>
  <c r="X112" i="30"/>
  <c r="X113" i="30"/>
  <c r="X116" i="30"/>
  <c r="X117" i="30"/>
  <c r="X118" i="30"/>
  <c r="X134" i="30"/>
  <c r="X135" i="30"/>
  <c r="X136" i="30"/>
  <c r="X137" i="30"/>
  <c r="X138" i="30"/>
  <c r="X139" i="30"/>
  <c r="X140" i="30"/>
  <c r="X141" i="30"/>
  <c r="X142" i="30"/>
  <c r="X143" i="30"/>
  <c r="X144" i="30"/>
  <c r="X145" i="30"/>
  <c r="X146" i="30"/>
  <c r="X147" i="30"/>
  <c r="X148" i="30"/>
  <c r="X149" i="30"/>
  <c r="X150" i="30"/>
  <c r="X151" i="30"/>
  <c r="X152" i="30"/>
  <c r="X153" i="30"/>
  <c r="X154" i="30"/>
  <c r="X158" i="30"/>
  <c r="X159" i="30"/>
  <c r="X160" i="30"/>
  <c r="X161" i="30"/>
  <c r="X162" i="30"/>
  <c r="X163" i="30"/>
  <c r="X164" i="30"/>
  <c r="X165" i="30"/>
  <c r="X166" i="30"/>
  <c r="X167" i="30"/>
  <c r="X168" i="30"/>
  <c r="X169" i="30"/>
  <c r="X170" i="30"/>
  <c r="X179" i="30"/>
  <c r="X180" i="30"/>
  <c r="X181" i="30"/>
  <c r="X182" i="30"/>
  <c r="X183" i="30"/>
  <c r="X184" i="30"/>
  <c r="X185" i="30"/>
  <c r="X186" i="30"/>
  <c r="X187" i="30"/>
  <c r="X188" i="30"/>
  <c r="X189" i="30"/>
  <c r="X190" i="30"/>
  <c r="X191" i="30"/>
  <c r="X192" i="30"/>
  <c r="X193" i="30"/>
  <c r="X194" i="30"/>
  <c r="X195" i="30"/>
  <c r="X196" i="30"/>
  <c r="X197" i="30"/>
  <c r="X198" i="30"/>
  <c r="X199" i="30"/>
  <c r="X200" i="30"/>
  <c r="X201" i="30"/>
  <c r="X202" i="30"/>
  <c r="X203" i="30"/>
  <c r="X204" i="30"/>
  <c r="X205" i="30"/>
  <c r="X206" i="30"/>
  <c r="X207" i="30"/>
  <c r="X208" i="30"/>
  <c r="X209" i="30"/>
  <c r="X210" i="30"/>
  <c r="X211" i="30"/>
  <c r="X212" i="30"/>
  <c r="X213" i="30"/>
  <c r="X214" i="30"/>
  <c r="X215" i="30"/>
  <c r="X216" i="30"/>
  <c r="X217" i="30"/>
  <c r="X218" i="30"/>
  <c r="X219" i="30"/>
  <c r="X220" i="30"/>
  <c r="X221" i="30"/>
  <c r="X222" i="30"/>
  <c r="X223" i="30"/>
  <c r="X224" i="30"/>
  <c r="X225" i="30"/>
  <c r="X227" i="30"/>
  <c r="X228" i="30"/>
  <c r="X229" i="30"/>
  <c r="X230" i="30"/>
  <c r="X231" i="30"/>
  <c r="X232" i="30"/>
  <c r="X233" i="30"/>
  <c r="X234" i="30"/>
  <c r="X235" i="30"/>
  <c r="X236" i="30"/>
  <c r="X237" i="30"/>
  <c r="X238" i="30"/>
  <c r="X239" i="30"/>
  <c r="X240" i="30"/>
  <c r="X241" i="30"/>
  <c r="X242" i="30"/>
  <c r="X243" i="30"/>
  <c r="X244" i="30"/>
  <c r="X245" i="30"/>
  <c r="X246" i="30"/>
  <c r="X247" i="30"/>
  <c r="X248" i="30"/>
  <c r="X249" i="30"/>
  <c r="X250" i="30"/>
  <c r="X251" i="30"/>
  <c r="X252" i="30"/>
  <c r="X253" i="30"/>
  <c r="X254" i="30"/>
  <c r="X255" i="30"/>
  <c r="X256" i="30"/>
  <c r="X257" i="30"/>
  <c r="X258" i="30"/>
  <c r="X259" i="30"/>
  <c r="X260" i="30"/>
  <c r="X261" i="30"/>
  <c r="X262" i="30"/>
  <c r="X263" i="30"/>
  <c r="X264" i="30"/>
  <c r="X265" i="30"/>
  <c r="X266" i="30"/>
  <c r="X267" i="30"/>
  <c r="X268" i="30"/>
  <c r="X269" i="30"/>
  <c r="X270" i="30"/>
  <c r="X271" i="30"/>
  <c r="X272" i="30"/>
  <c r="X273" i="30"/>
  <c r="X274" i="30"/>
  <c r="X275" i="30"/>
  <c r="X276" i="30"/>
  <c r="X277" i="30"/>
  <c r="X278" i="30"/>
  <c r="X279" i="30"/>
  <c r="X280" i="30"/>
  <c r="X281" i="30"/>
  <c r="X282" i="30"/>
  <c r="X283" i="30"/>
  <c r="X284" i="30"/>
  <c r="X285" i="30"/>
  <c r="X286" i="30"/>
  <c r="X287" i="30"/>
  <c r="X288" i="30"/>
  <c r="X289" i="30"/>
  <c r="X290" i="30"/>
  <c r="X291" i="30"/>
  <c r="X292" i="30"/>
  <c r="X293" i="30"/>
  <c r="X294" i="30"/>
  <c r="X295" i="30"/>
  <c r="X296" i="30"/>
  <c r="X297" i="30"/>
  <c r="X298" i="30"/>
  <c r="X299" i="30"/>
  <c r="X300" i="30"/>
  <c r="X301" i="30"/>
  <c r="X302" i="30"/>
  <c r="X303" i="30"/>
  <c r="X304" i="30"/>
  <c r="X305" i="30"/>
  <c r="X306" i="30"/>
  <c r="X307" i="30"/>
  <c r="X308" i="30"/>
  <c r="X309" i="30"/>
  <c r="X310" i="30"/>
  <c r="X311" i="30"/>
  <c r="X312" i="30"/>
  <c r="X313" i="30"/>
  <c r="X314" i="30"/>
  <c r="X315" i="30"/>
  <c r="X316" i="30"/>
  <c r="X317" i="30"/>
  <c r="X318" i="30"/>
  <c r="X319" i="30"/>
  <c r="X320" i="30"/>
  <c r="X321" i="30"/>
  <c r="X322" i="30"/>
  <c r="X323" i="30"/>
  <c r="X324" i="30"/>
  <c r="X325" i="30"/>
  <c r="X326" i="30"/>
  <c r="X327" i="30"/>
  <c r="X328" i="30"/>
  <c r="X329" i="30"/>
  <c r="X330" i="30"/>
  <c r="X331" i="30"/>
  <c r="X332" i="30"/>
  <c r="X333" i="30"/>
  <c r="X334" i="30"/>
  <c r="X335" i="30"/>
  <c r="X336" i="30"/>
  <c r="X337" i="30"/>
  <c r="X338" i="30"/>
  <c r="X339" i="30"/>
  <c r="X340" i="30"/>
  <c r="X341" i="30"/>
  <c r="X342" i="30"/>
  <c r="X343" i="30"/>
  <c r="X344" i="30"/>
  <c r="X345" i="30"/>
  <c r="X347" i="30"/>
  <c r="X348" i="30"/>
  <c r="X349" i="30"/>
  <c r="X350" i="30"/>
  <c r="X351" i="30"/>
  <c r="X352" i="30"/>
  <c r="B26" i="13"/>
  <c r="B25" i="13"/>
  <c r="Q346" i="30"/>
  <c r="V37" i="30" l="1"/>
  <c r="U37" i="30"/>
  <c r="T37" i="30"/>
  <c r="O37" i="30"/>
  <c r="N37" i="30"/>
  <c r="M37" i="30"/>
  <c r="L37" i="30"/>
  <c r="V348" i="30"/>
  <c r="U348" i="30"/>
  <c r="T348" i="30"/>
  <c r="O348" i="30"/>
  <c r="N348" i="30"/>
  <c r="M348" i="30"/>
  <c r="L348" i="30"/>
  <c r="V353" i="30"/>
  <c r="U353" i="30"/>
  <c r="T353" i="30"/>
  <c r="O353" i="30"/>
  <c r="N353" i="30"/>
  <c r="M353" i="30"/>
  <c r="L353" i="30"/>
  <c r="Q348" i="30"/>
  <c r="Q353" i="30"/>
  <c r="V352" i="30" l="1"/>
  <c r="U352" i="30"/>
  <c r="T352" i="30"/>
  <c r="O352" i="30"/>
  <c r="N352" i="30"/>
  <c r="M352" i="30"/>
  <c r="L352" i="30"/>
  <c r="V351" i="30"/>
  <c r="U351" i="30"/>
  <c r="T351" i="30"/>
  <c r="O351" i="30"/>
  <c r="N351" i="30"/>
  <c r="M351" i="30"/>
  <c r="L351" i="30"/>
  <c r="V350" i="30"/>
  <c r="U350" i="30"/>
  <c r="T350" i="30"/>
  <c r="O350" i="30"/>
  <c r="N350" i="30"/>
  <c r="M350" i="30"/>
  <c r="L350" i="30"/>
  <c r="V349" i="30"/>
  <c r="U349" i="30"/>
  <c r="T349" i="30"/>
  <c r="O349" i="30"/>
  <c r="N349" i="30"/>
  <c r="M349" i="30"/>
  <c r="L349" i="30"/>
  <c r="V347" i="30"/>
  <c r="U347" i="30"/>
  <c r="T347" i="30"/>
  <c r="O347" i="30"/>
  <c r="N347" i="30"/>
  <c r="M347" i="30"/>
  <c r="L347" i="30"/>
  <c r="V345" i="30"/>
  <c r="U345" i="30"/>
  <c r="T345" i="30"/>
  <c r="O345" i="30"/>
  <c r="N345" i="30"/>
  <c r="M345" i="30"/>
  <c r="L345" i="30"/>
  <c r="Q345" i="30"/>
  <c r="Q351" i="30"/>
  <c r="Q352" i="30"/>
  <c r="Q350" i="30"/>
  <c r="Q349" i="30"/>
  <c r="Q347" i="30"/>
  <c r="V222" i="30" l="1"/>
  <c r="U222" i="30"/>
  <c r="T222" i="30"/>
  <c r="O222" i="30"/>
  <c r="N222" i="30"/>
  <c r="M222" i="30"/>
  <c r="L222" i="30"/>
  <c r="V53" i="30"/>
  <c r="U53" i="30"/>
  <c r="T53" i="30"/>
  <c r="O53" i="30"/>
  <c r="N53" i="30"/>
  <c r="M53" i="30"/>
  <c r="L53" i="30"/>
  <c r="V52" i="30"/>
  <c r="U52" i="30"/>
  <c r="T52" i="30"/>
  <c r="O52" i="30"/>
  <c r="N52" i="30"/>
  <c r="M52" i="30"/>
  <c r="L52" i="30"/>
  <c r="V62" i="30"/>
  <c r="U62" i="30"/>
  <c r="T62" i="30"/>
  <c r="O62" i="30"/>
  <c r="N62" i="30"/>
  <c r="M62" i="30"/>
  <c r="L62" i="30"/>
  <c r="V61" i="30"/>
  <c r="U61" i="30"/>
  <c r="T61" i="30"/>
  <c r="O61" i="30"/>
  <c r="N61" i="30"/>
  <c r="M61" i="30"/>
  <c r="L61" i="30"/>
  <c r="V60" i="30"/>
  <c r="U60" i="30"/>
  <c r="T60" i="30"/>
  <c r="O60" i="30"/>
  <c r="N60" i="30"/>
  <c r="M60" i="30"/>
  <c r="L60" i="30"/>
  <c r="V59" i="30"/>
  <c r="U59" i="30"/>
  <c r="T59" i="30"/>
  <c r="O59" i="30"/>
  <c r="N59" i="30"/>
  <c r="M59" i="30"/>
  <c r="L59" i="30"/>
  <c r="V58" i="30"/>
  <c r="U58" i="30"/>
  <c r="T58" i="30"/>
  <c r="O58" i="30"/>
  <c r="N58" i="30"/>
  <c r="M58" i="30"/>
  <c r="L58" i="30"/>
  <c r="V57" i="30"/>
  <c r="U57" i="30"/>
  <c r="T57" i="30"/>
  <c r="O57" i="30"/>
  <c r="N57" i="30"/>
  <c r="M57" i="30"/>
  <c r="L57" i="30"/>
  <c r="V56" i="30"/>
  <c r="U56" i="30"/>
  <c r="T56" i="30"/>
  <c r="O56" i="30"/>
  <c r="N56" i="30"/>
  <c r="M56" i="30"/>
  <c r="L56" i="30"/>
  <c r="V55" i="30"/>
  <c r="U55" i="30"/>
  <c r="T55" i="30"/>
  <c r="O55" i="30"/>
  <c r="N55" i="30"/>
  <c r="M55" i="30"/>
  <c r="L55" i="30"/>
  <c r="V54" i="30"/>
  <c r="U54" i="30"/>
  <c r="T54" i="30"/>
  <c r="O54" i="30"/>
  <c r="N54" i="30"/>
  <c r="M54" i="30"/>
  <c r="L54" i="30"/>
  <c r="V51" i="30"/>
  <c r="U51" i="30"/>
  <c r="T51" i="30"/>
  <c r="O51" i="30"/>
  <c r="N51" i="30"/>
  <c r="M51" i="30"/>
  <c r="L51" i="30"/>
  <c r="V50" i="30"/>
  <c r="U50" i="30"/>
  <c r="T50" i="30"/>
  <c r="O50" i="30"/>
  <c r="N50" i="30"/>
  <c r="M50" i="30"/>
  <c r="L50" i="30"/>
  <c r="V49" i="30"/>
  <c r="U49" i="30"/>
  <c r="T49" i="30"/>
  <c r="O49" i="30"/>
  <c r="N49" i="30"/>
  <c r="M49" i="30"/>
  <c r="L49" i="30"/>
  <c r="V48" i="30"/>
  <c r="U48" i="30"/>
  <c r="T48" i="30"/>
  <c r="O48" i="30"/>
  <c r="N48" i="30"/>
  <c r="M48" i="30"/>
  <c r="L48" i="30"/>
  <c r="V47" i="30"/>
  <c r="U47" i="30"/>
  <c r="T47" i="30"/>
  <c r="O47" i="30"/>
  <c r="N47" i="30"/>
  <c r="M47" i="30"/>
  <c r="L47" i="30"/>
  <c r="V46" i="30"/>
  <c r="U46" i="30"/>
  <c r="T46" i="30"/>
  <c r="O46" i="30"/>
  <c r="N46" i="30"/>
  <c r="M46" i="30"/>
  <c r="L46" i="30"/>
  <c r="V45" i="30"/>
  <c r="U45" i="30"/>
  <c r="T45" i="30"/>
  <c r="O45" i="30"/>
  <c r="N45" i="30"/>
  <c r="M45" i="30"/>
  <c r="L45" i="30"/>
  <c r="V44" i="30"/>
  <c r="U44" i="30"/>
  <c r="T44" i="30"/>
  <c r="O44" i="30"/>
  <c r="N44" i="30"/>
  <c r="M44" i="30"/>
  <c r="L44" i="30"/>
  <c r="V43" i="30"/>
  <c r="U43" i="30"/>
  <c r="T43" i="30"/>
  <c r="O43" i="30"/>
  <c r="N43" i="30"/>
  <c r="M43" i="30"/>
  <c r="L43" i="30"/>
  <c r="V42" i="30"/>
  <c r="U42" i="30"/>
  <c r="T42" i="30"/>
  <c r="O42" i="30"/>
  <c r="N42" i="30"/>
  <c r="M42" i="30"/>
  <c r="L42" i="30"/>
  <c r="V41" i="30"/>
  <c r="U41" i="30"/>
  <c r="T41" i="30"/>
  <c r="O41" i="30"/>
  <c r="N41" i="30"/>
  <c r="M41" i="30"/>
  <c r="L41" i="30"/>
  <c r="V40" i="30"/>
  <c r="U40" i="30"/>
  <c r="T40" i="30"/>
  <c r="O40" i="30"/>
  <c r="N40" i="30"/>
  <c r="M40" i="30"/>
  <c r="L40" i="30"/>
  <c r="V39" i="30"/>
  <c r="U39" i="30"/>
  <c r="T39" i="30"/>
  <c r="O39" i="30"/>
  <c r="N39" i="30"/>
  <c r="M39" i="30"/>
  <c r="L39" i="30"/>
  <c r="V38" i="30"/>
  <c r="U38" i="30"/>
  <c r="T38" i="30"/>
  <c r="O38" i="30"/>
  <c r="N38" i="30"/>
  <c r="M38" i="30"/>
  <c r="L38" i="30"/>
  <c r="V290" i="30"/>
  <c r="U290" i="30"/>
  <c r="T290" i="30"/>
  <c r="O290" i="30"/>
  <c r="N290" i="30"/>
  <c r="M290" i="30"/>
  <c r="L290" i="30"/>
  <c r="V289" i="30"/>
  <c r="U289" i="30"/>
  <c r="T289" i="30"/>
  <c r="O289" i="30"/>
  <c r="N289" i="30"/>
  <c r="M289" i="30"/>
  <c r="L289" i="30"/>
  <c r="V288" i="30"/>
  <c r="U288" i="30"/>
  <c r="T288" i="30"/>
  <c r="O288" i="30"/>
  <c r="N288" i="30"/>
  <c r="M288" i="30"/>
  <c r="L288" i="30"/>
  <c r="V287" i="30"/>
  <c r="U287" i="30"/>
  <c r="T287" i="30"/>
  <c r="O287" i="30"/>
  <c r="N287" i="30"/>
  <c r="M287" i="30"/>
  <c r="L287" i="30"/>
  <c r="V286" i="30"/>
  <c r="U286" i="30"/>
  <c r="T286" i="30"/>
  <c r="O286" i="30"/>
  <c r="N286" i="30"/>
  <c r="M286" i="30"/>
  <c r="L286" i="30"/>
  <c r="V285" i="30"/>
  <c r="U285" i="30"/>
  <c r="T285" i="30"/>
  <c r="O285" i="30"/>
  <c r="N285" i="30"/>
  <c r="M285" i="30"/>
  <c r="L285" i="30"/>
  <c r="V284" i="30"/>
  <c r="U284" i="30"/>
  <c r="T284" i="30"/>
  <c r="O284" i="30"/>
  <c r="N284" i="30"/>
  <c r="M284" i="30"/>
  <c r="L284" i="30"/>
  <c r="V229" i="30"/>
  <c r="U229" i="30"/>
  <c r="T229" i="30"/>
  <c r="O229" i="30"/>
  <c r="N229" i="30"/>
  <c r="M229" i="30"/>
  <c r="L229" i="30"/>
  <c r="V228" i="30"/>
  <c r="U228" i="30"/>
  <c r="T228" i="30"/>
  <c r="O228" i="30"/>
  <c r="N228" i="30"/>
  <c r="M228" i="30"/>
  <c r="L228" i="30"/>
  <c r="V227" i="30"/>
  <c r="U227" i="30"/>
  <c r="T227" i="30"/>
  <c r="O227" i="30"/>
  <c r="N227" i="30"/>
  <c r="M227" i="30"/>
  <c r="L227" i="30"/>
  <c r="V225" i="30"/>
  <c r="U225" i="30"/>
  <c r="T225" i="30"/>
  <c r="O225" i="30"/>
  <c r="N225" i="30"/>
  <c r="M225" i="30"/>
  <c r="L225" i="30"/>
  <c r="V224" i="30"/>
  <c r="U224" i="30"/>
  <c r="T224" i="30"/>
  <c r="O224" i="30"/>
  <c r="N224" i="30"/>
  <c r="M224" i="30"/>
  <c r="L224" i="30"/>
  <c r="V223" i="30"/>
  <c r="U223" i="30"/>
  <c r="T223" i="30"/>
  <c r="O223" i="30"/>
  <c r="N223" i="30"/>
  <c r="M223" i="30"/>
  <c r="L223" i="30"/>
  <c r="M17" i="28" l="1"/>
  <c r="M18" i="28"/>
  <c r="M19" i="28"/>
  <c r="M20" i="28"/>
  <c r="M21" i="28"/>
  <c r="M22" i="28"/>
  <c r="M23" i="28"/>
  <c r="M24" i="28"/>
  <c r="M25" i="28"/>
  <c r="M26" i="28"/>
  <c r="M27" i="28"/>
  <c r="M28" i="28"/>
  <c r="M29" i="28"/>
  <c r="M30" i="28"/>
  <c r="M31" i="28"/>
  <c r="M16" i="28"/>
  <c r="B21" i="13"/>
  <c r="B20" i="13"/>
  <c r="V329" i="30" l="1"/>
  <c r="U329" i="30"/>
  <c r="T329" i="30"/>
  <c r="O329" i="30"/>
  <c r="N329" i="30"/>
  <c r="M329" i="30"/>
  <c r="L329" i="30"/>
  <c r="V328" i="30"/>
  <c r="U328" i="30"/>
  <c r="T328" i="30"/>
  <c r="O328" i="30"/>
  <c r="N328" i="30"/>
  <c r="M328" i="30"/>
  <c r="L328" i="30"/>
  <c r="Q328" i="30"/>
  <c r="Q325" i="30"/>
  <c r="Q331" i="30"/>
  <c r="Q322" i="30"/>
  <c r="Q330" i="30"/>
  <c r="Q326" i="30"/>
  <c r="Q332" i="30"/>
  <c r="Q329" i="30"/>
  <c r="Q323" i="30"/>
  <c r="Q320" i="30"/>
  <c r="Q321" i="30"/>
  <c r="Q324" i="30"/>
  <c r="Q327" i="30"/>
  <c r="O2" i="30" l="1"/>
  <c r="O3" i="30"/>
  <c r="O4" i="30"/>
  <c r="O5" i="30"/>
  <c r="O6" i="30"/>
  <c r="O7" i="30"/>
  <c r="O8" i="30"/>
  <c r="O9" i="30"/>
  <c r="O10" i="30"/>
  <c r="O11" i="30"/>
  <c r="O12" i="30"/>
  <c r="O13" i="30"/>
  <c r="O14" i="30"/>
  <c r="O15" i="30"/>
  <c r="O16" i="30"/>
  <c r="O17" i="30"/>
  <c r="O18" i="30"/>
  <c r="O19" i="30"/>
  <c r="O20" i="30"/>
  <c r="O21" i="30"/>
  <c r="O22" i="30"/>
  <c r="O23" i="30"/>
  <c r="O24" i="30"/>
  <c r="O25" i="30"/>
  <c r="O26" i="30"/>
  <c r="O27" i="30"/>
  <c r="O28" i="30"/>
  <c r="O29" i="30"/>
  <c r="O30" i="30"/>
  <c r="O31" i="30"/>
  <c r="O32" i="30"/>
  <c r="O33" i="30"/>
  <c r="O34" i="30"/>
  <c r="O35" i="30"/>
  <c r="O36" i="30"/>
  <c r="O90" i="30"/>
  <c r="O91" i="30"/>
  <c r="O92" i="30"/>
  <c r="O93" i="30"/>
  <c r="O94" i="30"/>
  <c r="O95" i="30"/>
  <c r="O96" i="30"/>
  <c r="O97" i="30"/>
  <c r="O98" i="30"/>
  <c r="O99" i="30"/>
  <c r="O100" i="30"/>
  <c r="O101" i="30"/>
  <c r="O102" i="30"/>
  <c r="O103" i="30"/>
  <c r="O104" i="30"/>
  <c r="O105" i="30"/>
  <c r="O106" i="30"/>
  <c r="O112" i="30"/>
  <c r="O113" i="30"/>
  <c r="O116" i="30"/>
  <c r="O117" i="30"/>
  <c r="O118" i="30"/>
  <c r="O134" i="30"/>
  <c r="O135" i="30"/>
  <c r="O136" i="30"/>
  <c r="O137" i="30"/>
  <c r="O138" i="30"/>
  <c r="O139" i="30"/>
  <c r="O140" i="30"/>
  <c r="O141" i="30"/>
  <c r="O142" i="30"/>
  <c r="O143" i="30"/>
  <c r="O144" i="30"/>
  <c r="O145" i="30"/>
  <c r="O146" i="30"/>
  <c r="O147" i="30"/>
  <c r="O148" i="30"/>
  <c r="O149" i="30"/>
  <c r="O150" i="30"/>
  <c r="O151" i="30"/>
  <c r="O152" i="30"/>
  <c r="O153" i="30"/>
  <c r="O154" i="30"/>
  <c r="O158" i="30"/>
  <c r="O159" i="30"/>
  <c r="O160" i="30"/>
  <c r="O161" i="30"/>
  <c r="O162" i="30"/>
  <c r="O163" i="30"/>
  <c r="O164" i="30"/>
  <c r="O165" i="30"/>
  <c r="O166" i="30"/>
  <c r="O167" i="30"/>
  <c r="O168" i="30"/>
  <c r="O169" i="30"/>
  <c r="O170" i="30"/>
  <c r="O179" i="30"/>
  <c r="O180" i="30"/>
  <c r="O181" i="30"/>
  <c r="O182" i="30"/>
  <c r="O183" i="30"/>
  <c r="O184" i="30"/>
  <c r="O185" i="30"/>
  <c r="O186" i="30"/>
  <c r="O187" i="30"/>
  <c r="O188" i="30"/>
  <c r="O189" i="30"/>
  <c r="O190" i="30"/>
  <c r="O191" i="30"/>
  <c r="O192" i="30"/>
  <c r="O193" i="30"/>
  <c r="O194" i="30"/>
  <c r="O195" i="30"/>
  <c r="O196" i="30"/>
  <c r="O197" i="30"/>
  <c r="O198" i="30"/>
  <c r="O199" i="30"/>
  <c r="O200" i="30"/>
  <c r="O201" i="30"/>
  <c r="O202" i="30"/>
  <c r="O203" i="30"/>
  <c r="O204" i="30"/>
  <c r="O205" i="30"/>
  <c r="O206" i="30"/>
  <c r="O207" i="30"/>
  <c r="O208" i="30"/>
  <c r="O209" i="30"/>
  <c r="O210" i="30"/>
  <c r="O211" i="30"/>
  <c r="O212" i="30"/>
  <c r="O213" i="30"/>
  <c r="O214" i="30"/>
  <c r="O215" i="30"/>
  <c r="O216" i="30"/>
  <c r="O217" i="30"/>
  <c r="O218" i="30"/>
  <c r="O219" i="30"/>
  <c r="O220" i="30"/>
  <c r="O221" i="30"/>
  <c r="O230" i="30"/>
  <c r="O231" i="30"/>
  <c r="O232" i="30"/>
  <c r="O233" i="30"/>
  <c r="O234" i="30"/>
  <c r="O235" i="30"/>
  <c r="O236" i="30"/>
  <c r="O237" i="30"/>
  <c r="O238" i="30"/>
  <c r="O239" i="30"/>
  <c r="O240" i="30"/>
  <c r="O241" i="30"/>
  <c r="O242" i="30"/>
  <c r="O243" i="30"/>
  <c r="O244" i="30"/>
  <c r="O245" i="30"/>
  <c r="O246" i="30"/>
  <c r="O247" i="30"/>
  <c r="O248" i="30"/>
  <c r="O249" i="30"/>
  <c r="O250" i="30"/>
  <c r="O251" i="30"/>
  <c r="O252" i="30"/>
  <c r="O253" i="30"/>
  <c r="O254" i="30"/>
  <c r="O255" i="30"/>
  <c r="O256" i="30"/>
  <c r="O257" i="30"/>
  <c r="O258" i="30"/>
  <c r="O259" i="30"/>
  <c r="O260" i="30"/>
  <c r="O261" i="30"/>
  <c r="O262" i="30"/>
  <c r="O263" i="30"/>
  <c r="O264" i="30"/>
  <c r="O265" i="30"/>
  <c r="O266" i="30"/>
  <c r="O267" i="30"/>
  <c r="O268" i="30"/>
  <c r="O269" i="30"/>
  <c r="O270" i="30"/>
  <c r="O271" i="30"/>
  <c r="O272" i="30"/>
  <c r="O273" i="30"/>
  <c r="O274" i="30"/>
  <c r="O275" i="30"/>
  <c r="O276" i="30"/>
  <c r="O277" i="30"/>
  <c r="O278" i="30"/>
  <c r="O279" i="30"/>
  <c r="O280" i="30"/>
  <c r="O281" i="30"/>
  <c r="O282" i="30"/>
  <c r="O283" i="30"/>
  <c r="O291" i="30"/>
  <c r="O292" i="30"/>
  <c r="O293" i="30"/>
  <c r="O294" i="30"/>
  <c r="O295" i="30"/>
  <c r="O296" i="30"/>
  <c r="O297" i="30"/>
  <c r="O298" i="30"/>
  <c r="O299" i="30"/>
  <c r="O300" i="30"/>
  <c r="O301" i="30"/>
  <c r="O302" i="30"/>
  <c r="O303" i="30"/>
  <c r="O304" i="30"/>
  <c r="O305" i="30"/>
  <c r="O306" i="30"/>
  <c r="O307" i="30"/>
  <c r="O308" i="30"/>
  <c r="O309" i="30"/>
  <c r="O310" i="30"/>
  <c r="O311" i="30"/>
  <c r="O312" i="30"/>
  <c r="O313" i="30"/>
  <c r="O314" i="30"/>
  <c r="O315" i="30"/>
  <c r="O316" i="30"/>
  <c r="O317" i="30"/>
  <c r="O318" i="30"/>
  <c r="O319" i="30"/>
  <c r="O320" i="30"/>
  <c r="O321" i="30"/>
  <c r="O322" i="30"/>
  <c r="O323" i="30"/>
  <c r="O324" i="30"/>
  <c r="O325" i="30"/>
  <c r="O326" i="30"/>
  <c r="O327" i="30"/>
  <c r="O330" i="30"/>
  <c r="O331" i="30"/>
  <c r="O332" i="30"/>
  <c r="O333" i="30"/>
  <c r="O334" i="30"/>
  <c r="O335" i="30"/>
  <c r="O336" i="30"/>
  <c r="O337" i="30"/>
  <c r="O338" i="30"/>
  <c r="O339" i="30"/>
  <c r="O340" i="30"/>
  <c r="O341" i="30"/>
  <c r="O342" i="30"/>
  <c r="O343" i="30"/>
  <c r="O344" i="30"/>
  <c r="V276" i="30"/>
  <c r="U276" i="30"/>
  <c r="T276" i="30"/>
  <c r="N276" i="30"/>
  <c r="M276" i="30"/>
  <c r="L276" i="30"/>
  <c r="V273" i="30"/>
  <c r="U273" i="30"/>
  <c r="T273" i="30"/>
  <c r="N273" i="30"/>
  <c r="M273" i="30"/>
  <c r="L273" i="30"/>
  <c r="T277" i="30"/>
  <c r="U277" i="30"/>
  <c r="V277" i="30"/>
  <c r="T278" i="30"/>
  <c r="U278" i="30"/>
  <c r="V278" i="30"/>
  <c r="T279" i="30"/>
  <c r="U279" i="30"/>
  <c r="V279" i="30"/>
  <c r="T280" i="30"/>
  <c r="U280" i="30"/>
  <c r="V280" i="30"/>
  <c r="T281" i="30"/>
  <c r="U281" i="30"/>
  <c r="V281" i="30"/>
  <c r="T282" i="30"/>
  <c r="U282" i="30"/>
  <c r="V282" i="30"/>
  <c r="T283" i="30"/>
  <c r="U283" i="30"/>
  <c r="V283" i="30"/>
  <c r="T291" i="30"/>
  <c r="U291" i="30"/>
  <c r="V291" i="30"/>
  <c r="T292" i="30"/>
  <c r="U292" i="30"/>
  <c r="V292" i="30"/>
  <c r="T293" i="30"/>
  <c r="U293" i="30"/>
  <c r="V293" i="30"/>
  <c r="T294" i="30"/>
  <c r="U294" i="30"/>
  <c r="V294" i="30"/>
  <c r="T295" i="30"/>
  <c r="U295" i="30"/>
  <c r="V295" i="30"/>
  <c r="T296" i="30"/>
  <c r="U296" i="30"/>
  <c r="V296" i="30"/>
  <c r="T297" i="30"/>
  <c r="U297" i="30"/>
  <c r="V297" i="30"/>
  <c r="T298" i="30"/>
  <c r="U298" i="30"/>
  <c r="V298" i="30"/>
  <c r="T299" i="30"/>
  <c r="U299" i="30"/>
  <c r="V299" i="30"/>
  <c r="T300" i="30"/>
  <c r="U300" i="30"/>
  <c r="V300" i="30"/>
  <c r="T301" i="30"/>
  <c r="U301" i="30"/>
  <c r="V301" i="30"/>
  <c r="T302" i="30"/>
  <c r="U302" i="30"/>
  <c r="V302" i="30"/>
  <c r="T303" i="30"/>
  <c r="U303" i="30"/>
  <c r="V303" i="30"/>
  <c r="T304" i="30"/>
  <c r="U304" i="30"/>
  <c r="V304" i="30"/>
  <c r="T305" i="30"/>
  <c r="U305" i="30"/>
  <c r="V305" i="30"/>
  <c r="T306" i="30"/>
  <c r="U306" i="30"/>
  <c r="V306" i="30"/>
  <c r="T307" i="30"/>
  <c r="U307" i="30"/>
  <c r="V307" i="30"/>
  <c r="T308" i="30"/>
  <c r="U308" i="30"/>
  <c r="V308" i="30"/>
  <c r="T309" i="30"/>
  <c r="U309" i="30"/>
  <c r="V309" i="30"/>
  <c r="T310" i="30"/>
  <c r="U310" i="30"/>
  <c r="V310" i="30"/>
  <c r="T311" i="30"/>
  <c r="U311" i="30"/>
  <c r="V311" i="30"/>
  <c r="T312" i="30"/>
  <c r="U312" i="30"/>
  <c r="V312" i="30"/>
  <c r="T313" i="30"/>
  <c r="U313" i="30"/>
  <c r="V313" i="30"/>
  <c r="T314" i="30"/>
  <c r="U314" i="30"/>
  <c r="V314" i="30"/>
  <c r="T315" i="30"/>
  <c r="U315" i="30"/>
  <c r="V315" i="30"/>
  <c r="T316" i="30"/>
  <c r="U316" i="30"/>
  <c r="V316" i="30"/>
  <c r="T317" i="30"/>
  <c r="U317" i="30"/>
  <c r="V317" i="30"/>
  <c r="T318" i="30"/>
  <c r="U318" i="30"/>
  <c r="V318" i="30"/>
  <c r="T319" i="30"/>
  <c r="U319" i="30"/>
  <c r="V319" i="30"/>
  <c r="T320" i="30"/>
  <c r="U320" i="30"/>
  <c r="V320" i="30"/>
  <c r="T321" i="30"/>
  <c r="U321" i="30"/>
  <c r="V321" i="30"/>
  <c r="T322" i="30"/>
  <c r="U322" i="30"/>
  <c r="V322" i="30"/>
  <c r="T323" i="30"/>
  <c r="U323" i="30"/>
  <c r="V323" i="30"/>
  <c r="T324" i="30"/>
  <c r="U324" i="30"/>
  <c r="V324" i="30"/>
  <c r="T325" i="30"/>
  <c r="U325" i="30"/>
  <c r="V325" i="30"/>
  <c r="T326" i="30"/>
  <c r="U326" i="30"/>
  <c r="V326" i="30"/>
  <c r="T327" i="30"/>
  <c r="U327" i="30"/>
  <c r="V327" i="30"/>
  <c r="T330" i="30"/>
  <c r="U330" i="30"/>
  <c r="V330" i="30"/>
  <c r="T331" i="30"/>
  <c r="U331" i="30"/>
  <c r="V331" i="30"/>
  <c r="T332" i="30"/>
  <c r="U332" i="30"/>
  <c r="V332" i="30"/>
  <c r="T333" i="30"/>
  <c r="U333" i="30"/>
  <c r="V333" i="30"/>
  <c r="T334" i="30"/>
  <c r="U334" i="30"/>
  <c r="V334" i="30"/>
  <c r="T335" i="30"/>
  <c r="U335" i="30"/>
  <c r="V335" i="30"/>
  <c r="T336" i="30"/>
  <c r="U336" i="30"/>
  <c r="V336" i="30"/>
  <c r="T337" i="30"/>
  <c r="U337" i="30"/>
  <c r="V337" i="30"/>
  <c r="T338" i="30"/>
  <c r="U338" i="30"/>
  <c r="V338" i="30"/>
  <c r="T339" i="30"/>
  <c r="U339" i="30"/>
  <c r="V339" i="30"/>
  <c r="T340" i="30"/>
  <c r="U340" i="30"/>
  <c r="V340" i="30"/>
  <c r="T341" i="30"/>
  <c r="U341" i="30"/>
  <c r="V341" i="30"/>
  <c r="T342" i="30"/>
  <c r="U342" i="30"/>
  <c r="V342" i="30"/>
  <c r="T343" i="30"/>
  <c r="U343" i="30"/>
  <c r="V343" i="30"/>
  <c r="T344" i="30"/>
  <c r="U344" i="30"/>
  <c r="V344" i="30"/>
  <c r="N283" i="30"/>
  <c r="M283" i="30"/>
  <c r="L283" i="30"/>
  <c r="V23" i="30"/>
  <c r="U23" i="30"/>
  <c r="T23" i="30"/>
  <c r="N23" i="30"/>
  <c r="M23" i="30"/>
  <c r="L23" i="30"/>
  <c r="V22" i="30"/>
  <c r="U22" i="30"/>
  <c r="T22" i="30"/>
  <c r="N22" i="30"/>
  <c r="M22" i="30"/>
  <c r="L22" i="30"/>
  <c r="V21" i="30"/>
  <c r="U21" i="30"/>
  <c r="T21" i="30"/>
  <c r="N21" i="30"/>
  <c r="M21" i="30"/>
  <c r="L21" i="30"/>
  <c r="V20" i="30"/>
  <c r="U20" i="30"/>
  <c r="T20" i="30"/>
  <c r="N20" i="30"/>
  <c r="M20" i="30"/>
  <c r="L20" i="30"/>
  <c r="V19" i="30"/>
  <c r="U19" i="30"/>
  <c r="T19" i="30"/>
  <c r="N19" i="30"/>
  <c r="M19" i="30"/>
  <c r="L19" i="30"/>
  <c r="V25" i="30"/>
  <c r="U25" i="30"/>
  <c r="T25" i="30"/>
  <c r="N25" i="30"/>
  <c r="M25" i="30"/>
  <c r="L25" i="30"/>
  <c r="V24" i="30"/>
  <c r="U24" i="30"/>
  <c r="T24" i="30"/>
  <c r="N24" i="30"/>
  <c r="M24" i="30"/>
  <c r="L24" i="30"/>
  <c r="V33" i="30"/>
  <c r="U33" i="30"/>
  <c r="T33" i="30"/>
  <c r="N33" i="30"/>
  <c r="M33" i="30"/>
  <c r="L33" i="30"/>
  <c r="V27" i="30"/>
  <c r="U27" i="30"/>
  <c r="T27" i="30"/>
  <c r="N27" i="30"/>
  <c r="M27" i="30"/>
  <c r="L27" i="30"/>
  <c r="V26" i="30"/>
  <c r="U26" i="30"/>
  <c r="T26" i="30"/>
  <c r="N26" i="30"/>
  <c r="M26" i="30"/>
  <c r="L26" i="30"/>
  <c r="V36" i="30"/>
  <c r="U36" i="30"/>
  <c r="T36" i="30"/>
  <c r="N36" i="30"/>
  <c r="M36" i="30"/>
  <c r="L36" i="30"/>
  <c r="V35" i="30"/>
  <c r="U35" i="30"/>
  <c r="T35" i="30"/>
  <c r="N35" i="30"/>
  <c r="M35" i="30"/>
  <c r="L35" i="30"/>
  <c r="V34" i="30"/>
  <c r="U34" i="30"/>
  <c r="T34" i="30"/>
  <c r="N34" i="30"/>
  <c r="M34" i="30"/>
  <c r="L34" i="30"/>
  <c r="V32" i="30"/>
  <c r="U32" i="30"/>
  <c r="T32" i="30"/>
  <c r="N32" i="30"/>
  <c r="M32" i="30"/>
  <c r="L32" i="30"/>
  <c r="V31" i="30"/>
  <c r="U31" i="30"/>
  <c r="T31" i="30"/>
  <c r="N31" i="30"/>
  <c r="M31" i="30"/>
  <c r="L31" i="30"/>
  <c r="V30" i="30"/>
  <c r="U30" i="30"/>
  <c r="T30" i="30"/>
  <c r="N30" i="30"/>
  <c r="M30" i="30"/>
  <c r="L30" i="30"/>
  <c r="V29" i="30"/>
  <c r="U29" i="30"/>
  <c r="T29" i="30"/>
  <c r="N29" i="30"/>
  <c r="M29" i="30"/>
  <c r="L29" i="30"/>
  <c r="V28" i="30"/>
  <c r="U28" i="30"/>
  <c r="T28" i="30"/>
  <c r="N28" i="30"/>
  <c r="M28" i="30"/>
  <c r="L28" i="30"/>
  <c r="V18" i="30"/>
  <c r="U18" i="30"/>
  <c r="T18" i="30"/>
  <c r="N18" i="30"/>
  <c r="M18" i="30"/>
  <c r="L18" i="30"/>
  <c r="V17" i="30"/>
  <c r="U17" i="30"/>
  <c r="T17" i="30"/>
  <c r="N17" i="30"/>
  <c r="M17" i="30"/>
  <c r="L17" i="30"/>
  <c r="V16" i="30" l="1"/>
  <c r="U16" i="30"/>
  <c r="T16" i="30"/>
  <c r="N16" i="30"/>
  <c r="M16" i="30"/>
  <c r="L16" i="30"/>
  <c r="V15" i="30"/>
  <c r="U15" i="30"/>
  <c r="T15" i="30"/>
  <c r="N15" i="30"/>
  <c r="M15" i="30"/>
  <c r="L15" i="30"/>
  <c r="V14" i="30"/>
  <c r="U14" i="30"/>
  <c r="T14" i="30"/>
  <c r="N14" i="30"/>
  <c r="M14" i="30"/>
  <c r="L14" i="30"/>
  <c r="T2" i="30"/>
  <c r="U2" i="30"/>
  <c r="V2" i="30"/>
  <c r="T3" i="30"/>
  <c r="U3" i="30"/>
  <c r="V3" i="30"/>
  <c r="T4" i="30"/>
  <c r="U4" i="30"/>
  <c r="V4" i="30"/>
  <c r="T5" i="30"/>
  <c r="U5" i="30"/>
  <c r="V5" i="30"/>
  <c r="T6" i="30"/>
  <c r="U6" i="30"/>
  <c r="V6" i="30"/>
  <c r="T7" i="30"/>
  <c r="U7" i="30"/>
  <c r="V7" i="30"/>
  <c r="T8" i="30"/>
  <c r="U8" i="30"/>
  <c r="V8" i="30"/>
  <c r="T9" i="30"/>
  <c r="U9" i="30"/>
  <c r="V9" i="30"/>
  <c r="T10" i="30"/>
  <c r="U10" i="30"/>
  <c r="V10" i="30"/>
  <c r="T11" i="30"/>
  <c r="U11" i="30"/>
  <c r="V11" i="30"/>
  <c r="T12" i="30"/>
  <c r="U12" i="30"/>
  <c r="V12" i="30"/>
  <c r="T13" i="30"/>
  <c r="U13" i="30"/>
  <c r="V13" i="30"/>
  <c r="T90" i="30"/>
  <c r="U90" i="30"/>
  <c r="V90" i="30"/>
  <c r="T91" i="30"/>
  <c r="U91" i="30"/>
  <c r="V91" i="30"/>
  <c r="T92" i="30"/>
  <c r="U92" i="30"/>
  <c r="V92" i="30"/>
  <c r="T93" i="30"/>
  <c r="U93" i="30"/>
  <c r="V93" i="30"/>
  <c r="T94" i="30"/>
  <c r="U94" i="30"/>
  <c r="V94" i="30"/>
  <c r="T95" i="30"/>
  <c r="U95" i="30"/>
  <c r="V95" i="30"/>
  <c r="T96" i="30"/>
  <c r="U96" i="30"/>
  <c r="V96" i="30"/>
  <c r="T97" i="30"/>
  <c r="U97" i="30"/>
  <c r="V97" i="30"/>
  <c r="T98" i="30"/>
  <c r="U98" i="30"/>
  <c r="V98" i="30"/>
  <c r="T99" i="30"/>
  <c r="U99" i="30"/>
  <c r="V99" i="30"/>
  <c r="T100" i="30"/>
  <c r="U100" i="30"/>
  <c r="V100" i="30"/>
  <c r="T101" i="30"/>
  <c r="U101" i="30"/>
  <c r="V101" i="30"/>
  <c r="T102" i="30"/>
  <c r="U102" i="30"/>
  <c r="V102" i="30"/>
  <c r="T103" i="30"/>
  <c r="U103" i="30"/>
  <c r="V103" i="30"/>
  <c r="T104" i="30"/>
  <c r="U104" i="30"/>
  <c r="V104" i="30"/>
  <c r="T105" i="30"/>
  <c r="U105" i="30"/>
  <c r="V105" i="30"/>
  <c r="T106" i="30"/>
  <c r="U106" i="30"/>
  <c r="V106" i="30"/>
  <c r="T112" i="30"/>
  <c r="U112" i="30"/>
  <c r="V112" i="30"/>
  <c r="T113" i="30"/>
  <c r="U113" i="30"/>
  <c r="V113" i="30"/>
  <c r="T116" i="30"/>
  <c r="U116" i="30"/>
  <c r="V116" i="30"/>
  <c r="T117" i="30"/>
  <c r="U117" i="30"/>
  <c r="V117" i="30"/>
  <c r="T118" i="30"/>
  <c r="U118" i="30"/>
  <c r="V118" i="30"/>
  <c r="T134" i="30"/>
  <c r="U134" i="30"/>
  <c r="V134" i="30"/>
  <c r="T135" i="30"/>
  <c r="U135" i="30"/>
  <c r="V135" i="30"/>
  <c r="T136" i="30"/>
  <c r="U136" i="30"/>
  <c r="V136" i="30"/>
  <c r="T137" i="30"/>
  <c r="U137" i="30"/>
  <c r="V137" i="30"/>
  <c r="T138" i="30"/>
  <c r="U138" i="30"/>
  <c r="V138" i="30"/>
  <c r="T139" i="30"/>
  <c r="U139" i="30"/>
  <c r="V139" i="30"/>
  <c r="T140" i="30"/>
  <c r="U140" i="30"/>
  <c r="V140" i="30"/>
  <c r="T141" i="30"/>
  <c r="U141" i="30"/>
  <c r="V141" i="30"/>
  <c r="T142" i="30"/>
  <c r="U142" i="30"/>
  <c r="V142" i="30"/>
  <c r="T143" i="30"/>
  <c r="U143" i="30"/>
  <c r="V143" i="30"/>
  <c r="T144" i="30"/>
  <c r="U144" i="30"/>
  <c r="V144" i="30"/>
  <c r="T145" i="30"/>
  <c r="U145" i="30"/>
  <c r="V145" i="30"/>
  <c r="T146" i="30"/>
  <c r="U146" i="30"/>
  <c r="V146" i="30"/>
  <c r="T147" i="30"/>
  <c r="U147" i="30"/>
  <c r="V147" i="30"/>
  <c r="T148" i="30"/>
  <c r="U148" i="30"/>
  <c r="V148" i="30"/>
  <c r="T149" i="30"/>
  <c r="U149" i="30"/>
  <c r="V149" i="30"/>
  <c r="T150" i="30"/>
  <c r="U150" i="30"/>
  <c r="V150" i="30"/>
  <c r="T151" i="30"/>
  <c r="U151" i="30"/>
  <c r="V151" i="30"/>
  <c r="T152" i="30"/>
  <c r="U152" i="30"/>
  <c r="V152" i="30"/>
  <c r="T153" i="30"/>
  <c r="U153" i="30"/>
  <c r="V153" i="30"/>
  <c r="T154" i="30"/>
  <c r="U154" i="30"/>
  <c r="V154" i="30"/>
  <c r="T158" i="30"/>
  <c r="U158" i="30"/>
  <c r="V158" i="30"/>
  <c r="T159" i="30"/>
  <c r="U159" i="30"/>
  <c r="V159" i="30"/>
  <c r="T160" i="30"/>
  <c r="U160" i="30"/>
  <c r="V160" i="30"/>
  <c r="T161" i="30"/>
  <c r="U161" i="30"/>
  <c r="V161" i="30"/>
  <c r="T162" i="30"/>
  <c r="U162" i="30"/>
  <c r="V162" i="30"/>
  <c r="T163" i="30"/>
  <c r="U163" i="30"/>
  <c r="V163" i="30"/>
  <c r="T164" i="30"/>
  <c r="U164" i="30"/>
  <c r="V164" i="30"/>
  <c r="T165" i="30"/>
  <c r="U165" i="30"/>
  <c r="V165" i="30"/>
  <c r="T166" i="30"/>
  <c r="U166" i="30"/>
  <c r="V166" i="30"/>
  <c r="T167" i="30"/>
  <c r="U167" i="30"/>
  <c r="V167" i="30"/>
  <c r="T168" i="30"/>
  <c r="U168" i="30"/>
  <c r="V168" i="30"/>
  <c r="T169" i="30"/>
  <c r="U169" i="30"/>
  <c r="V169" i="30"/>
  <c r="T170" i="30"/>
  <c r="U170" i="30"/>
  <c r="V170" i="30"/>
  <c r="T179" i="30"/>
  <c r="U179" i="30"/>
  <c r="V179" i="30"/>
  <c r="T180" i="30"/>
  <c r="U180" i="30"/>
  <c r="V180" i="30"/>
  <c r="T181" i="30"/>
  <c r="U181" i="30"/>
  <c r="V181" i="30"/>
  <c r="T182" i="30"/>
  <c r="U182" i="30"/>
  <c r="V182" i="30"/>
  <c r="T183" i="30"/>
  <c r="U183" i="30"/>
  <c r="V183" i="30"/>
  <c r="T184" i="30"/>
  <c r="U184" i="30"/>
  <c r="V184" i="30"/>
  <c r="T185" i="30"/>
  <c r="U185" i="30"/>
  <c r="V185" i="30"/>
  <c r="T186" i="30"/>
  <c r="U186" i="30"/>
  <c r="V186" i="30"/>
  <c r="T187" i="30"/>
  <c r="U187" i="30"/>
  <c r="V187" i="30"/>
  <c r="T188" i="30"/>
  <c r="U188" i="30"/>
  <c r="V188" i="30"/>
  <c r="T189" i="30"/>
  <c r="U189" i="30"/>
  <c r="V189" i="30"/>
  <c r="T190" i="30"/>
  <c r="U190" i="30"/>
  <c r="V190" i="30"/>
  <c r="T191" i="30"/>
  <c r="U191" i="30"/>
  <c r="V191" i="30"/>
  <c r="T192" i="30"/>
  <c r="U192" i="30"/>
  <c r="V192" i="30"/>
  <c r="T193" i="30"/>
  <c r="U193" i="30"/>
  <c r="V193" i="30"/>
  <c r="T194" i="30"/>
  <c r="U194" i="30"/>
  <c r="V194" i="30"/>
  <c r="T195" i="30"/>
  <c r="U195" i="30"/>
  <c r="V195" i="30"/>
  <c r="T196" i="30"/>
  <c r="U196" i="30"/>
  <c r="V196" i="30"/>
  <c r="T197" i="30"/>
  <c r="U197" i="30"/>
  <c r="V197" i="30"/>
  <c r="T198" i="30"/>
  <c r="U198" i="30"/>
  <c r="V198" i="30"/>
  <c r="T199" i="30"/>
  <c r="U199" i="30"/>
  <c r="V199" i="30"/>
  <c r="T200" i="30"/>
  <c r="U200" i="30"/>
  <c r="V200" i="30"/>
  <c r="T201" i="30"/>
  <c r="U201" i="30"/>
  <c r="V201" i="30"/>
  <c r="T202" i="30"/>
  <c r="U202" i="30"/>
  <c r="V202" i="30"/>
  <c r="T203" i="30"/>
  <c r="U203" i="30"/>
  <c r="V203" i="30"/>
  <c r="T204" i="30"/>
  <c r="U204" i="30"/>
  <c r="V204" i="30"/>
  <c r="T205" i="30"/>
  <c r="U205" i="30"/>
  <c r="V205" i="30"/>
  <c r="T206" i="30"/>
  <c r="U206" i="30"/>
  <c r="V206" i="30"/>
  <c r="T207" i="30"/>
  <c r="U207" i="30"/>
  <c r="V207" i="30"/>
  <c r="T208" i="30"/>
  <c r="U208" i="30"/>
  <c r="V208" i="30"/>
  <c r="T209" i="30"/>
  <c r="U209" i="30"/>
  <c r="V209" i="30"/>
  <c r="T210" i="30"/>
  <c r="U210" i="30"/>
  <c r="V210" i="30"/>
  <c r="T211" i="30"/>
  <c r="U211" i="30"/>
  <c r="V211" i="30"/>
  <c r="T212" i="30"/>
  <c r="U212" i="30"/>
  <c r="V212" i="30"/>
  <c r="T213" i="30"/>
  <c r="U213" i="30"/>
  <c r="V213" i="30"/>
  <c r="T214" i="30"/>
  <c r="U214" i="30"/>
  <c r="V214" i="30"/>
  <c r="T215" i="30"/>
  <c r="U215" i="30"/>
  <c r="V215" i="30"/>
  <c r="T216" i="30"/>
  <c r="U216" i="30"/>
  <c r="V216" i="30"/>
  <c r="T217" i="30"/>
  <c r="U217" i="30"/>
  <c r="V217" i="30"/>
  <c r="T218" i="30"/>
  <c r="U218" i="30"/>
  <c r="V218" i="30"/>
  <c r="T219" i="30"/>
  <c r="U219" i="30"/>
  <c r="V219" i="30"/>
  <c r="T220" i="30"/>
  <c r="U220" i="30"/>
  <c r="V220" i="30"/>
  <c r="T221" i="30"/>
  <c r="U221" i="30"/>
  <c r="V221" i="30"/>
  <c r="T230" i="30"/>
  <c r="U230" i="30"/>
  <c r="V230" i="30"/>
  <c r="T231" i="30"/>
  <c r="U231" i="30"/>
  <c r="V231" i="30"/>
  <c r="T232" i="30"/>
  <c r="U232" i="30"/>
  <c r="V232" i="30"/>
  <c r="T233" i="30"/>
  <c r="U233" i="30"/>
  <c r="V233" i="30"/>
  <c r="T234" i="30"/>
  <c r="U234" i="30"/>
  <c r="V234" i="30"/>
  <c r="T235" i="30"/>
  <c r="U235" i="30"/>
  <c r="V235" i="30"/>
  <c r="T236" i="30"/>
  <c r="U236" i="30"/>
  <c r="V236" i="30"/>
  <c r="T237" i="30"/>
  <c r="U237" i="30"/>
  <c r="V237" i="30"/>
  <c r="T238" i="30"/>
  <c r="U238" i="30"/>
  <c r="V238" i="30"/>
  <c r="T239" i="30"/>
  <c r="U239" i="30"/>
  <c r="V239" i="30"/>
  <c r="T240" i="30"/>
  <c r="U240" i="30"/>
  <c r="V240" i="30"/>
  <c r="T241" i="30"/>
  <c r="U241" i="30"/>
  <c r="V241" i="30"/>
  <c r="T242" i="30"/>
  <c r="U242" i="30"/>
  <c r="V242" i="30"/>
  <c r="T243" i="30"/>
  <c r="U243" i="30"/>
  <c r="V243" i="30"/>
  <c r="T244" i="30"/>
  <c r="U244" i="30"/>
  <c r="V244" i="30"/>
  <c r="T245" i="30"/>
  <c r="U245" i="30"/>
  <c r="V245" i="30"/>
  <c r="T246" i="30"/>
  <c r="U246" i="30"/>
  <c r="V246" i="30"/>
  <c r="T247" i="30"/>
  <c r="U247" i="30"/>
  <c r="V247" i="30"/>
  <c r="T248" i="30"/>
  <c r="U248" i="30"/>
  <c r="V248" i="30"/>
  <c r="T249" i="30"/>
  <c r="U249" i="30"/>
  <c r="V249" i="30"/>
  <c r="T250" i="30"/>
  <c r="U250" i="30"/>
  <c r="V250" i="30"/>
  <c r="T251" i="30"/>
  <c r="U251" i="30"/>
  <c r="V251" i="30"/>
  <c r="T252" i="30"/>
  <c r="U252" i="30"/>
  <c r="V252" i="30"/>
  <c r="T253" i="30"/>
  <c r="U253" i="30"/>
  <c r="V253" i="30"/>
  <c r="T254" i="30"/>
  <c r="U254" i="30"/>
  <c r="V254" i="30"/>
  <c r="T255" i="30"/>
  <c r="U255" i="30"/>
  <c r="V255" i="30"/>
  <c r="T256" i="30"/>
  <c r="U256" i="30"/>
  <c r="V256" i="30"/>
  <c r="T257" i="30"/>
  <c r="U257" i="30"/>
  <c r="V257" i="30"/>
  <c r="T258" i="30"/>
  <c r="U258" i="30"/>
  <c r="V258" i="30"/>
  <c r="T259" i="30"/>
  <c r="U259" i="30"/>
  <c r="V259" i="30"/>
  <c r="T260" i="30"/>
  <c r="U260" i="30"/>
  <c r="V260" i="30"/>
  <c r="T261" i="30"/>
  <c r="U261" i="30"/>
  <c r="V261" i="30"/>
  <c r="T262" i="30"/>
  <c r="U262" i="30"/>
  <c r="V262" i="30"/>
  <c r="T263" i="30"/>
  <c r="U263" i="30"/>
  <c r="V263" i="30"/>
  <c r="T264" i="30"/>
  <c r="U264" i="30"/>
  <c r="V264" i="30"/>
  <c r="T265" i="30"/>
  <c r="U265" i="30"/>
  <c r="V265" i="30"/>
  <c r="T266" i="30"/>
  <c r="U266" i="30"/>
  <c r="V266" i="30"/>
  <c r="T267" i="30"/>
  <c r="U267" i="30"/>
  <c r="V267" i="30"/>
  <c r="T268" i="30"/>
  <c r="U268" i="30"/>
  <c r="V268" i="30"/>
  <c r="T269" i="30"/>
  <c r="U269" i="30"/>
  <c r="V269" i="30"/>
  <c r="T270" i="30"/>
  <c r="U270" i="30"/>
  <c r="V270" i="30"/>
  <c r="T271" i="30"/>
  <c r="U271" i="30"/>
  <c r="V271" i="30"/>
  <c r="T272" i="30"/>
  <c r="U272" i="30"/>
  <c r="V272" i="30"/>
  <c r="T274" i="30"/>
  <c r="U274" i="30"/>
  <c r="V274" i="30"/>
  <c r="T275" i="30"/>
  <c r="U275" i="30"/>
  <c r="V275" i="30"/>
  <c r="L2" i="30"/>
  <c r="M2" i="30"/>
  <c r="N2" i="30"/>
  <c r="L3" i="30"/>
  <c r="M3" i="30"/>
  <c r="N3" i="30"/>
  <c r="L4" i="30"/>
  <c r="M4" i="30"/>
  <c r="N4" i="30"/>
  <c r="L5" i="30"/>
  <c r="M5" i="30"/>
  <c r="N5" i="30"/>
  <c r="L6" i="30"/>
  <c r="M6" i="30"/>
  <c r="N6" i="30"/>
  <c r="L7" i="30"/>
  <c r="M7" i="30"/>
  <c r="N7" i="30"/>
  <c r="L8" i="30"/>
  <c r="M8" i="30"/>
  <c r="N8" i="30"/>
  <c r="L9" i="30"/>
  <c r="M9" i="30"/>
  <c r="N9" i="30"/>
  <c r="L10" i="30"/>
  <c r="M10" i="30"/>
  <c r="N10" i="30"/>
  <c r="L11" i="30"/>
  <c r="M11" i="30"/>
  <c r="N11" i="30"/>
  <c r="L12" i="30"/>
  <c r="M12" i="30"/>
  <c r="N12" i="30"/>
  <c r="L13" i="30"/>
  <c r="M13" i="30"/>
  <c r="N13" i="30"/>
  <c r="L90" i="30"/>
  <c r="M90" i="30"/>
  <c r="N90" i="30"/>
  <c r="L91" i="30"/>
  <c r="M91" i="30"/>
  <c r="N91" i="30"/>
  <c r="L92" i="30"/>
  <c r="M92" i="30"/>
  <c r="N92" i="30"/>
  <c r="L93" i="30"/>
  <c r="M93" i="30"/>
  <c r="N93" i="30"/>
  <c r="L94" i="30"/>
  <c r="M94" i="30"/>
  <c r="N94" i="30"/>
  <c r="L95" i="30"/>
  <c r="M95" i="30"/>
  <c r="N95" i="30"/>
  <c r="L96" i="30"/>
  <c r="M96" i="30"/>
  <c r="N96" i="30"/>
  <c r="L97" i="30"/>
  <c r="M97" i="30"/>
  <c r="N97" i="30"/>
  <c r="L98" i="30"/>
  <c r="M98" i="30"/>
  <c r="N98" i="30"/>
  <c r="L99" i="30"/>
  <c r="M99" i="30"/>
  <c r="N99" i="30"/>
  <c r="L100" i="30"/>
  <c r="M100" i="30"/>
  <c r="N100" i="30"/>
  <c r="L101" i="30"/>
  <c r="M101" i="30"/>
  <c r="N101" i="30"/>
  <c r="L102" i="30"/>
  <c r="M102" i="30"/>
  <c r="N102" i="30"/>
  <c r="L103" i="30"/>
  <c r="M103" i="30"/>
  <c r="N103" i="30"/>
  <c r="L104" i="30"/>
  <c r="M104" i="30"/>
  <c r="N104" i="30"/>
  <c r="L105" i="30"/>
  <c r="M105" i="30"/>
  <c r="N105" i="30"/>
  <c r="L106" i="30"/>
  <c r="M106" i="30"/>
  <c r="N106" i="30"/>
  <c r="L112" i="30"/>
  <c r="M112" i="30"/>
  <c r="N112" i="30"/>
  <c r="L113" i="30"/>
  <c r="M113" i="30"/>
  <c r="N113" i="30"/>
  <c r="L116" i="30"/>
  <c r="M116" i="30"/>
  <c r="N116" i="30"/>
  <c r="L117" i="30"/>
  <c r="M117" i="30"/>
  <c r="N117" i="30"/>
  <c r="L118" i="30"/>
  <c r="M118" i="30"/>
  <c r="N118" i="30"/>
  <c r="L134" i="30"/>
  <c r="M134" i="30"/>
  <c r="N134" i="30"/>
  <c r="L135" i="30"/>
  <c r="M135" i="30"/>
  <c r="N135" i="30"/>
  <c r="L136" i="30"/>
  <c r="M136" i="30"/>
  <c r="N136" i="30"/>
  <c r="L137" i="30"/>
  <c r="M137" i="30"/>
  <c r="N137" i="30"/>
  <c r="L138" i="30"/>
  <c r="M138" i="30"/>
  <c r="N138" i="30"/>
  <c r="L139" i="30"/>
  <c r="M139" i="30"/>
  <c r="N139" i="30"/>
  <c r="L140" i="30"/>
  <c r="M140" i="30"/>
  <c r="N140" i="30"/>
  <c r="L141" i="30"/>
  <c r="M141" i="30"/>
  <c r="N141" i="30"/>
  <c r="L142" i="30"/>
  <c r="M142" i="30"/>
  <c r="N142" i="30"/>
  <c r="L143" i="30"/>
  <c r="M143" i="30"/>
  <c r="N143" i="30"/>
  <c r="L144" i="30"/>
  <c r="M144" i="30"/>
  <c r="N144" i="30"/>
  <c r="L145" i="30"/>
  <c r="M145" i="30"/>
  <c r="N145" i="30"/>
  <c r="L146" i="30"/>
  <c r="M146" i="30"/>
  <c r="N146" i="30"/>
  <c r="L147" i="30"/>
  <c r="M147" i="30"/>
  <c r="N147" i="30"/>
  <c r="L148" i="30"/>
  <c r="M148" i="30"/>
  <c r="N148" i="30"/>
  <c r="L149" i="30"/>
  <c r="M149" i="30"/>
  <c r="N149" i="30"/>
  <c r="L150" i="30"/>
  <c r="M150" i="30"/>
  <c r="N150" i="30"/>
  <c r="L151" i="30"/>
  <c r="M151" i="30"/>
  <c r="N151" i="30"/>
  <c r="L152" i="30"/>
  <c r="M152" i="30"/>
  <c r="N152" i="30"/>
  <c r="L153" i="30"/>
  <c r="M153" i="30"/>
  <c r="N153" i="30"/>
  <c r="L154" i="30"/>
  <c r="M154" i="30"/>
  <c r="N154" i="30"/>
  <c r="L158" i="30"/>
  <c r="M158" i="30"/>
  <c r="N158" i="30"/>
  <c r="L159" i="30"/>
  <c r="M159" i="30"/>
  <c r="N159" i="30"/>
  <c r="L160" i="30"/>
  <c r="M160" i="30"/>
  <c r="N160" i="30"/>
  <c r="L161" i="30"/>
  <c r="M161" i="30"/>
  <c r="N161" i="30"/>
  <c r="L162" i="30"/>
  <c r="M162" i="30"/>
  <c r="N162" i="30"/>
  <c r="L163" i="30"/>
  <c r="M163" i="30"/>
  <c r="N163" i="30"/>
  <c r="L164" i="30"/>
  <c r="M164" i="30"/>
  <c r="N164" i="30"/>
  <c r="L165" i="30"/>
  <c r="M165" i="30"/>
  <c r="N165" i="30"/>
  <c r="L166" i="30"/>
  <c r="M166" i="30"/>
  <c r="N166" i="30"/>
  <c r="L167" i="30"/>
  <c r="M167" i="30"/>
  <c r="N167" i="30"/>
  <c r="L168" i="30"/>
  <c r="M168" i="30"/>
  <c r="N168" i="30"/>
  <c r="L169" i="30"/>
  <c r="M169" i="30"/>
  <c r="N169" i="30"/>
  <c r="L170" i="30"/>
  <c r="M170" i="30"/>
  <c r="N170" i="30"/>
  <c r="L179" i="30"/>
  <c r="M179" i="30"/>
  <c r="N179" i="30"/>
  <c r="L180" i="30"/>
  <c r="M180" i="30"/>
  <c r="N180" i="30"/>
  <c r="L181" i="30"/>
  <c r="M181" i="30"/>
  <c r="N181" i="30"/>
  <c r="L182" i="30"/>
  <c r="M182" i="30"/>
  <c r="N182" i="30"/>
  <c r="L183" i="30"/>
  <c r="M183" i="30"/>
  <c r="N183" i="30"/>
  <c r="L184" i="30"/>
  <c r="M184" i="30"/>
  <c r="N184" i="30"/>
  <c r="L185" i="30"/>
  <c r="M185" i="30"/>
  <c r="N185" i="30"/>
  <c r="L186" i="30"/>
  <c r="M186" i="30"/>
  <c r="N186" i="30"/>
  <c r="L187" i="30"/>
  <c r="M187" i="30"/>
  <c r="N187" i="30"/>
  <c r="L188" i="30"/>
  <c r="M188" i="30"/>
  <c r="N188" i="30"/>
  <c r="L189" i="30"/>
  <c r="M189" i="30"/>
  <c r="N189" i="30"/>
  <c r="L190" i="30"/>
  <c r="M190" i="30"/>
  <c r="N190" i="30"/>
  <c r="L191" i="30"/>
  <c r="M191" i="30"/>
  <c r="N191" i="30"/>
  <c r="L192" i="30"/>
  <c r="M192" i="30"/>
  <c r="N192" i="30"/>
  <c r="L193" i="30"/>
  <c r="M193" i="30"/>
  <c r="N193" i="30"/>
  <c r="L194" i="30"/>
  <c r="M194" i="30"/>
  <c r="N194" i="30"/>
  <c r="L195" i="30"/>
  <c r="M195" i="30"/>
  <c r="N195" i="30"/>
  <c r="L196" i="30"/>
  <c r="M196" i="30"/>
  <c r="N196" i="30"/>
  <c r="L197" i="30"/>
  <c r="M197" i="30"/>
  <c r="N197" i="30"/>
  <c r="L198" i="30"/>
  <c r="M198" i="30"/>
  <c r="N198" i="30"/>
  <c r="L199" i="30"/>
  <c r="M199" i="30"/>
  <c r="N199" i="30"/>
  <c r="L200" i="30"/>
  <c r="M200" i="30"/>
  <c r="N200" i="30"/>
  <c r="L201" i="30"/>
  <c r="M201" i="30"/>
  <c r="N201" i="30"/>
  <c r="L202" i="30"/>
  <c r="M202" i="30"/>
  <c r="N202" i="30"/>
  <c r="L203" i="30"/>
  <c r="M203" i="30"/>
  <c r="N203" i="30"/>
  <c r="L204" i="30"/>
  <c r="M204" i="30"/>
  <c r="N204" i="30"/>
  <c r="L205" i="30"/>
  <c r="M205" i="30"/>
  <c r="N205" i="30"/>
  <c r="L206" i="30"/>
  <c r="M206" i="30"/>
  <c r="N206" i="30"/>
  <c r="L207" i="30"/>
  <c r="M207" i="30"/>
  <c r="N207" i="30"/>
  <c r="L208" i="30"/>
  <c r="M208" i="30"/>
  <c r="N208" i="30"/>
  <c r="L209" i="30"/>
  <c r="M209" i="30"/>
  <c r="N209" i="30"/>
  <c r="L210" i="30"/>
  <c r="M210" i="30"/>
  <c r="N210" i="30"/>
  <c r="L211" i="30"/>
  <c r="M211" i="30"/>
  <c r="N211" i="30"/>
  <c r="L212" i="30"/>
  <c r="M212" i="30"/>
  <c r="N212" i="30"/>
  <c r="L213" i="30"/>
  <c r="M213" i="30"/>
  <c r="N213" i="30"/>
  <c r="L214" i="30"/>
  <c r="M214" i="30"/>
  <c r="N214" i="30"/>
  <c r="L215" i="30"/>
  <c r="M215" i="30"/>
  <c r="N215" i="30"/>
  <c r="L216" i="30"/>
  <c r="M216" i="30"/>
  <c r="N216" i="30"/>
  <c r="L217" i="30"/>
  <c r="M217" i="30"/>
  <c r="N217" i="30"/>
  <c r="L218" i="30"/>
  <c r="M218" i="30"/>
  <c r="N218" i="30"/>
  <c r="L219" i="30"/>
  <c r="M219" i="30"/>
  <c r="N219" i="30"/>
  <c r="L220" i="30"/>
  <c r="M220" i="30"/>
  <c r="N220" i="30"/>
  <c r="L221" i="30"/>
  <c r="M221" i="30"/>
  <c r="N221" i="30"/>
  <c r="L230" i="30"/>
  <c r="M230" i="30"/>
  <c r="N230" i="30"/>
  <c r="L231" i="30"/>
  <c r="M231" i="30"/>
  <c r="N231" i="30"/>
  <c r="L232" i="30"/>
  <c r="M232" i="30"/>
  <c r="N232" i="30"/>
  <c r="L233" i="30"/>
  <c r="M233" i="30"/>
  <c r="N233" i="30"/>
  <c r="L234" i="30"/>
  <c r="M234" i="30"/>
  <c r="N234" i="30"/>
  <c r="L235" i="30"/>
  <c r="M235" i="30"/>
  <c r="N235" i="30"/>
  <c r="L236" i="30"/>
  <c r="M236" i="30"/>
  <c r="N236" i="30"/>
  <c r="L237" i="30"/>
  <c r="M237" i="30"/>
  <c r="N237" i="30"/>
  <c r="L238" i="30"/>
  <c r="M238" i="30"/>
  <c r="N238" i="30"/>
  <c r="L239" i="30"/>
  <c r="M239" i="30"/>
  <c r="N239" i="30"/>
  <c r="L240" i="30"/>
  <c r="M240" i="30"/>
  <c r="N240" i="30"/>
  <c r="L241" i="30"/>
  <c r="M241" i="30"/>
  <c r="N241" i="30"/>
  <c r="L242" i="30"/>
  <c r="M242" i="30"/>
  <c r="N242" i="30"/>
  <c r="L243" i="30"/>
  <c r="M243" i="30"/>
  <c r="N243" i="30"/>
  <c r="L244" i="30"/>
  <c r="M244" i="30"/>
  <c r="N244" i="30"/>
  <c r="L245" i="30"/>
  <c r="M245" i="30"/>
  <c r="N245" i="30"/>
  <c r="L246" i="30"/>
  <c r="M246" i="30"/>
  <c r="N246" i="30"/>
  <c r="L247" i="30"/>
  <c r="M247" i="30"/>
  <c r="N247" i="30"/>
  <c r="L248" i="30"/>
  <c r="M248" i="30"/>
  <c r="N248" i="30"/>
  <c r="L249" i="30"/>
  <c r="M249" i="30"/>
  <c r="N249" i="30"/>
  <c r="L250" i="30"/>
  <c r="M250" i="30"/>
  <c r="N250" i="30"/>
  <c r="L251" i="30"/>
  <c r="M251" i="30"/>
  <c r="N251" i="30"/>
  <c r="L252" i="30"/>
  <c r="M252" i="30"/>
  <c r="N252" i="30"/>
  <c r="L253" i="30"/>
  <c r="M253" i="30"/>
  <c r="N253" i="30"/>
  <c r="L254" i="30"/>
  <c r="M254" i="30"/>
  <c r="N254" i="30"/>
  <c r="L255" i="30"/>
  <c r="M255" i="30"/>
  <c r="N255" i="30"/>
  <c r="L256" i="30"/>
  <c r="M256" i="30"/>
  <c r="N256" i="30"/>
  <c r="L257" i="30"/>
  <c r="M257" i="30"/>
  <c r="N257" i="30"/>
  <c r="L258" i="30"/>
  <c r="M258" i="30"/>
  <c r="N258" i="30"/>
  <c r="L259" i="30"/>
  <c r="M259" i="30"/>
  <c r="N259" i="30"/>
  <c r="L260" i="30"/>
  <c r="M260" i="30"/>
  <c r="N260" i="30"/>
  <c r="L261" i="30"/>
  <c r="M261" i="30"/>
  <c r="N261" i="30"/>
  <c r="L262" i="30"/>
  <c r="M262" i="30"/>
  <c r="N262" i="30"/>
  <c r="L263" i="30"/>
  <c r="M263" i="30"/>
  <c r="N263" i="30"/>
  <c r="L264" i="30"/>
  <c r="M264" i="30"/>
  <c r="N264" i="30"/>
  <c r="L265" i="30"/>
  <c r="M265" i="30"/>
  <c r="N265" i="30"/>
  <c r="L266" i="30"/>
  <c r="M266" i="30"/>
  <c r="N266" i="30"/>
  <c r="L267" i="30"/>
  <c r="M267" i="30"/>
  <c r="N267" i="30"/>
  <c r="L268" i="30"/>
  <c r="M268" i="30"/>
  <c r="N268" i="30"/>
  <c r="L269" i="30"/>
  <c r="M269" i="30"/>
  <c r="N269" i="30"/>
  <c r="L270" i="30"/>
  <c r="M270" i="30"/>
  <c r="N270" i="30"/>
  <c r="L271" i="30"/>
  <c r="M271" i="30"/>
  <c r="N271" i="30"/>
  <c r="L272" i="30"/>
  <c r="M272" i="30"/>
  <c r="N272" i="30"/>
  <c r="L274" i="30"/>
  <c r="M274" i="30"/>
  <c r="N274" i="30"/>
  <c r="L275" i="30"/>
  <c r="M275" i="30"/>
  <c r="N275" i="30"/>
  <c r="L277" i="30"/>
  <c r="M277" i="30"/>
  <c r="N277" i="30"/>
  <c r="L278" i="30"/>
  <c r="M278" i="30"/>
  <c r="N278" i="30"/>
  <c r="L279" i="30"/>
  <c r="M279" i="30"/>
  <c r="N279" i="30"/>
  <c r="L280" i="30"/>
  <c r="M280" i="30"/>
  <c r="N280" i="30"/>
  <c r="L281" i="30"/>
  <c r="M281" i="30"/>
  <c r="N281" i="30"/>
  <c r="L282" i="30"/>
  <c r="M282" i="30"/>
  <c r="N282" i="30"/>
  <c r="L291" i="30"/>
  <c r="M291" i="30"/>
  <c r="N291" i="30"/>
  <c r="L292" i="30"/>
  <c r="M292" i="30"/>
  <c r="N292" i="30"/>
  <c r="L293" i="30"/>
  <c r="M293" i="30"/>
  <c r="N293" i="30"/>
  <c r="L294" i="30"/>
  <c r="M294" i="30"/>
  <c r="N294" i="30"/>
  <c r="L295" i="30"/>
  <c r="M295" i="30"/>
  <c r="N295" i="30"/>
  <c r="L296" i="30"/>
  <c r="M296" i="30"/>
  <c r="N296" i="30"/>
  <c r="L297" i="30"/>
  <c r="M297" i="30"/>
  <c r="N297" i="30"/>
  <c r="L298" i="30"/>
  <c r="M298" i="30"/>
  <c r="N298" i="30"/>
  <c r="L299" i="30"/>
  <c r="M299" i="30"/>
  <c r="N299" i="30"/>
  <c r="L300" i="30"/>
  <c r="M300" i="30"/>
  <c r="N300" i="30"/>
  <c r="L301" i="30"/>
  <c r="M301" i="30"/>
  <c r="N301" i="30"/>
  <c r="L302" i="30"/>
  <c r="M302" i="30"/>
  <c r="N302" i="30"/>
  <c r="L303" i="30"/>
  <c r="M303" i="30"/>
  <c r="N303" i="30"/>
  <c r="L304" i="30"/>
  <c r="M304" i="30"/>
  <c r="N304" i="30"/>
  <c r="L305" i="30"/>
  <c r="M305" i="30"/>
  <c r="N305" i="30"/>
  <c r="L306" i="30"/>
  <c r="M306" i="30"/>
  <c r="N306" i="30"/>
  <c r="L307" i="30"/>
  <c r="M307" i="30"/>
  <c r="N307" i="30"/>
  <c r="L308" i="30"/>
  <c r="M308" i="30"/>
  <c r="N308" i="30"/>
  <c r="L309" i="30"/>
  <c r="M309" i="30"/>
  <c r="N309" i="30"/>
  <c r="L310" i="30"/>
  <c r="M310" i="30"/>
  <c r="N310" i="30"/>
  <c r="L311" i="30"/>
  <c r="M311" i="30"/>
  <c r="N311" i="30"/>
  <c r="L312" i="30"/>
  <c r="M312" i="30"/>
  <c r="N312" i="30"/>
  <c r="L313" i="30"/>
  <c r="M313" i="30"/>
  <c r="N313" i="30"/>
  <c r="L314" i="30"/>
  <c r="M314" i="30"/>
  <c r="N314" i="30"/>
  <c r="L315" i="30"/>
  <c r="M315" i="30"/>
  <c r="N315" i="30"/>
  <c r="L316" i="30"/>
  <c r="M316" i="30"/>
  <c r="N316" i="30"/>
  <c r="L317" i="30"/>
  <c r="M317" i="30"/>
  <c r="N317" i="30"/>
  <c r="L318" i="30"/>
  <c r="M318" i="30"/>
  <c r="N318" i="30"/>
  <c r="L319" i="30"/>
  <c r="M319" i="30"/>
  <c r="N319" i="30"/>
  <c r="L320" i="30"/>
  <c r="M320" i="30"/>
  <c r="N320" i="30"/>
  <c r="L321" i="30"/>
  <c r="M321" i="30"/>
  <c r="N321" i="30"/>
  <c r="L322" i="30"/>
  <c r="M322" i="30"/>
  <c r="N322" i="30"/>
  <c r="L323" i="30"/>
  <c r="M323" i="30"/>
  <c r="N323" i="30"/>
  <c r="L324" i="30"/>
  <c r="M324" i="30"/>
  <c r="N324" i="30"/>
  <c r="L325" i="30"/>
  <c r="M325" i="30"/>
  <c r="N325" i="30"/>
  <c r="L326" i="30"/>
  <c r="M326" i="30"/>
  <c r="N326" i="30"/>
  <c r="L327" i="30"/>
  <c r="M327" i="30"/>
  <c r="N327" i="30"/>
  <c r="L330" i="30"/>
  <c r="M330" i="30"/>
  <c r="N330" i="30"/>
  <c r="L331" i="30"/>
  <c r="M331" i="30"/>
  <c r="N331" i="30"/>
  <c r="L332" i="30"/>
  <c r="M332" i="30"/>
  <c r="N332" i="30"/>
  <c r="L333" i="30"/>
  <c r="M333" i="30"/>
  <c r="N333" i="30"/>
  <c r="L334" i="30"/>
  <c r="M334" i="30"/>
  <c r="N334" i="30"/>
  <c r="L335" i="30"/>
  <c r="M335" i="30"/>
  <c r="N335" i="30"/>
  <c r="L336" i="30"/>
  <c r="M336" i="30"/>
  <c r="N336" i="30"/>
  <c r="L337" i="30"/>
  <c r="M337" i="30"/>
  <c r="N337" i="30"/>
  <c r="L338" i="30"/>
  <c r="M338" i="30"/>
  <c r="N338" i="30"/>
  <c r="L339" i="30"/>
  <c r="M339" i="30"/>
  <c r="N339" i="30"/>
  <c r="L340" i="30"/>
  <c r="M340" i="30"/>
  <c r="N340" i="30"/>
  <c r="L341" i="30"/>
  <c r="M341" i="30"/>
  <c r="N341" i="30"/>
  <c r="L342" i="30"/>
  <c r="M342" i="30"/>
  <c r="N342" i="30"/>
  <c r="L343" i="30"/>
  <c r="M343" i="30"/>
  <c r="N343" i="30"/>
  <c r="L344" i="30"/>
  <c r="M344" i="30"/>
  <c r="N344" i="30"/>
  <c r="B18" i="13" l="1"/>
  <c r="B6" i="13"/>
  <c r="B5" i="13"/>
</calcChain>
</file>

<file path=xl/sharedStrings.xml><?xml version="1.0" encoding="utf-8"?>
<sst xmlns="http://schemas.openxmlformats.org/spreadsheetml/2006/main" count="13664" uniqueCount="2102">
  <si>
    <t>EquivalentTo: 
Raiz
Condições 
necessárias</t>
  </si>
  <si>
    <t>EquivalentTo: 
Classe2
Condições 
necessárias</t>
  </si>
  <si>
    <t>EquivalentTo: 
Classe3
Condições 
necessárias</t>
  </si>
  <si>
    <t>EquivalentTo: 
Classe4 
Condições 
necessárias</t>
  </si>
  <si>
    <t>EquivalentTo: 
Classe5
Condições 
necessárias</t>
  </si>
  <si>
    <t>Anotações 
de ajuda
Classe 2</t>
  </si>
  <si>
    <t>Anotações 
de ajuda
Classe 3</t>
  </si>
  <si>
    <t>Anotações 
de ajuda
Classe 5</t>
  </si>
  <si>
    <t>Key</t>
  </si>
  <si>
    <t>null</t>
  </si>
  <si>
    <t>N°</t>
  </si>
  <si>
    <t>1</t>
  </si>
  <si>
    <t>Disjunta 1</t>
  </si>
  <si>
    <t>Disjunta 2</t>
  </si>
  <si>
    <t>Disjunta 3</t>
  </si>
  <si>
    <t>Disjunta 4</t>
  </si>
  <si>
    <t>Disjunta 5</t>
  </si>
  <si>
    <t>Disjunta 6</t>
  </si>
  <si>
    <t>Disjunta 7</t>
  </si>
  <si>
    <t>Disjunta 8</t>
  </si>
  <si>
    <t>Disjunta 9</t>
  </si>
  <si>
    <t>Disjunta 10</t>
  </si>
  <si>
    <t>Disjunta 11</t>
  </si>
  <si>
    <t>Disjunta 12</t>
  </si>
  <si>
    <t>Disjunta 13</t>
  </si>
  <si>
    <t>Disjunta 14</t>
  </si>
  <si>
    <t>Disjunta 15</t>
  </si>
  <si>
    <t>Disjunta 16</t>
  </si>
  <si>
    <t>Disjunta 17</t>
  </si>
  <si>
    <t>Disjunta 18</t>
  </si>
  <si>
    <t>Disjunta 19</t>
  </si>
  <si>
    <t>Disjunta 20</t>
  </si>
  <si>
    <t>BIM</t>
  </si>
  <si>
    <t>Natureza</t>
  </si>
  <si>
    <t>Disciplina</t>
  </si>
  <si>
    <t>Tema</t>
  </si>
  <si>
    <t>000 Tradução Classe 5</t>
  </si>
  <si>
    <t>Especie</t>
  </si>
  <si>
    <t>00Super
Class
4</t>
  </si>
  <si>
    <t>00Super
Class
2</t>
  </si>
  <si>
    <t>00Super
Class
3</t>
  </si>
  <si>
    <t>00Raiz</t>
  </si>
  <si>
    <t>000 Traducción Classe 5</t>
  </si>
  <si>
    <t>Projeto</t>
  </si>
  <si>
    <t>Chave</t>
  </si>
  <si>
    <t>Valor</t>
  </si>
  <si>
    <t>OntologiaPrefixo</t>
  </si>
  <si>
    <t>bim:</t>
  </si>
  <si>
    <t>OntologiaTema</t>
  </si>
  <si>
    <t>RaizClass</t>
  </si>
  <si>
    <t>RaizProp</t>
  </si>
  <si>
    <t>RaizData</t>
  </si>
  <si>
    <t>URI</t>
  </si>
  <si>
    <t>https://github.com/JLMenegotto/RepoOnto#</t>
  </si>
  <si>
    <t>Autor</t>
  </si>
  <si>
    <t>Organização</t>
  </si>
  <si>
    <t>Escola Politécnica da UFRJ</t>
  </si>
  <si>
    <t>-</t>
  </si>
  <si>
    <t>Observações</t>
  </si>
  <si>
    <t>DataHora</t>
  </si>
  <si>
    <t>Prédio</t>
  </si>
  <si>
    <t>Cidade</t>
  </si>
  <si>
    <t>Explicação</t>
  </si>
  <si>
    <t>Explicación</t>
  </si>
  <si>
    <t>Indivíduo</t>
  </si>
  <si>
    <t>Classe</t>
  </si>
  <si>
    <t>Fato</t>
  </si>
  <si>
    <t>Fato
(14)</t>
  </si>
  <si>
    <t>Val</t>
  </si>
  <si>
    <t>0-Classe Ifc</t>
  </si>
  <si>
    <t>0-Categoria Equivalente</t>
  </si>
  <si>
    <t>0-CategoriaEquivalente</t>
  </si>
  <si>
    <t>Anotações 
de ajuda
Classe 4</t>
  </si>
  <si>
    <t>Interop.</t>
  </si>
  <si>
    <t>Arquitetura</t>
  </si>
  <si>
    <t>descrição</t>
  </si>
  <si>
    <t>espessura</t>
  </si>
  <si>
    <t>largura</t>
  </si>
  <si>
    <t>comprimento</t>
  </si>
  <si>
    <t>Graute</t>
  </si>
  <si>
    <t>Argamassa de grauteamento para preenchimento de cavidades em estruturas.</t>
  </si>
  <si>
    <t>Argamassa polimérica para camadas de isolamento.</t>
  </si>
  <si>
    <t>Mortero de rejuntado para el relleno de cavidades en estructuras.</t>
  </si>
  <si>
    <t>Mortero polimérico para capas aislantes.</t>
  </si>
  <si>
    <t>uso</t>
  </si>
  <si>
    <t>CE.25x25</t>
  </si>
  <si>
    <t>CE.30x60</t>
  </si>
  <si>
    <t>CE.50x10</t>
  </si>
  <si>
    <t>CE.60x60</t>
  </si>
  <si>
    <t>CE.60x10</t>
  </si>
  <si>
    <t>CE.70x70</t>
  </si>
  <si>
    <t>CE.80x80</t>
  </si>
  <si>
    <t>CE.90x90</t>
  </si>
  <si>
    <t>CE.120x60</t>
  </si>
  <si>
    <t>CE.60x14</t>
  </si>
  <si>
    <t>CE.60x9</t>
  </si>
  <si>
    <t>CE.80x29</t>
  </si>
  <si>
    <t>CE.80x14</t>
  </si>
  <si>
    <t>CE.80x9</t>
  </si>
  <si>
    <t>CE.90x14</t>
  </si>
  <si>
    <t>CE.120x29</t>
  </si>
  <si>
    <t>"Eliane"</t>
  </si>
  <si>
    <t>"Banheiro"</t>
  </si>
  <si>
    <t>"Argamassa industrializada para colar cerâmicas em ambientes internos."</t>
  </si>
  <si>
    <t>"Argamassa industrializada para colar cerâmicas em ambientes de trafego intenso, saunas, piscinas de água quente e placas maiores de 60x60cm."</t>
  </si>
  <si>
    <t>"Argamassa industrializada para colar cerâmicas em ambientes internos e externos ou com temperaturas elevadas e maior umidade."</t>
  </si>
  <si>
    <t>"Argamassa industrializada para colar cerâmicas de  grandes formatos ou fachadas. Possui maior tempo de duração."</t>
  </si>
  <si>
    <t>"Quartzolit SG"</t>
  </si>
  <si>
    <t>é.colada.com</t>
  </si>
  <si>
    <t>"Varanda"</t>
  </si>
  <si>
    <t>"Argamassa para contrapiso com traço '1-0,25-6'. Norma NBR 13753:1996 (5.5.2)."</t>
  </si>
  <si>
    <t>"Argamassa de regularização com traço '1-6'. Norma NBR 13753:1996 (5.5.3)."</t>
  </si>
  <si>
    <t>Pisos</t>
  </si>
  <si>
    <t>"Argamassa utilizada para proteção radiológica, usar em centros de saúde e clinicas de radioterapia, radiologia, medicina nuclear, etc."</t>
  </si>
  <si>
    <t>"Barimix"</t>
  </si>
  <si>
    <t>"Sala de radioterapia"</t>
  </si>
  <si>
    <t>Chapisco</t>
  </si>
  <si>
    <t>Emboço</t>
  </si>
  <si>
    <t>Reboco</t>
  </si>
  <si>
    <t>Argamassa para os contrapisos.</t>
  </si>
  <si>
    <t>categoria.revit</t>
  </si>
  <si>
    <t>classe.ifc</t>
  </si>
  <si>
    <t>"Peça de taco para pisos de madeira."</t>
  </si>
  <si>
    <t>"Salas"</t>
  </si>
  <si>
    <t>"Madipé"</t>
  </si>
  <si>
    <t>"Cola para assentar tacos de madeira."</t>
  </si>
  <si>
    <t>CategoriaRvt</t>
  </si>
  <si>
    <t>ClasseIfc</t>
  </si>
  <si>
    <t>Gesso</t>
  </si>
  <si>
    <t>Forro de gesso aplicado sobre o teto.</t>
  </si>
  <si>
    <t>Forro em placas de gesso.</t>
  </si>
  <si>
    <t>Placa.EPS</t>
  </si>
  <si>
    <t>Forro modular leve de placas de Isopor.</t>
  </si>
  <si>
    <t>Cielorraso modular ligero de placas de espuma de poliestireno.</t>
  </si>
  <si>
    <t>Placa.Mineral</t>
  </si>
  <si>
    <t>Forro modular de placas de lás minerais bio-solúveis, argila, perlita e aglomerantes orgãnicos com bom desempenho acústico e resistência ao fogo.</t>
  </si>
  <si>
    <t>Cielorraso modular de tableros de lana mineral biosoluble, arcilla, perlita y aglutinantes orgánicos con buen rendimiento acústico y resistencia al fuego.</t>
  </si>
  <si>
    <t>Placa.Espuma</t>
  </si>
  <si>
    <t>Forro acústico adesivado tipo placa de espuma acústica.</t>
  </si>
  <si>
    <t>Placa.3D</t>
  </si>
  <si>
    <t>Forro acústico adesivado tipo placa com volumetrias 3D piramidais e formatos diversos para absorção sonora.</t>
  </si>
  <si>
    <t>Placa.Shell</t>
  </si>
  <si>
    <t>Forro acústico adesivado tipo placa com formatos diversos para absorção sonora.</t>
  </si>
  <si>
    <t>Baffle.Cilíndrico</t>
  </si>
  <si>
    <t>Baffle.Linear</t>
  </si>
  <si>
    <t>Nuvem.Quadrada</t>
  </si>
  <si>
    <t>Nuvem.Circular</t>
  </si>
  <si>
    <t>Nuvem.Geométrica</t>
  </si>
  <si>
    <t>Forros</t>
  </si>
  <si>
    <t>BAF.35x62x125</t>
  </si>
  <si>
    <t>"Baffle acústico suspenso tipo linear para absorção sonora."</t>
  </si>
  <si>
    <t>altura</t>
  </si>
  <si>
    <t>"Restaurante"</t>
  </si>
  <si>
    <t>"Sonex"</t>
  </si>
  <si>
    <t>absorção.sonora.125</t>
  </si>
  <si>
    <t>absorção.sonora.250</t>
  </si>
  <si>
    <t>absorção.sonora.500</t>
  </si>
  <si>
    <t>absorção.sonora.1k</t>
  </si>
  <si>
    <t>absorção.sonora.2k</t>
  </si>
  <si>
    <t>absorção.sonora.4k</t>
  </si>
  <si>
    <t>nrc</t>
  </si>
  <si>
    <t>BAF.35x31x125</t>
  </si>
  <si>
    <t>BAF.35x15x125</t>
  </si>
  <si>
    <t>BAF.80x120</t>
  </si>
  <si>
    <t>"Baffle acústico retangular da Divisystem suspenso tipo linear para absorção sonora."</t>
  </si>
  <si>
    <t>"DiviSystem"</t>
  </si>
  <si>
    <t>BAF.80x20</t>
  </si>
  <si>
    <t>BAF.120x20</t>
  </si>
  <si>
    <t>BAF.120x40</t>
  </si>
  <si>
    <t>BAF.180x40</t>
  </si>
  <si>
    <t>PLA.125x62</t>
  </si>
  <si>
    <t>"Placa de forro modular retangular 1250 x 625 x 25mm de fibra mineral com textura fina desempenho total acoustics Armstrong."</t>
  </si>
  <si>
    <t>"Armstrong"</t>
  </si>
  <si>
    <t>"Nuvem acústica quadrada da Divisystem suspenso tipo linear para absorção sonora cor branca."</t>
  </si>
  <si>
    <t>NAC.120</t>
  </si>
  <si>
    <t>"Nuvem acústica circular da Divisystem suspenso tipo linear para absorção sonora cor branca."</t>
  </si>
  <si>
    <t>FOR.01</t>
  </si>
  <si>
    <t>"Forro do escritório de placas modulares."</t>
  </si>
  <si>
    <t>"Escritório"</t>
  </si>
  <si>
    <t>é.montado.com</t>
  </si>
  <si>
    <t>Paredes</t>
  </si>
  <si>
    <t>Painel.Maciço</t>
  </si>
  <si>
    <t>Painel pré-fabricado de concreto de alto desempenho maciço.</t>
  </si>
  <si>
    <t>Panel sólido de hormigón prefabricado de alto rendimiento.</t>
  </si>
  <si>
    <t>Painel.Alveolar</t>
  </si>
  <si>
    <t>Painel pré-fabricado de concreto protendido alveolar.</t>
  </si>
  <si>
    <t>Panel prefabricado de hormigón pretensado en nido de abeja.</t>
  </si>
  <si>
    <t>Parede.CA</t>
  </si>
  <si>
    <t xml:space="preserve">Paredes estruturais moldadas in loco de concreto armado. </t>
  </si>
  <si>
    <t>Muros estructurales moldeados in situ de hormigón armado.</t>
  </si>
  <si>
    <t>Bloco.CCA</t>
  </si>
  <si>
    <t>Blocos de concreto celular autoclavado (CCA). Isolamento térmico e acústico para paredes de vedação.</t>
  </si>
  <si>
    <t>Bloques de hormigón celular autoclavado (CCA). Aislamiento térmico y acústico para paredes internas no portantes.</t>
  </si>
  <si>
    <t>Blocos de concreto estrutural.</t>
  </si>
  <si>
    <t>Bloques de hormigón portantes.</t>
  </si>
  <si>
    <t>Blocos de concreto para vedação.</t>
  </si>
  <si>
    <t>Bloques de hormigón para cerramientos.</t>
  </si>
  <si>
    <t>Blocos de gesso maciço para paredes internas não portantes. Rapidez de execução e obtenção de parede limpa e lisa.</t>
  </si>
  <si>
    <t>Bloques de yeso macizo para paredes internas no portantes. Rapidez de ejecución y obtención de una pared limpia y lisa.</t>
  </si>
  <si>
    <t>Blocos de gesso vazado para paredes internas não portantes. Rapidez de execução e obtenção de parede limpa e lisa.</t>
  </si>
  <si>
    <t>Bloques de yeso huecos para paredes internas no portantes. Rapidez de ejecución y obtención de una pared limpia y lisa.</t>
  </si>
  <si>
    <t>Tijolo.Comúm</t>
  </si>
  <si>
    <t>Blocos de tijolo cerâmico común. De acordo a Norma NBR 15270-1.</t>
  </si>
  <si>
    <t>Bloques cerámicos común. Según la norma NBR 15270-1.</t>
  </si>
  <si>
    <t>Tijolo.Laminado</t>
  </si>
  <si>
    <t>Blocos de tijolo cerâmico maciço para alvenarias aparentes.</t>
  </si>
  <si>
    <t>Bloques cerámicos macizos para mampostería a la vista.</t>
  </si>
  <si>
    <t>Tijolo.Refratário</t>
  </si>
  <si>
    <t>Blocos cerâmicos refratários para fornos, lareiras ou exposição ao fogo.</t>
  </si>
  <si>
    <t xml:space="preserve">Bloques cerámicos refractários para hornos, hogares o expuestos al fuego. </t>
  </si>
  <si>
    <t>Bloco.Furado</t>
  </si>
  <si>
    <t>Blocos de tijolo cerâmico furado e com ranhuras na superfícies. Também chamado tijolo baiano. De acordo a Norma NBR 15270-1.</t>
  </si>
  <si>
    <t>Bloques de ladrillo cerámico perforados y ranurados en las superficies. También llamado ladrillo bahiano. Según la norma NBR 15270-1.</t>
  </si>
  <si>
    <t>Blocos de tijolo furado de solo-cimento prensado em prensa hidráulica, com encaixe vertical tipo macho e fêmea, dispensa argamassa de assentamento. Chamado 'Tijolito', foi desenvolvido pela Andrade Gutierrez e o prof. João B. Santos de Assis da PUC Minas.</t>
  </si>
  <si>
    <t>Bloques de ladrillo perforados de suelo-cemento con encaje vertical tipo machihembrado, no necesita mortero de asentar. Llamado 'Tijolito', fue desarrollado por Andrade Gutierrez y el prof. João B. Santos de Assis de PUC Minas.</t>
  </si>
  <si>
    <t>Canaleta.J</t>
  </si>
  <si>
    <t>Canaleta cerâmica J para construção de cintas e finalização da borda da laje.</t>
  </si>
  <si>
    <t>Canaleta cerámica con forma de J.</t>
  </si>
  <si>
    <t>Canaleta.U</t>
  </si>
  <si>
    <t>Canaleta cerâmica U para construção de vergas e contravergas em aberturas de paredes.</t>
  </si>
  <si>
    <t>Canaleta cerámica con forma de U.</t>
  </si>
  <si>
    <t>Cobogô</t>
  </si>
  <si>
    <t>Bloco de tijolo vazado para fachadas ou interiores. Podem ser rústicos ou esmaltados. O nome 'Cobogó' refere-se aos seus criadores Coimbra, Boeckmann e de Góis.</t>
  </si>
  <si>
    <t>Bloque de ladrillo hueco para fachadas ou interiores. Pueden ser rústicas o acristaladas. El nombre 'Cobogó' hace referencia a sus creadores Coimbra, Boeckmann y Góis.</t>
  </si>
  <si>
    <t>Tijolo.Vidro</t>
  </si>
  <si>
    <t>Bloco de tijolo de vidro para fachadas ou interiores.</t>
  </si>
  <si>
    <t>Bloques de vidrio para fachadas o interiores.</t>
  </si>
  <si>
    <t xml:space="preserve">Revestimento projetado com réguas de madeira, MDF, PVC, gesso ou material metálico. </t>
  </si>
  <si>
    <t>Revestimiento projetado con tablas finas de madera, MDF, PVC, yeso o material metálico.</t>
  </si>
  <si>
    <t>Revestimento projetado com placas com função decorativa, acústica, térmica, etc.</t>
  </si>
  <si>
    <t>Revestimiento projetado con placas con función decorativa, acústica, térmica, etc.</t>
  </si>
  <si>
    <t>Painel projetado com função decorativa, acústica, térmica, etc.</t>
  </si>
  <si>
    <t>Panel proyectado con parafunción decorativa, acústica, térmica, etc.</t>
  </si>
  <si>
    <t>Revestimento formado por peças de azulejos para superfícies impermeáveis como banheiros ou cómodos hidráulicos.</t>
  </si>
  <si>
    <t>Revestimiento formado por piezas de baldosas para superficies impermeables como baños o locales con instalaciones hidráulicas.</t>
  </si>
  <si>
    <t xml:space="preserve">Revestimento para fachada ventilada formado por peças com camada fotocatalítica que decompõe materiais orgânicos facilitando a sua remoção pela chuva (hidrofilicidade). </t>
  </si>
  <si>
    <t>Revestimiento para fachada ventilada formado por piezas con capa fotocatalítica que descompone materiales orgánicos facilitando su lavado con el agua de lluvia. (hidrofilicidade).</t>
  </si>
  <si>
    <t>Revestimento formado por peças de ladrilhos vítreos para superfícies impermeáveis como banheiros ou cómodos hidráulicos.</t>
  </si>
  <si>
    <t>Revestimiento formado por piezas de baldosas vítreas para superficies impermeables como baños o locales con instalaciones hidráulicas.</t>
  </si>
  <si>
    <t>Demãos de pintura de base usada para preparar a superfície da parede selando porosidades.</t>
  </si>
  <si>
    <t>Capas de pintura base utilizadas para preparar la superficie de la pared sellando las porosidades.</t>
  </si>
  <si>
    <t>Divisória tipo DryWall.</t>
  </si>
  <si>
    <t>Tabique tipo DryWall.</t>
  </si>
  <si>
    <t>Divisória tipo DryWall reforçada com chapas acústicas e isolamento de lá de vidro.</t>
  </si>
  <si>
    <t xml:space="preserve">Tabique tipo DryWall reforzado con chapas acústicas y aislamiento com lana de vidro. </t>
  </si>
  <si>
    <t>Divisória de vidro.</t>
  </si>
  <si>
    <t>Tabique de vidrio.</t>
  </si>
  <si>
    <t>Divisória de gesso.</t>
  </si>
  <si>
    <t>Tabique de yeso.</t>
  </si>
  <si>
    <t>Divisória.Acústica</t>
  </si>
  <si>
    <t>Divisória montada fixa acústica</t>
  </si>
  <si>
    <t>Tabique acústico fijo montado</t>
  </si>
  <si>
    <t>Divisória.Cega</t>
  </si>
  <si>
    <t>Divisória montada fixa cega</t>
  </si>
  <si>
    <t>Tabique ciego fijo montado</t>
  </si>
  <si>
    <t>Divisória.Com.Visor</t>
  </si>
  <si>
    <t>Divisória montada fixa com visor</t>
  </si>
  <si>
    <t>Tabique fijo montado con vidrio</t>
  </si>
  <si>
    <t>Divisória.Deslizante</t>
  </si>
  <si>
    <t>Divisória montada articulada deslizante</t>
  </si>
  <si>
    <t>Tabique deslizante montado con bisagras</t>
  </si>
  <si>
    <t>Divisória.Retratil</t>
  </si>
  <si>
    <t>Divisória montada articulada retrátil</t>
  </si>
  <si>
    <t>Tabique montado con bisagras retráctil</t>
  </si>
  <si>
    <t>Divisória.Sanfonada</t>
  </si>
  <si>
    <t>Divisória montada articulada sanfonada</t>
  </si>
  <si>
    <t>Tabique plegable montado con bisagras</t>
  </si>
  <si>
    <t>Divisória.Pivotante</t>
  </si>
  <si>
    <t>Divisória montada articulada pivotante</t>
  </si>
  <si>
    <t>Tabique pivotante montado con bisagras</t>
  </si>
  <si>
    <t xml:space="preserve">Chapa para paredes exteriores em sistemas ventilados ou diretamente aplicados. Alumínio composto (ACM) de alta resistência às intempéries, raios UV e corrosão. </t>
  </si>
  <si>
    <t>Lámina para paredes exteriores en sistemas ventilados o de aplicación directa. Aluminio compuesto (ACM) con alta resistencia a la intemperie, a los rayos UV y a la corrosión.</t>
  </si>
  <si>
    <t>Chapa para paredes exteriores em sistemas ventilados ou diretamente aplicados. Produzida com núcleo de cimento Portland aditivado e faces recobertas por malha de fibra de vidro.</t>
  </si>
  <si>
    <t>Lámina para paredes exteriores en sistemas ventilados o de aplicación directa. Producido con núcleo de cemento Portland con aditivos y caras recubiertas por malla de fibra de vidrio.</t>
  </si>
  <si>
    <t>Chapa de gesso acartonado para construções à seco.</t>
  </si>
  <si>
    <t>Lámina de paneles de yeso para construcción en seco.</t>
  </si>
  <si>
    <t>Vidro.Temperado</t>
  </si>
  <si>
    <t>Chapa de vidro temperado.</t>
  </si>
  <si>
    <t>Lámina de vidrio templado.</t>
  </si>
  <si>
    <t>Vidro.Laminado</t>
  </si>
  <si>
    <t>Chapa de vidro laminado.</t>
  </si>
  <si>
    <t>Lámina de vidrio laminado.</t>
  </si>
  <si>
    <t>Vidro.Polarizado</t>
  </si>
  <si>
    <t>Chapa de vidro polarizado. Altera a transparência pela passagem de voltagem. Vidro duplo laminado e com um filme LCD (Liquid Cristal Display) intermedio.</t>
  </si>
  <si>
    <t>Lámina de vidrio polarizado. Cambia la transparencia al pasar voltaje. Doble vidrio laminado y con una película LCD (Liquid Crystal Display) intermedia.</t>
  </si>
  <si>
    <t>Vidro.Low.E</t>
  </si>
  <si>
    <t>Chapa de vidro de baixa emissividad. Reflete raios UV melhorando a sua capacidade de resistência térmica.</t>
  </si>
  <si>
    <t>Lámina de vidrio de baja emisividad. Refleja los rayos UV mejorando su capacidad de resistencia térmica.</t>
  </si>
  <si>
    <t>Vidro.Comúm</t>
  </si>
  <si>
    <t>Chapa de vidro comúm.</t>
  </si>
  <si>
    <t>Placa de vidrio común.</t>
  </si>
  <si>
    <t>Vidro.Plumbífero</t>
  </si>
  <si>
    <t>Chapa de vidro plumbífero para proteção contra os raios X nocivos à saúde. Tem alta capacidade de blindar radiações ionizantes.</t>
  </si>
  <si>
    <t>Lámina de vidrio de plomo para protección contra rayos X nocivos para la salud. Tiene una alta capacidad para proteger la radiación ionizante.</t>
  </si>
  <si>
    <t>Chapa de Laminado Estrutural TS (fórmica maciça) para divisórias sanitárias.</t>
  </si>
  <si>
    <t>TS Lámina Laminada Estructural (formica maciza) para tabiques sanitarios.</t>
  </si>
  <si>
    <t>Chapa de pedra mármore ou granito para divisórias sanitárias.</t>
  </si>
  <si>
    <t>Lámina de piedra de mármol o granito para tabiques sanitarios.</t>
  </si>
  <si>
    <t>Guia.L</t>
  </si>
  <si>
    <t>Perfil metálico de aço galvanizado Z 275 (275 g/m²). Espessura mínima de 0,50 mm, produzido de acordo à norma NBR 15217. Usado para reforçar cantos vivos de 90º.</t>
  </si>
  <si>
    <t>Perfil metálico de acero galvanizado Z 275 (275 g/m²). Espesor mínimo de 0,50 mm, producido de acuerdo con la norma NBR 15217. Se utiliza para reforzar esquinas afiladas de 90º.</t>
  </si>
  <si>
    <t>Guia.U</t>
  </si>
  <si>
    <t>Perfil metálico de aço galvanizado Z 275 (275 g/m²). Espessura mínima de 0,50 mm, produzido de acordo à norma NBR 15217. Usado para estruturar a divisória DryWall.</t>
  </si>
  <si>
    <t>Perfil metálico de acero galvanizado Z 275 (275 g/m²). Espesor mínimo de 0,50 mm, producido de acuerdo con la norma NBR 15217. Se utiliza para estructurar la partición DryWall.</t>
  </si>
  <si>
    <t>Guia.Montante</t>
  </si>
  <si>
    <t>Parafuso</t>
  </si>
  <si>
    <t>Parafuso de montagem para sistemas de divisórias e forros.</t>
  </si>
  <si>
    <t>Tornillo de montaje para sistemas de tabiques y techos.</t>
  </si>
  <si>
    <t>Bucha</t>
  </si>
  <si>
    <t>Bucha.</t>
  </si>
  <si>
    <t>Anclaje.</t>
  </si>
  <si>
    <t>Fixador.Pinça</t>
  </si>
  <si>
    <t>Fixador metálico tipo pinça.</t>
  </si>
  <si>
    <t>Fijador metálico tipo pinza.</t>
  </si>
  <si>
    <t>Fixador.Cantoneira</t>
  </si>
  <si>
    <t>Fixador metálico tipo cantoneira.</t>
  </si>
  <si>
    <t>Fijador metálico tipo esquina.</t>
  </si>
  <si>
    <t>Conector</t>
  </si>
  <si>
    <t>Conector metálico.</t>
  </si>
  <si>
    <t>Puxador.Externo</t>
  </si>
  <si>
    <t>Puxador externo.</t>
  </si>
  <si>
    <t>Pomo de abertura externo.</t>
  </si>
  <si>
    <t>Puxador.Interno</t>
  </si>
  <si>
    <t>Puxador interno.</t>
  </si>
  <si>
    <t>Pomo de abertura interno.</t>
  </si>
  <si>
    <t>Tipo.Gancho</t>
  </si>
  <si>
    <t>Cabide tipo gancho.</t>
  </si>
  <si>
    <t>Percha tipo gancho.</t>
  </si>
  <si>
    <t>Antifurto</t>
  </si>
  <si>
    <t>Cabide antifurto.</t>
  </si>
  <si>
    <t>Percha antirrobo.</t>
  </si>
  <si>
    <t>Dobradiças automáticas tipo “self-closing” em liga especial de alumínio.</t>
  </si>
  <si>
    <t>Bisagras automáticas de cierre automático en aleación especial de aluminio.</t>
  </si>
  <si>
    <t xml:space="preserve">Formalizar elementos de arquitetura - Pisos - Paredes - Divisórias e Tetos em projeto BIM. Ontologia orientativa da relação de correspondência entre Classes IFC e categorias Revit. </t>
  </si>
  <si>
    <t>BCE.M.10x40</t>
  </si>
  <si>
    <t>"Bloco de concreto estrutural para paredes de 10 cm nominal."</t>
  </si>
  <si>
    <t>"Estrutural"</t>
  </si>
  <si>
    <t>"JCRB"</t>
  </si>
  <si>
    <t>BCE.M.15x40</t>
  </si>
  <si>
    <t>"Bloco de concreto estrutural para paredes de 15 cm nominal."</t>
  </si>
  <si>
    <t>BCE.M.20x40</t>
  </si>
  <si>
    <t>"Bloco de concreto estrutural para paredes de 20 cm nominal."</t>
  </si>
  <si>
    <t>BBA.M.10x20</t>
  </si>
  <si>
    <t>"Bloco cerâmico furado tipo baiano para paredes de 10 cm nominal."</t>
  </si>
  <si>
    <t>peso.médio</t>
  </si>
  <si>
    <t>"Vedação"</t>
  </si>
  <si>
    <t>"Empo"</t>
  </si>
  <si>
    <t>BBA.M.10x30</t>
  </si>
  <si>
    <t>BBA.M.10x40</t>
  </si>
  <si>
    <t>BBA.M.12x25</t>
  </si>
  <si>
    <t>"Bloco cerâmico furado tipo baiano para paredes de 15 cm nominal."</t>
  </si>
  <si>
    <t>BBA.M.12x40</t>
  </si>
  <si>
    <t>BBA.M.15x30</t>
  </si>
  <si>
    <t>"Bloco cerâmico furado tipo baiano para paredes de 20 cm nominal."</t>
  </si>
  <si>
    <t>BBA.M.15x40</t>
  </si>
  <si>
    <t>BBA.M.20x30</t>
  </si>
  <si>
    <t>"Bloco cerâmico furado tipo baiano para paredes de 25 cm nominal."</t>
  </si>
  <si>
    <t>BFU.M.10x20</t>
  </si>
  <si>
    <t>"Bloco cerâmico furado para paredes de 10 cm nominal."</t>
  </si>
  <si>
    <t>"Braúnas"</t>
  </si>
  <si>
    <t>BFU.M.10x30</t>
  </si>
  <si>
    <t>BFU.M.10x40</t>
  </si>
  <si>
    <t>BFU.M.12x30</t>
  </si>
  <si>
    <t>"Bloco cerâmico furado para paredes de 15 cm nominal de argila cozida em forno a alta temperatura."</t>
  </si>
  <si>
    <t>BFU.M.12x15</t>
  </si>
  <si>
    <t>BFU.M.12x40</t>
  </si>
  <si>
    <t>BFU.M.12x20</t>
  </si>
  <si>
    <t>BFU.M.15x30</t>
  </si>
  <si>
    <t>"Bloco cerâmico furado para paredes de 20 cm nominal de argila cozida em forno a alta temperatura."</t>
  </si>
  <si>
    <t>BFU.M.15x15</t>
  </si>
  <si>
    <t>BFU.M.15x40</t>
  </si>
  <si>
    <t>BFU.M.15x20</t>
  </si>
  <si>
    <t>BFU.M.20x30</t>
  </si>
  <si>
    <t>"Bloco cerâmico furado para paredes de 25 cm nominal de argila cozida em forno a alta temperatura."</t>
  </si>
  <si>
    <t>BFU.M.20x15</t>
  </si>
  <si>
    <t>BFU.M.20x40</t>
  </si>
  <si>
    <t>BFU.M.20x20</t>
  </si>
  <si>
    <t>CAU.M.10x30</t>
  </si>
  <si>
    <t>"Canaleta cerâmica U para vergas e contravergas em aberturas de paredes de 10 cm."</t>
  </si>
  <si>
    <t>CAU.M.12x30</t>
  </si>
  <si>
    <t>"Canaleta cerâmica U para vergas e contravergas em aberturas de paredes de 15 cm."</t>
  </si>
  <si>
    <t>CAU.M.15x30</t>
  </si>
  <si>
    <t>"Canaleta cerâmica U para vergas e contravergas em aberturas de paredes de 20 cm."</t>
  </si>
  <si>
    <t>CAU.M.20x30</t>
  </si>
  <si>
    <t>"Canaleta cerâmica U para vergas e contravergas em aberturas de paredes de 25 cm."</t>
  </si>
  <si>
    <t>CAJ.M.10x30</t>
  </si>
  <si>
    <t>"Canaleta cerâmica J para cintas e finalização da laje em paredes de 10 cm."</t>
  </si>
  <si>
    <t>CAJ.M.12x30</t>
  </si>
  <si>
    <t>"Canaleta cerâmica J para cintas e finalização da laje em paredes de 15 cm."</t>
  </si>
  <si>
    <t>CAJ.M.15x30</t>
  </si>
  <si>
    <t>"Canaleta cerâmica J para cintas e finalização da laje em paredes de 20 cm."</t>
  </si>
  <si>
    <t>CAJ.M.20x30</t>
  </si>
  <si>
    <t>"Canaleta cerâmica J para cintas e finalização da laje em paredes de 25 cm."</t>
  </si>
  <si>
    <t>BGEA</t>
  </si>
  <si>
    <t>"Bloco de gesso alveolar."</t>
  </si>
  <si>
    <t>"JK América"</t>
  </si>
  <si>
    <t>BCCA</t>
  </si>
  <si>
    <t>"Bloco de concreto celular autoclavado."</t>
  </si>
  <si>
    <t>"Sical"</t>
  </si>
  <si>
    <t>Tijolo.A</t>
  </si>
  <si>
    <t>"Tijolo maciço laminado para fachada."</t>
  </si>
  <si>
    <t>"Fachada"</t>
  </si>
  <si>
    <t>Tijolo.C</t>
  </si>
  <si>
    <t>"Tijolo cerâmico comúm."</t>
  </si>
  <si>
    <t>"Cerâmica RBR"</t>
  </si>
  <si>
    <t>TJ100</t>
  </si>
  <si>
    <t>"Tijolo de solo-cimento prensado tipo Tijolito."</t>
  </si>
  <si>
    <t>"Em obra"</t>
  </si>
  <si>
    <t>TJ101</t>
  </si>
  <si>
    <t>"Meio-Tijolo de solo-cimento prensado tipo Tijolito."</t>
  </si>
  <si>
    <t>TJ102</t>
  </si>
  <si>
    <t>"Tijolo de solo-cimento prensado tipo Tijolito com 1 abertura para instações."</t>
  </si>
  <si>
    <t>TJ103</t>
  </si>
  <si>
    <t>TJ104</t>
  </si>
  <si>
    <t>"Tijolo de solo-cimento prensado tipo Tijolito com 2 aberturas para instações."</t>
  </si>
  <si>
    <t>DWA.01</t>
  </si>
  <si>
    <t>"Chapa cimentícia Kauf Aquapanel."</t>
  </si>
  <si>
    <t>"Kauf"</t>
  </si>
  <si>
    <t>DWA.02</t>
  </si>
  <si>
    <t>"Chapa cimentícia Kauf Drywall Diamant."</t>
  </si>
  <si>
    <t>EUC.01</t>
  </si>
  <si>
    <t>"Eucatex"</t>
  </si>
  <si>
    <t>VID.12</t>
  </si>
  <si>
    <t>"Vidro laminado de 12 mm para divisória."</t>
  </si>
  <si>
    <t>"Neocom"</t>
  </si>
  <si>
    <t>VID.08</t>
  </si>
  <si>
    <t>"Vidro plumbífero de 8 mm para proteção contra os raios X nocivos à saúde. Tem alta capacidade de blindar radiações ionizantes."</t>
  </si>
  <si>
    <t xml:space="preserve">"Sala de Tomografia" </t>
  </si>
  <si>
    <t>"BragaX"</t>
  </si>
  <si>
    <t>equivalência.pb</t>
  </si>
  <si>
    <t>SAN.01</t>
  </si>
  <si>
    <t>"Argamassa assentamento com traço '1-2-8'."</t>
  </si>
  <si>
    <t>"Argamassa de chapisco impermeabilizante com traço '1-2'."</t>
  </si>
  <si>
    <t xml:space="preserve">"Argamassa de chapisco com traço '1-4'." </t>
  </si>
  <si>
    <t>"Argamassa para emboços com traço '1-1-6'."</t>
  </si>
  <si>
    <t>"Argamassa para reboco com traço '1-3'."</t>
  </si>
  <si>
    <t>"Painel MDF perfurado Nexacustic 32, com face frisada. Com Plenum de 50 mm + lã de 50 mm."</t>
  </si>
  <si>
    <t>"Sala de Audio"</t>
  </si>
  <si>
    <t>"Painel MDF perfurado Nexacustic 40, com face frisada. Com Plenum de 50 mm + lã de 50 mm."</t>
  </si>
  <si>
    <t>é.chapa.de</t>
  </si>
  <si>
    <t>Divisória.01</t>
  </si>
  <si>
    <t>"Divisória Drywall."</t>
  </si>
  <si>
    <t>Divisória.02</t>
  </si>
  <si>
    <t>"Divisória Drywall com tratamento acústico."</t>
  </si>
  <si>
    <t>Divisória.03</t>
  </si>
  <si>
    <t>"Divisória naval."</t>
  </si>
  <si>
    <t>Divisória.04</t>
  </si>
  <si>
    <t>"Divisória de vidro."</t>
  </si>
  <si>
    <t>Divisória.05</t>
  </si>
  <si>
    <t>Parede.01</t>
  </si>
  <si>
    <t>"Parede de tijolo comúm com tijolos assentados meia vez (assentamento cutelo ou fação)."</t>
  </si>
  <si>
    <t>é.assentada.com</t>
  </si>
  <si>
    <t>é.meia.vez</t>
  </si>
  <si>
    <t>é.revestida.com</t>
  </si>
  <si>
    <t>resistência.ao.fogo</t>
  </si>
  <si>
    <t>Parede.02</t>
  </si>
  <si>
    <t>"Parede de tijolo comúm com tijolos assentados uma vez (assentamento tição)."</t>
  </si>
  <si>
    <t>é.uma.vez</t>
  </si>
  <si>
    <t>Parede.03</t>
  </si>
  <si>
    <t>Parede.04</t>
  </si>
  <si>
    <t>"Parede de blocos de concreto para vedação assentados meia vez."</t>
  </si>
  <si>
    <t>Parede.05</t>
  </si>
  <si>
    <t>Parede.06</t>
  </si>
  <si>
    <t>Parede.07</t>
  </si>
  <si>
    <t>Parede.08</t>
  </si>
  <si>
    <t>"Parede de bloco cerâmico furado"</t>
  </si>
  <si>
    <t>Parede.09</t>
  </si>
  <si>
    <t>Parede.10</t>
  </si>
  <si>
    <t>Parede.11</t>
  </si>
  <si>
    <t>Parede.12</t>
  </si>
  <si>
    <t>"Parede de bloco de gesso alveolar"</t>
  </si>
  <si>
    <t>Parede.13</t>
  </si>
  <si>
    <t>"Parede de bloco de concreto celular autoclavado."</t>
  </si>
  <si>
    <t>COLA.01</t>
  </si>
  <si>
    <t>TACO.7x21</t>
  </si>
  <si>
    <t>ARGAM.1.2.8</t>
  </si>
  <si>
    <t>ARGAM.1.2</t>
  </si>
  <si>
    <t>ARGAM.1.4</t>
  </si>
  <si>
    <t>ARGAM.1.1.6</t>
  </si>
  <si>
    <t>ARGAM.1.3</t>
  </si>
  <si>
    <t>ARGAM.1.02.6</t>
  </si>
  <si>
    <t>ARGAM.1.6</t>
  </si>
  <si>
    <t>ARGAM.AC.I</t>
  </si>
  <si>
    <t>ARGAM.AC.II</t>
  </si>
  <si>
    <t>ARGAM.AC.III</t>
  </si>
  <si>
    <t>ARGAM.AC.IIIE</t>
  </si>
  <si>
    <t>ARGAM.BARI</t>
  </si>
  <si>
    <t xml:space="preserve">Revestimento para paredes exteriores em sistemas ventilados ou diretamente aplicados. Alumínio composto (ACM) de alta resistência às intempéries, raios UV e corrosão. </t>
  </si>
  <si>
    <t>Revestimiento para paredes exteriores en sistemas ventilados o de aplicación directa. Aluminio compuesto (ACM) con alta resistencia a la intemperie, a los rayos UV y a la corrosión.</t>
  </si>
  <si>
    <t>Paredes interiores altas (piso-teto) levantadas pela sobreposição de elementos unitários como blocos ou tijolos.</t>
  </si>
  <si>
    <t>Paredes exteriores baixas tipo mureta levantadas pela sobreposição de elementos unitários como blocos ou tijolos.</t>
  </si>
  <si>
    <t>Paredes interiores baixas tipo mureta levantadas pela sobreposição de elementos unitários como blocos ou tijolos.</t>
  </si>
  <si>
    <t>Paredes altas interiores (piso-techo) levantadas con elementos unitarios superpuestos como bloques o ladrillos.</t>
  </si>
  <si>
    <t>Paredes bajas interiores levantadas por elementos unitarios superpuestos como bloques o ladrillos.</t>
  </si>
  <si>
    <t>Paredes exteriores bajas levantadas por la superposición de elementos unitarios como bloques o ladrillos.</t>
  </si>
  <si>
    <t>Bloco.Gesso.Maciço</t>
  </si>
  <si>
    <t>Bloco.Gesso.Alveolar</t>
  </si>
  <si>
    <t>Bloco.Concreto.Estrutural</t>
  </si>
  <si>
    <t>Bloco.Concreto.Vedação</t>
  </si>
  <si>
    <t>Tijolo.Ecológico</t>
  </si>
  <si>
    <t>Pintura.Primer</t>
  </si>
  <si>
    <t>Pintura.Demão.1</t>
  </si>
  <si>
    <t>Pintura.Demão.2</t>
  </si>
  <si>
    <t>Pintura.Demão.Final</t>
  </si>
  <si>
    <t>Demão 1 de pintura de finalização do revestimento, aplicar depois das demãos de primer.</t>
  </si>
  <si>
    <t>Demão 2 de pintura de finalização do revestimento, aplicar depois da demão 1.</t>
  </si>
  <si>
    <t>Demão de finalização de pintura, aplicar depois da demão 1 ou 2 conforme necessidade.</t>
  </si>
  <si>
    <t>Primeira mano de pintura, aplicar después de la capa de imprimación.</t>
  </si>
  <si>
    <t>Segunda mano de pintura, aplicar después de la primera mano.</t>
  </si>
  <si>
    <t>Mano final de pintura, aplicar después de mano 1 o 2 según la necesidad.</t>
  </si>
  <si>
    <t>Piso.Taco</t>
  </si>
  <si>
    <t>Piso.Vinílico</t>
  </si>
  <si>
    <t>Piso.Elevado</t>
  </si>
  <si>
    <t>Piso.Cimentado</t>
  </si>
  <si>
    <t>Piso.Gramado</t>
  </si>
  <si>
    <t>Piso.Bloquete.Carro</t>
  </si>
  <si>
    <t>Piso.Concretado</t>
  </si>
  <si>
    <t>Piso.Asfaltado</t>
  </si>
  <si>
    <t>Piso.Tátil.Alerta</t>
  </si>
  <si>
    <t>Piso.Tátil.Direcional</t>
  </si>
  <si>
    <t>Piso.Intertravado</t>
  </si>
  <si>
    <t>Piso.Fulget</t>
  </si>
  <si>
    <t>Piso.Bloquete.Grama</t>
  </si>
  <si>
    <t>Piso.Automotivo</t>
  </si>
  <si>
    <t>Piso.Carpete</t>
  </si>
  <si>
    <t>Camada de piso de taco de madeira.</t>
  </si>
  <si>
    <t>Camada de piso vinílico.</t>
  </si>
  <si>
    <t>Camada de piso de pedra natural, tipo granitos, mármores, ardózias, etc.</t>
  </si>
  <si>
    <t xml:space="preserve">Camada de piso de pedras sintéticas tipo Silestone, </t>
  </si>
  <si>
    <t>Camada de piso elevados para escritórios e datacenters.</t>
  </si>
  <si>
    <t>Camada de piso de elementos translúcidos ou transparentes como bloques de vidros ou vidros especiais.</t>
  </si>
  <si>
    <t>Camada de piso de material têxtil tipo carpetes.</t>
  </si>
  <si>
    <t>Camada de piso contínuos cimentados.</t>
  </si>
  <si>
    <t>Camada de pisos verdes de grama natural ou artificial.</t>
  </si>
  <si>
    <t>Camada de piso intertravado para calçadas de pedestres.</t>
  </si>
  <si>
    <t>Capa de piso de placa de alta resistencia para soporte de vehículos.</t>
  </si>
  <si>
    <t>Capa de piso entrelazada para aceras peatonales.</t>
  </si>
  <si>
    <t>Capa de suelo de parquet de madera.</t>
  </si>
  <si>
    <t>Capa de suelo de vinilo.</t>
  </si>
  <si>
    <t>Capa de pavimentos de piedra natural, como granitos, mármoles, pizarras, etc.</t>
  </si>
  <si>
    <t>Capa de rodadura de piedra sintética tipo Silestone,</t>
  </si>
  <si>
    <t>Capa de piso elevado para oficinas y centros de datos.</t>
  </si>
  <si>
    <t>Capa de suelo de elementos translúcidos o transparentes como bloques de vidrio o vidrios especiales.</t>
  </si>
  <si>
    <t>Capa de suelo de material textil como alfombras.</t>
  </si>
  <si>
    <t>Capa de suelo cementado macizo.</t>
  </si>
  <si>
    <t>Capa de suelos verdes de césped natural o artificial.</t>
  </si>
  <si>
    <t>Piso.Porcelanato</t>
  </si>
  <si>
    <t>Piso.Cerâmico</t>
  </si>
  <si>
    <t>Piso.Pedra.Natural</t>
  </si>
  <si>
    <t>Piso.Pedra.Sintética</t>
  </si>
  <si>
    <t>Parede.Porcelanato</t>
  </si>
  <si>
    <t>Parede.Cerâmica</t>
  </si>
  <si>
    <t>Camada de piso paginado em peças cerâmicas.</t>
  </si>
  <si>
    <t>Camada de piso paginado em peças de porcelanato.</t>
  </si>
  <si>
    <t>Camada de piso drenante tipo bloquetes vazados para permitir o crescimento de grama entre as peças.</t>
  </si>
  <si>
    <t>Camada de piso drenante tipo fulget para jardins, piscinas e exteriores.</t>
  </si>
  <si>
    <t>Camada de piso drenante de bloquetes de concreto de alta resistência para suporte veicular.</t>
  </si>
  <si>
    <t>Camada de piso de alta resistência de placas para suporte veicular.</t>
  </si>
  <si>
    <t>Camada de piso de alta resistência concretado para tráfico veicular.</t>
  </si>
  <si>
    <t>Camada de piso de alta resistência asfaltado de alta resistência para tráfico veicular.</t>
  </si>
  <si>
    <t>Camada de piso acessível tátil de alerta.</t>
  </si>
  <si>
    <t>Camada de piso acessível tátil de direção.</t>
  </si>
  <si>
    <t>Camada de membrana contínua tipo manta isolante acústica.</t>
  </si>
  <si>
    <t>Camada de membrana contínua tipo manta isolante hidrófuga.</t>
  </si>
  <si>
    <t>Camada de membrana contínua tipo manta isolante térmica.</t>
  </si>
  <si>
    <t>Manta aislante acústica tipo capa de membrana continua.</t>
  </si>
  <si>
    <t>Manta aislante hidrófuga tipo capa de membrana continua.</t>
  </si>
  <si>
    <t>Manta aislante térmica tipo capa de membrana continua.</t>
  </si>
  <si>
    <t>Capa de banda de rodadura accesible de alerta táctil.</t>
  </si>
  <si>
    <t>Capa de banda de rodadura accesible direccional táctil.</t>
  </si>
  <si>
    <t>Capa de suelo asfáltico de alta resistencia para el tráfico rodado.</t>
  </si>
  <si>
    <t>Capa de suelo hormigonado de alta resistencia para el tráfico rodado.</t>
  </si>
  <si>
    <t>Capa de piso drenante de bloques de concreto de alta resistencia para soporte vehicular.</t>
  </si>
  <si>
    <t>Capa de suelo drenante tipo fulget para jardines, piscinas y exteriores.</t>
  </si>
  <si>
    <t>Capa de drenaje de piso tipo bloques huecos para permitir que el césped crezca entre las piezas.</t>
  </si>
  <si>
    <t>Capa de pavimento paginado en piezas cerámicas.</t>
  </si>
  <si>
    <t>Capa de suelo paginado en gres porcelánico.</t>
  </si>
  <si>
    <t>Camada de cavidade de ar na parede para finalidade acústica.</t>
  </si>
  <si>
    <t>Ar.Acústica</t>
  </si>
  <si>
    <t>Ar.Térmica</t>
  </si>
  <si>
    <t>Camada de cavidade de ar na parede para finalidade térmica.</t>
  </si>
  <si>
    <t>Cámara de aire en la pared para finalidad térmica.</t>
  </si>
  <si>
    <t>Cámara de aire en la pared para finalidad acústica.</t>
  </si>
  <si>
    <t>100.Piso</t>
  </si>
  <si>
    <t>100.Parede</t>
  </si>
  <si>
    <t>100.Divisória</t>
  </si>
  <si>
    <t>100.Forro</t>
  </si>
  <si>
    <t>200.Piso</t>
  </si>
  <si>
    <t>200.Parede</t>
  </si>
  <si>
    <t>200.Divisória</t>
  </si>
  <si>
    <t>200.Forro</t>
  </si>
  <si>
    <t>Parede.Azulejada</t>
  </si>
  <si>
    <t>Parede.Lambri</t>
  </si>
  <si>
    <t>Parede.Emplacada</t>
  </si>
  <si>
    <t>Parede.Painel</t>
  </si>
  <si>
    <t>Parede.Alucobond</t>
  </si>
  <si>
    <t>Parede.Fachada</t>
  </si>
  <si>
    <t>Parede.Hidráulica</t>
  </si>
  <si>
    <t>Revestimento de peças de porcelanato paginados na parede.</t>
  </si>
  <si>
    <t>Revestimento de peças cerâmicas paginadas na parede.</t>
  </si>
  <si>
    <t>Revestimiento de piezas cerámicas paginadas en la pared.</t>
  </si>
  <si>
    <t>Revestimiento de gres porcelánico paginada en la pared.</t>
  </si>
  <si>
    <t xml:space="preserve">Gradil de barras chatas de aço estrutural de alta resistência. </t>
  </si>
  <si>
    <t xml:space="preserve">Gradil aramado de aço galvanizado. </t>
  </si>
  <si>
    <t>Piso.Gradil</t>
  </si>
  <si>
    <t>Capa de suelo de elemento tipo reja de acero carbono de alta resistencia SAE 1045 y perfiles estructurales.</t>
  </si>
  <si>
    <t>Camada de piso de elemento gradil de aço carbono de alta resistência SAE 1045 e perfis estruturais.</t>
  </si>
  <si>
    <t>Piso.Vidro</t>
  </si>
  <si>
    <t>Rejas de barras planas de acero estructural de alta resistencia.</t>
  </si>
  <si>
    <t>Rejas de alambre de acero galvanizado.</t>
  </si>
  <si>
    <t>Paredes exteriores altas tipo muro de divisa de elementos unitários como blocos ou tijolos.</t>
  </si>
  <si>
    <t>Paredes exteriores altas tipo muro divisor de elementos unitarios como bloques o ladrillos.</t>
  </si>
  <si>
    <t>Muro.Interno.Alto</t>
  </si>
  <si>
    <t>Muro.Interno.Baixo</t>
  </si>
  <si>
    <t>Muro.Externo.Alto</t>
  </si>
  <si>
    <t>Muro.Externo.Baixo</t>
  </si>
  <si>
    <t>Muro interior alto moldado In Loco com fôrmas em materiais moldáveis.</t>
  </si>
  <si>
    <t>Muro interior baixo moldado In Loco com fôrmas em materiais moldáveis.</t>
  </si>
  <si>
    <t>Muro exterior alto moldado In Loco com fôrmas em materiais moldáveis.</t>
  </si>
  <si>
    <t>Muro exterior baixo moldado In Loco com fôrmas em materiais moldáveis.</t>
  </si>
  <si>
    <t>Pared interior baja moldeada In Loco con moldes de moldeo moldeables.</t>
  </si>
  <si>
    <t>Pared exterior alta moldeada In Loco con moldes moldeables.</t>
  </si>
  <si>
    <t>Pared exterior baja moldeada In Loco con moldes de moldeo moldeables.</t>
  </si>
  <si>
    <t>Pared interior alto moldeado In Loco con encofrado en materiales moldeables.</t>
  </si>
  <si>
    <t>Parede.Interna.Alta</t>
  </si>
  <si>
    <t>Parede.Interna.Baixa</t>
  </si>
  <si>
    <t>Parede.Externa.Alta</t>
  </si>
  <si>
    <t>Parede.Externa.Baixa</t>
  </si>
  <si>
    <t>Drywall</t>
  </si>
  <si>
    <t>Drywall.Acústico</t>
  </si>
  <si>
    <t>Divisória.Pedra</t>
  </si>
  <si>
    <t>Divisória.Gesso</t>
  </si>
  <si>
    <t>Divisória.Vidro</t>
  </si>
  <si>
    <t>PLACA.32</t>
  </si>
  <si>
    <t>PLACA.40</t>
  </si>
  <si>
    <t>Cielorraso con revestimiento de placas de yeso.</t>
  </si>
  <si>
    <t>Cielorraso con revestimiento de yeso aplicado.</t>
  </si>
  <si>
    <t>Forro acústico suspenso tipo baffle cilíndrico para controle da inteligibilidade acústica.</t>
  </si>
  <si>
    <t>Forro acústico suspenso tipo baffle linear para controle da inteligibilidade acústica.</t>
  </si>
  <si>
    <t>Forro acústico suspenso tipo nuvem com geometrias diversas para controle da inteligibilidade acústica.</t>
  </si>
  <si>
    <t>Cielorraso de espuma acústica adhesivada.</t>
  </si>
  <si>
    <t>Cielorraso acústico de placas adhesivadas con volúmenes piramidales 3D y varias formas para la absorción del sonido.</t>
  </si>
  <si>
    <t>Cielorraso acústico de placas adhesivadas con varias formas para absorción acústica.</t>
  </si>
  <si>
    <t>Cielorraso acústico suspendido con deflector cilíndrico para el control de la inteligibilidad acústica.</t>
  </si>
  <si>
    <t>Cielorraso acústico suspendido con deflector lineal para el control de la inteligibilidad acústica.</t>
  </si>
  <si>
    <t>Cielorraso acústico suspendido tipo nube con diferentes geometrías para controlar la inteligibilidad acústica.</t>
  </si>
  <si>
    <t>Forro acústico suspenso tipo nuvem quadrada para controle da inteligibilidade acústica.</t>
  </si>
  <si>
    <t>Forro acústico suspenso tipo nuvem cilíndrica para controle da inteligibilidade acústica.</t>
  </si>
  <si>
    <t>Cielorraso acústico suspendido tipo nube cilíndrica para el control de la inteligibilidad acústica.</t>
  </si>
  <si>
    <t>Cielorraso acústico suspendido tipo nube cuadrada para el control de la inteligibilidad acústica.</t>
  </si>
  <si>
    <t>Argamassa para colar peças cerámicas ou porcelanatos em paredes.</t>
  </si>
  <si>
    <t>Mortero para pegar piezas cerámicas o porcelanatos en paredes.</t>
  </si>
  <si>
    <t>Argamassa utilizada para proteção radiológica. Usar em paredes de salas de radioterapia, radiologia, medicina nuclear de centros de saúde.</t>
  </si>
  <si>
    <t>Mortero utilizado para protección radiológica. Usar en paredes de salas de radioterapia, radiología, medicina nuclear de centros de salud.</t>
  </si>
  <si>
    <t>Piso definido em etapas iniciais do projeto. Nivel de detalhamento, desenvolvimento ou informação 100.</t>
  </si>
  <si>
    <t>Paredes definida em etapas iniciais do projeto. Nivel de detalhamento, desenvolvimento ou informação 100.</t>
  </si>
  <si>
    <t>Divisória definida em etapas iniciais do projeto. Nivel de detalhamento, desenvolvimento ou informação 100.</t>
  </si>
  <si>
    <t>Forro definido em etapas iniciais do projeto. Nivel de detalhamento, desenvolvimento ou informação 100.</t>
  </si>
  <si>
    <t>Piso definido en las primeras etapas del proyecto. Nivel de detalle, desarrollo o información 100.</t>
  </si>
  <si>
    <t>Cielorraso definido en las primeras etapas del proyecto. Nivel de detalle, desarrollo o información 100.</t>
  </si>
  <si>
    <t>AnteProjeto</t>
  </si>
  <si>
    <t>Mortero para enlucir la superficie a regularizar las paredes.</t>
  </si>
  <si>
    <t>Mortero para enlucido final de las paredes.</t>
  </si>
  <si>
    <t>Mortero para los contrapisos.</t>
  </si>
  <si>
    <t>Argamassa para chapiscar paredes.</t>
  </si>
  <si>
    <t>Mortero para salpicar paredes.</t>
  </si>
  <si>
    <t>Argamassa para de emboço regularizadora da superfície da parede.</t>
  </si>
  <si>
    <t>Argamassa para reboco final da parede.</t>
  </si>
  <si>
    <t>Preliminar</t>
  </si>
  <si>
    <t>Paredes definida em etapa de anteprojeto ou projeto básico. Nivel de detalhamento, desenvolvimento ou informação 200.</t>
  </si>
  <si>
    <t>Piso definido em etapa de anteprojeto ou projeto básico. Nivel de detalhamento, desenvolvimento ou informação 200.</t>
  </si>
  <si>
    <t>Divisória definida em etapa de anteprojeto ou projeto básico. Nivel de detalhamento, desenvolvimento ou informação 200.</t>
  </si>
  <si>
    <t>Forro definido em etapa de anteprojeto ou projeto básico. Nivel de detalhamento, desenvolvimento ou informação 200.</t>
  </si>
  <si>
    <t>Piso definido en la etapa de diseño preliminar o diseño básico. Nivel de detalle, desarrollo o información 200.</t>
  </si>
  <si>
    <t>Paredes definidas en la etapa de diseño preliminar o diseño básico. Nivel de detalle, desarrollo o información 200.</t>
  </si>
  <si>
    <t>Tabique definido en la etapa de diseño preliminar o diseño básico. Nivel de detalle, desarrollo o información 200.</t>
  </si>
  <si>
    <t>Tabique definido en las primeras etapas del proyecto. Nivel de detalle, desarrollo o información 100.</t>
  </si>
  <si>
    <t>Paredes definidas en las primeras etapas del proyecto. Nivel de detalle, desarrollo o información 100.</t>
  </si>
  <si>
    <t>Cielorraso definido en la etapa de diseño preliminar o diseño básico. Nivel de detalle, desarrollo o información 200.</t>
  </si>
  <si>
    <t>Divisória.Naval</t>
  </si>
  <si>
    <t xml:space="preserve">Divisória leve tipo naval com placas de 1,20 x 2,10 m e espessura de 3,5 cm. </t>
  </si>
  <si>
    <t xml:space="preserve">Tabique leve tipo divisória naval de placas de 1,20 x 2,10 m y espesor de 3,5 cm. </t>
  </si>
  <si>
    <t>Divisória de placas de granilite para boxes sanitários.</t>
  </si>
  <si>
    <t>Tabique de placa de granilite para división de cabinas sanitarias.</t>
  </si>
  <si>
    <t>Divisória.Laminada</t>
  </si>
  <si>
    <t>Divisória de placas de laminado estrutural TS para boxes sanitários.</t>
  </si>
  <si>
    <t>Tabique de placa de laminado estrutural TS para división de cabinas sanitarias.</t>
  </si>
  <si>
    <t>"Divisória sanitária de placas de granilite."</t>
  </si>
  <si>
    <t>"Placa de laminado estrutural TS Alcoplac para divisória de box sanitário."</t>
  </si>
  <si>
    <t>"Chapa tipo Eucatex para uma divisória eucatex."</t>
  </si>
  <si>
    <t>Chapa para divisória formada por miolo em colneia e chapas feitas a partir de fibras de eucalipto.</t>
  </si>
  <si>
    <t>Lámina para tabique formada por núcleo de córnea y láminas de fibras de eucalipto.</t>
  </si>
  <si>
    <t>Porta.Simples</t>
  </si>
  <si>
    <t>Porta.Dupla</t>
  </si>
  <si>
    <t>Porta.Frigorífica</t>
  </si>
  <si>
    <t>Porta.Biológica</t>
  </si>
  <si>
    <t>Porta.Corta.Fogo</t>
  </si>
  <si>
    <t>Porta.Assimétrica</t>
  </si>
  <si>
    <t>Janela.Fixa</t>
  </si>
  <si>
    <t>Janela.Batente</t>
  </si>
  <si>
    <t>Janela.Pivotante</t>
  </si>
  <si>
    <t>Janela.Basculante</t>
  </si>
  <si>
    <t>Visor.Fixo</t>
  </si>
  <si>
    <t>Grelha.Fixa</t>
  </si>
  <si>
    <t>Janela.Integral</t>
  </si>
  <si>
    <t>Grelha.Removível</t>
  </si>
  <si>
    <t>PassT.Farmacéutico</t>
  </si>
  <si>
    <t>PassT.Biológico</t>
  </si>
  <si>
    <t>Compartimento sellado para pasar objetos instalado entre dos salas (por ejemplo, una sala limpia y un laboratorio).</t>
  </si>
  <si>
    <t>Compartimento selado para passagem de objetos instalado entre duas salas (por exemplo, uma sala limpa e um laboratório).</t>
  </si>
  <si>
    <t>Abertura para passagem de alimentos entre uma cozinha industrial e um restaurante.</t>
  </si>
  <si>
    <t>Visor.Blindado</t>
  </si>
  <si>
    <t>Visor.Deslizante</t>
  </si>
  <si>
    <t>Visor.Basculante</t>
  </si>
  <si>
    <t>Porta.Bandeira</t>
  </si>
  <si>
    <t>Porta.Blindada</t>
  </si>
  <si>
    <t>Porta simples.</t>
  </si>
  <si>
    <t>Porta bandeira.</t>
  </si>
  <si>
    <t>PassT.Alimentação</t>
  </si>
  <si>
    <t>Alçapão.Emergência</t>
  </si>
  <si>
    <t>Abertura no teto que permite alcançar uma saída adicional de escape.</t>
  </si>
  <si>
    <t>Abertura no teto que permite alcançar instalações elétricas, hidráulicas ou de climatização.</t>
  </si>
  <si>
    <t>Persiana.Horizontal</t>
  </si>
  <si>
    <t>Persiana.Vertical</t>
  </si>
  <si>
    <t>Janela.Corrediça</t>
  </si>
  <si>
    <t>Porta.Corrediça</t>
  </si>
  <si>
    <t>Janela.MaximAr</t>
  </si>
  <si>
    <t>Puerta simple.</t>
  </si>
  <si>
    <t>Abertura en el techo que permite acceder a instalaciones eléctricas, hidráulicas o de climatización.</t>
  </si>
  <si>
    <t>Abertura en el techo que permite llegar a una salida de escape adicional.</t>
  </si>
  <si>
    <t>Compartimento sellado para el paso de objetos instalado entre dos salas (por ejemplo, una sala limpia y un laboratorio).</t>
  </si>
  <si>
    <t>Apertura para que la comida pase entre una cocina industrial y un restaurante.</t>
  </si>
  <si>
    <t>Elemento de protección solar tipo persiana interna horizontal.</t>
  </si>
  <si>
    <t>Elemento de protección solar tipo persiana interna vertical.</t>
  </si>
  <si>
    <t>Porta corrediça.</t>
  </si>
  <si>
    <t>Porta dupla. Sempre com as folhas do mesmo tamanho.</t>
  </si>
  <si>
    <t>Porta corta fogo. Usadas em circulações verticais de escape.</t>
  </si>
  <si>
    <t>Porta Biológica. Utilizadas em laboratórios com controle biológico ou salas limpas.</t>
  </si>
  <si>
    <t>Porta Blindada. Utilizadas em sistemas de segurança ou com blindagem para raios X ou Gamma em ambientes hospitalares.</t>
  </si>
  <si>
    <t>Porta frigorífica. Utilizadas em câmaras frias.</t>
  </si>
  <si>
    <t>Puerta com bandera superior.</t>
  </si>
  <si>
    <t>Porta Giratória.</t>
  </si>
  <si>
    <t>Porta.Giratória</t>
  </si>
  <si>
    <t>Porta.Telescópica</t>
  </si>
  <si>
    <t>Porta com trilhos e guias que permitem a movimentação de duas ou mais folhas sobrepostas.</t>
  </si>
  <si>
    <t>Puerta giratoria.</t>
  </si>
  <si>
    <t>Puerta corrediza.</t>
  </si>
  <si>
    <t>Porta dupla assimétrica. Por exemple uma folha de 40 cm e outra de 80 cm .</t>
  </si>
  <si>
    <t>Puerta doble asimétrica. Por ejemplo uma hoja de 40 cm y otra de 80 cm .</t>
  </si>
  <si>
    <t>Puerta doble. Siempre con hojas de tamanhos iguales.</t>
  </si>
  <si>
    <t>Puerta cortafuegos. Usadas en circulaciones verticales de escape.</t>
  </si>
  <si>
    <t>Elemento de ventilação e iluminação tipo Janela fixa.</t>
  </si>
  <si>
    <t>Elemento de ventilação e iluminação tipo Janela de abrir.</t>
  </si>
  <si>
    <t>Elemento de ventilação e iluminação tipo Janela corrediça.</t>
  </si>
  <si>
    <t>Elemento de ventilação e iluminação tipo Janela integral.</t>
  </si>
  <si>
    <t>Puerta biológica. Se utiliza en laboratorios con control biológico o salas blancas.</t>
  </si>
  <si>
    <t>Puerta blindada. Se utiliza en sistemas de seguridad o con blindaje de rayos X o gamma en entornos hospitalarios.</t>
  </si>
  <si>
    <t>Puerta con rieles y guías que permiten el movimiento de dos o más hojas superpuestas.</t>
  </si>
  <si>
    <t>Elemento de iluminación natural tipo Ventana fija.</t>
  </si>
  <si>
    <t>Elemento de ventilación e iluminación natural tipo Ventana Integral de fachada.</t>
  </si>
  <si>
    <t>Elemento complementario para puertas: Rejilla de ventilación fija.</t>
  </si>
  <si>
    <t>Elemento complementario para puertas: Rejilla de ventilación removible.</t>
  </si>
  <si>
    <t>Elemento complementario para puertas: Visor fijo.</t>
  </si>
  <si>
    <t>Elemento complementario para puertas: Visor basculante.</t>
  </si>
  <si>
    <t>Elemento complementario para puertas: Visor deslizante.</t>
  </si>
  <si>
    <t>Elemento complementario para puertas: Visor blindado para puerta blindada.</t>
  </si>
  <si>
    <t>Elemento complementar de porta: Grelha fixa.</t>
  </si>
  <si>
    <t>Elemento complementar de porta: Grelha removível.</t>
  </si>
  <si>
    <t>Elemento complementar de porta: Visor fixo.</t>
  </si>
  <si>
    <t>Elemento complementar de porta: Visor basculante.</t>
  </si>
  <si>
    <t>Elemento complementar de porta: Visor deslizante.</t>
  </si>
  <si>
    <t>Elemento complementar de porta: Visor blindado para porta blindada.</t>
  </si>
  <si>
    <t>Janela.Telescópica</t>
  </si>
  <si>
    <t>Elemento de ventilação e iluminação tipo Janela com trilhos e guias que permitem a movimentação de duas ou mais folhas sobrepostas.</t>
  </si>
  <si>
    <t>Elemento de ventilación e iluminación natural tipo Ventana con rieles y guías que permiten el movimiento de dos o más hojas superpuestas.</t>
  </si>
  <si>
    <t>200.Porta</t>
  </si>
  <si>
    <t>200.Janela</t>
  </si>
  <si>
    <t>100.Porta</t>
  </si>
  <si>
    <t>100.Janela</t>
  </si>
  <si>
    <t>Porta. Nivel de detalhamento, desenvolvimento ou informação 200.</t>
  </si>
  <si>
    <t>Janela. Nivel de detalhamento, desenvolvimento ou informação 200.</t>
  </si>
  <si>
    <t>Puerta. Nivel de detalle, desarrollo o información 100.</t>
  </si>
  <si>
    <t>Ventana. Nivel de detalle, desarrollo o información 100.</t>
  </si>
  <si>
    <t>Puerta. desarrollo o información 200.</t>
  </si>
  <si>
    <t>Ventana. Nivel de detalle, desarrollo o información 200.</t>
  </si>
  <si>
    <t>Claraboia.Tubular</t>
  </si>
  <si>
    <t>Claraboia.Cúpula</t>
  </si>
  <si>
    <t>Claraboia.Piramidal</t>
  </si>
  <si>
    <t>Elemento de ventilação e iluminação posicionado na cobertura tipo cúpula.</t>
  </si>
  <si>
    <t>Elemento de ventilação e iluminação posicionado na cobertura tipo túnel de luz.</t>
  </si>
  <si>
    <t>Elemento de ventilação e iluminação posicionado na cobertura tipo pirâmide.</t>
  </si>
  <si>
    <t>Elemento de ventilación e iluminación posicionado en la cubierta tipo cúpula.</t>
  </si>
  <si>
    <t>Elemento de ventilación e iluminación posicionado en la cubierta tipo túnel de luz.</t>
  </si>
  <si>
    <t>Elemento de ventilación e iluminación posicionado en la cubierta tipo piramidal.</t>
  </si>
  <si>
    <t>Portão de Garagem ou Estacionamento.</t>
  </si>
  <si>
    <t>Portón de Garage o Estacionamiento.</t>
  </si>
  <si>
    <t>Portón Seccional de Fábrica, Galpón industrial o Estadio.</t>
  </si>
  <si>
    <t>Portão Seccional de Fábrica, Galpão industrial ou Estádio.</t>
  </si>
  <si>
    <t>Alçapão.Acesso</t>
  </si>
  <si>
    <t>Pintura.Proteção</t>
  </si>
  <si>
    <t>Demãos de pintura de proteção anticorrosiva.</t>
  </si>
  <si>
    <t>Capas de pintura de protección anticorrosión.</t>
  </si>
  <si>
    <t>Janela.Guilhotina</t>
  </si>
  <si>
    <t>Elemento de ventilação e iluminação tipo Janela guilhotina.</t>
  </si>
  <si>
    <t>Elemento de ventilação e iluminação tipo Janela basculante. A folha abre metade para o lado interior e metade para o exterior.</t>
  </si>
  <si>
    <t>Elemento de ventilación e iluminación natural tipo Ventana basculante. La hoja articula desde el medio marco 50% hacia el lado interior y 50% hacia el exterior.</t>
  </si>
  <si>
    <t>Elemento de ventilación e iluminación natural tipo Ventana abatibles. Las hojas abren hacia dentro girando desde el marco vertical.</t>
  </si>
  <si>
    <t>Porta.Articulada</t>
  </si>
  <si>
    <t>Porta articulada. Também conhecida como camarão. A articulação é com dobradiças centrais.</t>
  </si>
  <si>
    <t>Puerta de frigorífica. Utilizadas en cámaras frigoríficas.</t>
  </si>
  <si>
    <t>Porta.Pivotante</t>
  </si>
  <si>
    <t>Puerta plegable. También conocida como camarón. La articulación es con bisagras centrales en las hojas.</t>
  </si>
  <si>
    <t>Elemento de ventilação e iluminação tipo Janela tipo Maxim-Ar. A folha inclina para o lado externo mediante braços articulados laterais.</t>
  </si>
  <si>
    <t>Elemento de ventilación e iluminación natural tipo Ventana Maxim-Air. La hoja inclina para el lado externo mediante brazos articulados laterales.</t>
  </si>
  <si>
    <t>Elemento de ventilación e iluminación natural tipo Ventana guillotina. Las hojas deslizan verticalmente.</t>
  </si>
  <si>
    <t>Elemento de ventilación e iluminación natural tipo Ventana corrediza. Las hojas corren horizontalmente.</t>
  </si>
  <si>
    <t>Porta.Veneziana</t>
  </si>
  <si>
    <t>Puerta veneciana tiene láminas inclinadas que permiten la ventilación y um poco de entrada de luz. Permitem aireación constante.</t>
  </si>
  <si>
    <t>Porta veneziana tem aletas inclinadas que permitem a ventilação e um pouco de entrada de luz. Permitem arejamento constante.</t>
  </si>
  <si>
    <t>Janela.Oscilobatente</t>
  </si>
  <si>
    <t xml:space="preserve">Elemento de ventilación e iluminación natural tipo Ventana oscilobatiente inclina su parte superior hacia adentro del ambiente. </t>
  </si>
  <si>
    <t xml:space="preserve">Elemento de ventilação e iluminação tipo Janela oscilobatente inclina sua parte superior para o interior do ambiente. </t>
  </si>
  <si>
    <t>Porta pivotante. Gira em torno de um eixo vertical deslocado do batente, com pinos fixados na parte superior e inferior da folha.</t>
  </si>
  <si>
    <t>Elemento de ventilação e iluminação tipo Janela pivotante. Gira em torno de um eixo vertical deslocado do batente, com pinos fixados na parte superior e inferior da folha.</t>
  </si>
  <si>
    <t>Puerta pivotante. Gira sobre un eje vertical deslocado del marco, con pinos fijados en la parte superior e inferior de la hoja.</t>
  </si>
  <si>
    <t>Elemento de ventilación e iluminación natural tipo Ventana pivotante. Gira sobre un eje vertical deslocado del marco, con pinos fijados en la parte superior e inferior de la hoja.</t>
  </si>
  <si>
    <t>Janela.Veneziana</t>
  </si>
  <si>
    <t>Janela veneziana tem aletas inclinadas que permitem a ventilação e um pouco de entrada de luz. Permitem arejamento constante.</t>
  </si>
  <si>
    <t>Ventana veneciana tiene láminas inclinadas que permiten la ventilación y um poco de entrada de luz. Permitem aireación constante.</t>
  </si>
  <si>
    <t>Banheira</t>
  </si>
  <si>
    <t>Aparelho sanitário para imersão do corpo humano ou partes dele.</t>
  </si>
  <si>
    <t>Aparatos sanitarios para la inmersión del cuerpo humano o partes del mismo.</t>
  </si>
  <si>
    <t>Terminal sanitário que fornece um jato de água de baixa pressão para uma finalidade específica.</t>
  </si>
  <si>
    <t>Terminal sanitaria que proporciona un chorro de agua a baja presión para un fin específico.</t>
  </si>
  <si>
    <t>Bidet</t>
  </si>
  <si>
    <t>Aparelho de águas residuais para lavar os órgãos excretores enquanto está sentado montado na bacia sanitária.</t>
  </si>
  <si>
    <t>Aparato de aguas residuales para enjuagar los órganos excretores mientras se está sentado, montado en el inodoro.</t>
  </si>
  <si>
    <t>Chuveiro</t>
  </si>
  <si>
    <t>Instalação ou aparelho de águas residuais que emite um jato de água para lavar o corpo humano.</t>
  </si>
  <si>
    <t>Una instalación o aparato de aguas residuales que emite un chorro de agua para lavar el cuerpo humano.</t>
  </si>
  <si>
    <t>Aparelho de águas residuais para lavar as partes superiores do corpo.</t>
  </si>
  <si>
    <t>Aparato de aguas residuales para lavar las partes superiores del cuerpo.</t>
  </si>
  <si>
    <t>Mictório</t>
  </si>
  <si>
    <t>Aparelho de solo que recebe a urina e a direciona para uma saída de resíduos.</t>
  </si>
  <si>
    <t>Aparato de tierra que recibe la orina y la dirige a una salida de desechos.</t>
  </si>
  <si>
    <t>Pia</t>
  </si>
  <si>
    <t>Aparelho de águas residuais para recebimento, retenção ou eliminação de aparelhos domésticos, culinários, laboratoriais.</t>
  </si>
  <si>
    <t>Aparatos para aguas residuales para recibir, retener o eliminar aparatos domésticos, culinarios, de laboratorio.</t>
  </si>
  <si>
    <t>Terminal sanitário é um aparelho fixo ou terminal geralmente abastecido com água e usado para beber.</t>
  </si>
  <si>
    <t>Terminal sanitario es un aparato fijo o terminal que generalmente se suministra con agua y se utiliza para beber.</t>
  </si>
  <si>
    <t>Vaso.Sanitário</t>
  </si>
  <si>
    <t>Aparelho de solo para eliminação de excrementos.</t>
  </si>
  <si>
    <t>Aparato de suelo para la eliminación de excrementos.</t>
  </si>
  <si>
    <t>Vaso.Sanitário.Assento</t>
  </si>
  <si>
    <t>Assento articulado obsoleto que se encaixa no topo de uma panela de vaso sanitário (wc).</t>
  </si>
  <si>
    <t>Asiento abatible obsoleto que se coloca encima de una bandeja de inodoro (inodoro).</t>
  </si>
  <si>
    <t>Unidade de armazenamento de água conectada a um terminal sanitário equipado com um dispositivo, operado automaticamente.</t>
  </si>
  <si>
    <t>Unidad de almacenamiento de agua conectada a una terminal sanitaria equipada con un dispositivo, operada automáticamente.</t>
  </si>
  <si>
    <t>Bancada.Banheiro</t>
  </si>
  <si>
    <t>Bancada.Cozinha</t>
  </si>
  <si>
    <t>Peça.Sanitária</t>
  </si>
  <si>
    <t>Móveis definem móveis completos, como mesa, escrivaninha, cadeira ou armário.</t>
  </si>
  <si>
    <t>Los muebles definen muebles completos, como una mesa, un escritorio, una silla o un armario.</t>
  </si>
  <si>
    <t>Móveis para sentar uma única pessoa.</t>
  </si>
  <si>
    <t>Móveis com bancada e gavetas opcionais para uma única pessoa.</t>
  </si>
  <si>
    <t>Móveis para guardar livros ou outros itens.</t>
  </si>
  <si>
    <t>Móveis com bancada para várias pessoas.</t>
  </si>
  <si>
    <t>Móvel</t>
  </si>
  <si>
    <t>Cadeira</t>
  </si>
  <si>
    <t>Escribania</t>
  </si>
  <si>
    <t>Prateleira</t>
  </si>
  <si>
    <t>Mesa</t>
  </si>
  <si>
    <t>Móvel.Sistema</t>
  </si>
  <si>
    <t>Telhado</t>
  </si>
  <si>
    <t>Telhado ou teto com forma semicilíndrica.</t>
  </si>
  <si>
    <t>Telhado hemisférico.</t>
  </si>
  <si>
    <t>Telhado sem inclinação ou com apenas uma ligeira inclinação para drenar a água de chuva.</t>
  </si>
  <si>
    <t>Telhado na forma livre.</t>
  </si>
  <si>
    <t>Telhado inclinado para baixo em duas partes a partir de uma cumeeira central, de modo a formar uma empena em cada extremidade.</t>
  </si>
  <si>
    <t>Telhado com extremidades inclinadas e lados que se encontram numa projeção inclinada.</t>
  </si>
  <si>
    <t>Telhado com uma extremidade de quatro águas truncando uma empena.</t>
  </si>
  <si>
    <t>Telhado com de cada lado parte inferior mais íngreme e parte superior mais rasa.</t>
  </si>
  <si>
    <t>Telhado de quadril piramidal.</t>
  </si>
  <si>
    <t>Telhado de duas águas em forma de amplo arco gótico, com superfícies convexas e levemente inclinadas.</t>
  </si>
  <si>
    <t>Telhado com uma única inclinação.</t>
  </si>
  <si>
    <t>Telhados: acabamento do beiral.</t>
  </si>
  <si>
    <t>Alero del tejado: terminación.</t>
  </si>
  <si>
    <t>Telhados: aberturas.</t>
  </si>
  <si>
    <t>Tejados y cubiertas:: aperturas.</t>
  </si>
  <si>
    <t>Telhados: arestas interiores.</t>
  </si>
  <si>
    <t>Tejados y cubiertas: aristas interiores.</t>
  </si>
  <si>
    <t>Telhados: forro interno do beiral.</t>
  </si>
  <si>
    <t>Alero del tejado: cielorraso interno.</t>
  </si>
  <si>
    <t>Telhados: projeção.</t>
  </si>
  <si>
    <t>Tejados y cubiertas: projeção.</t>
  </si>
  <si>
    <t>Telhados: núcleo.</t>
  </si>
  <si>
    <t>Tejados y cubiertas: núcleo.</t>
  </si>
  <si>
    <t>Telhados: substrato.</t>
  </si>
  <si>
    <t>Tejados y cubiertas: substrato.</t>
  </si>
  <si>
    <t>Telhado.Barril</t>
  </si>
  <si>
    <t>Telhado.Borboleta</t>
  </si>
  <si>
    <t>Telhado.Cúpula</t>
  </si>
  <si>
    <t>Telhado.Plano</t>
  </si>
  <si>
    <t>Telhado.2.Aguas</t>
  </si>
  <si>
    <t>Telhado.Mansarda.Americana</t>
  </si>
  <si>
    <t>Telhado.4.Aguas</t>
  </si>
  <si>
    <t>Telhado.Mansarda</t>
  </si>
  <si>
    <t>Telhado.Pavilhão</t>
  </si>
  <si>
    <t>Telhado.Arco.Iris</t>
  </si>
  <si>
    <t>Telhado.Inclinado</t>
  </si>
  <si>
    <t>Telhado.Abertura</t>
  </si>
  <si>
    <t>Telhado.Perímetro</t>
  </si>
  <si>
    <t>Armário.de.Livros</t>
  </si>
  <si>
    <t>Armário.de.Ferramentas</t>
  </si>
  <si>
    <t>Telhado.Projeção</t>
  </si>
  <si>
    <t>Telhado.Núcleo</t>
  </si>
  <si>
    <t>Telhado.Substrato</t>
  </si>
  <si>
    <t>Dispositivo.Médico</t>
  </si>
  <si>
    <t>Dispositivo médico está ligado a sistema de tubulação médica e opera sobre gases medicinais.</t>
  </si>
  <si>
    <t>El dispositivo médico está conectado al sistema de tuberías médicas y funciona con gases medicinales.</t>
  </si>
  <si>
    <t>Dispositivo que proporciona ar médico purificado, composto por um compressor aéreo.</t>
  </si>
  <si>
    <t>Dispositivo que proporciona aire medicinal purificado, compuesto por un compresor aéreo.</t>
  </si>
  <si>
    <t>Dispositivo que alimenta um gerador de oxigênio, composto por um compressor de ar, linha de tratamento de ar.</t>
  </si>
  <si>
    <t>Dispositivo que alimenta un generador de oxígeno, que consta de un compresor de aire, línea de tratamiento de aire.</t>
  </si>
  <si>
    <t>Dispositivo que gera oxigênio do ar.</t>
  </si>
  <si>
    <t>Un dispositivo que genera oxígeno a partir del aire.</t>
  </si>
  <si>
    <t>Dispositivo que combina uma unidade de ar de alimentação, gerador de oxigênio e backup de cilindros.</t>
  </si>
  <si>
    <t>Dispositivo que combina una unidad de suministro de aire, un generador de oxígeno y cilindros de respaldo.</t>
  </si>
  <si>
    <t>Dispositivo que fornece sucção, composto por uma bomba de vácuo e linha de filtração bacteriana.</t>
  </si>
  <si>
    <t>Dispositivo que proporciona succión, compuesto por una bomba de vacío y una línea de filtración bacteriana.</t>
  </si>
  <si>
    <t>Dispositivo para chamar à enfermagem.</t>
  </si>
  <si>
    <t>Dispositivo para llamar a la enfermería.</t>
  </si>
  <si>
    <t>Ar.Medicinal.Alimentador</t>
  </si>
  <si>
    <t>Ar.Medicinal.Estação</t>
  </si>
  <si>
    <t>Oxigênio.Gerador</t>
  </si>
  <si>
    <t>Oxigênio.Usina</t>
  </si>
  <si>
    <t>Vácuo.Medicinal.Estação</t>
  </si>
  <si>
    <t>Chamada.Enfermagem</t>
  </si>
  <si>
    <t>Bancada.Química</t>
  </si>
  <si>
    <t>Bancada.Biológica</t>
  </si>
  <si>
    <t>Bancada de apóio para equipamento sanitário.</t>
  </si>
  <si>
    <t>Bancada de apóio para equipamento de cozinhas e copas.</t>
  </si>
  <si>
    <t>Bancada de apoyo para equipos sanitarios.</t>
  </si>
  <si>
    <t>Bancada de apoyo para equipos de cocina y despensa.</t>
  </si>
  <si>
    <t>Telhado.Livre</t>
  </si>
  <si>
    <t>Beiral.Forro</t>
  </si>
  <si>
    <t>Beiral.Frente</t>
  </si>
  <si>
    <t>Telhado.Verde</t>
  </si>
  <si>
    <t>Vidros</t>
  </si>
  <si>
    <t>Puxadores</t>
  </si>
  <si>
    <t>Cabides</t>
  </si>
  <si>
    <t>Dobradiças</t>
  </si>
  <si>
    <t>Janelas</t>
  </si>
  <si>
    <t>Claraboias</t>
  </si>
  <si>
    <t>Grelhas</t>
  </si>
  <si>
    <t>Visores</t>
  </si>
  <si>
    <t>Portas</t>
  </si>
  <si>
    <t>Portões</t>
  </si>
  <si>
    <t>PassThroughs</t>
  </si>
  <si>
    <t>Persianas</t>
  </si>
  <si>
    <t>Brises</t>
  </si>
  <si>
    <t>Telhados</t>
  </si>
  <si>
    <t>Telhado ecológico com camadas drenantes e captadores de agua de chuva.</t>
  </si>
  <si>
    <t>Tejado verde ecológico, con capa drenante e captación de aguas pluviales.</t>
  </si>
  <si>
    <t>Tejado con dos vertientes, cada una de las cuales desciende hacia el alero.</t>
  </si>
  <si>
    <t>Tejado semiesférica.</t>
  </si>
  <si>
    <t>Tejado sin pendiente o con solo una ligera pendiente para drenar el agua de lluvia.</t>
  </si>
  <si>
    <t>Tejado en forma libre.</t>
  </si>
  <si>
    <t>Tejado a una sola vertiente.</t>
  </si>
  <si>
    <t>Tejado que se inclina hacia abajo en dos partes desde una cumbrera central para formar un hastial en cada extremo.</t>
  </si>
  <si>
    <t>Tejado con extremos inclinados y lados que se unen en un saliente inclinado.</t>
  </si>
  <si>
    <t>Tejado con un extremo a cuatro aguas que trunca un hastial.</t>
  </si>
  <si>
    <t>Tejado con fondo más empinado a cada lado y parte superior menos profunda.</t>
  </si>
  <si>
    <t>Tejado se inclina hacia abajo en dos partes desde una cumbrera central para formar un hastial en cada extremo.</t>
  </si>
  <si>
    <t>Tejado piramidal a cuatro aguas.</t>
  </si>
  <si>
    <t>Tejado a dos aguas en forma de amplio arco gótico, con superficies convexas y ligeramente inclinadas.</t>
  </si>
  <si>
    <t>Tejado con forma semicilíndrica.</t>
  </si>
  <si>
    <t>Muebles completos, como una mesa, un escritorio, una silla o un armario.</t>
  </si>
  <si>
    <t>Mueble para guardar libros u otros artículos.</t>
  </si>
  <si>
    <t>Sofá.2.Lugares</t>
  </si>
  <si>
    <t>Sofá.3.Lugares</t>
  </si>
  <si>
    <t>Poltrona</t>
  </si>
  <si>
    <t>Móveis para que se sente com conforto uma pessoa.</t>
  </si>
  <si>
    <t>Móveis para que se sentem com conforto duas pessoas.</t>
  </si>
  <si>
    <t>Móveis para que se sentem com conforto três pessoas.</t>
  </si>
  <si>
    <t>Cama.Casal</t>
  </si>
  <si>
    <t>Cama.Queen</t>
  </si>
  <si>
    <t>Cama.King</t>
  </si>
  <si>
    <t>Cama larga para uma pessoa.</t>
  </si>
  <si>
    <t>Cama padrão de uma pessoa.</t>
  </si>
  <si>
    <t>Cama padrão para casal.</t>
  </si>
  <si>
    <t>Cama ampla para casal.</t>
  </si>
  <si>
    <t>Cama muito ampla para casal.</t>
  </si>
  <si>
    <t>Cama estándar para una persona.</t>
  </si>
  <si>
    <t>Cama grande para una persona.</t>
  </si>
  <si>
    <t>Cama muy grande para una pareja.</t>
  </si>
  <si>
    <t>Cama grande para una pareja.</t>
  </si>
  <si>
    <t>Cama estándar para una pareja.</t>
  </si>
  <si>
    <t>Armário.de.Medicinas</t>
  </si>
  <si>
    <t>Poltrona.Paciente</t>
  </si>
  <si>
    <t>Maca</t>
  </si>
  <si>
    <t>Prateleira.Medicinas</t>
  </si>
  <si>
    <t>Armário.de.Roupa</t>
  </si>
  <si>
    <t>Mesa.Atendimento</t>
  </si>
  <si>
    <t>Cadeira.Paciente</t>
  </si>
  <si>
    <t>Cama.Hospitalar</t>
  </si>
  <si>
    <t>Cama hospitalar.</t>
  </si>
  <si>
    <t>Maca hospitalar.</t>
  </si>
  <si>
    <t>Prateleira para medicinas.</t>
  </si>
  <si>
    <t>Armário para medicinas.</t>
  </si>
  <si>
    <t>Armário de roupa.</t>
  </si>
  <si>
    <t>Mesa para atendimento.</t>
  </si>
  <si>
    <t>Poltrona de paciente.</t>
  </si>
  <si>
    <t>Cadeira de paciente.</t>
  </si>
  <si>
    <t>Camilla hospitalar.</t>
  </si>
  <si>
    <t>Silla para paciente.</t>
  </si>
  <si>
    <t>Poltrona para paciente.</t>
  </si>
  <si>
    <t>Mesa para atendimiento.</t>
  </si>
  <si>
    <t>Armario de ropa.</t>
  </si>
  <si>
    <t>Armario para remedios.</t>
  </si>
  <si>
    <t>Prateleira.Livros</t>
  </si>
  <si>
    <t>Mesa.Computador</t>
  </si>
  <si>
    <t>Mesa.Desenho</t>
  </si>
  <si>
    <t>Armário.Livros</t>
  </si>
  <si>
    <t>Armário.Modelos</t>
  </si>
  <si>
    <t>Cadeira.Aula</t>
  </si>
  <si>
    <t>Estante para libros.</t>
  </si>
  <si>
    <t>Armário para libros.</t>
  </si>
  <si>
    <t>Armário para modelos.</t>
  </si>
  <si>
    <t>Mesa para computador.</t>
  </si>
  <si>
    <t>Prateleira para libros.</t>
  </si>
  <si>
    <t>Mesa para computadora.</t>
  </si>
  <si>
    <t>Mesa para desenho.</t>
  </si>
  <si>
    <t>Cadeira para sala de aula.</t>
  </si>
  <si>
    <t>Brise.Retrátil.Horizontal</t>
  </si>
  <si>
    <t>Brise.Retratil.Vertical</t>
  </si>
  <si>
    <t>Vidro.Serigrafado</t>
  </si>
  <si>
    <t>Chapa de vidro Serigrafado que combina areas transparentes e opacas para o controle lumínico e solar.</t>
  </si>
  <si>
    <t>Lámina de vidrio Serigrafado que combina areas transparentes y opacas para el control lumínico y solar.</t>
  </si>
  <si>
    <t>Brise.Fixo.Horizontal</t>
  </si>
  <si>
    <t>Brise.Fixo.Vertical</t>
  </si>
  <si>
    <t>Brise.Perfurado.Horizontal</t>
  </si>
  <si>
    <t>Brise.Perfurado.Vertical</t>
  </si>
  <si>
    <t>Brise con placas perforadas fijas para bloquear la radiación solar que incide verticalmente, como ocurre en el hemisferio sur en las fachadas orientadas al Norte.</t>
  </si>
  <si>
    <t>Brise con placas perforadas fijas para bloquear la radiación solar que incide lateralmente, como ocurre en el hemisferio sur en fachadas orientadas al Este - Oeste.</t>
  </si>
  <si>
    <t>Brise de lámina fija bloquear la radiación solar que incide verticalmente, como ocurre en el hemisferio sur en las fachadas orientadas al Norte.</t>
  </si>
  <si>
    <t>Brise de lámina móvil para bloquear la radiación solar que incide verticalmente, como ocurre en el hemisferio sur en las fachadas orientadas al Norte.</t>
  </si>
  <si>
    <t>Brise de lámina móvil para bloquear la radiación solar que incide lateralmente, como ocurre en el hemisferio sur en las fachadas orientadas Este-Oeste.</t>
  </si>
  <si>
    <t>Brise de lámina fija para bloquear la radiación solar que incide lateralmente, como ocurre en el hemisferio sur en fachadas orientadas Este-Oeste.</t>
  </si>
  <si>
    <t>Abertura tipo portal sem porta, pode ser criada uma familia de porta sem elementos de folha e marco.</t>
  </si>
  <si>
    <t>Abertura tipo portal sin porta. Puede ser criada una familia de puerta sin los elementos de hoja y marco.</t>
  </si>
  <si>
    <t>Shaft.Elétrica</t>
  </si>
  <si>
    <t>Shaft.Hidráulico</t>
  </si>
  <si>
    <t>Shaft.AVAC</t>
  </si>
  <si>
    <t>Shafts</t>
  </si>
  <si>
    <t>Abertura numa laje.</t>
  </si>
  <si>
    <t>Abertura inespecífica.</t>
  </si>
  <si>
    <t>Passagens verticais tipo shaft exclusivas para instalações elétricas.</t>
  </si>
  <si>
    <t>Passagens verticais tipo shaft exclusivas para instalações hidráulicas.</t>
  </si>
  <si>
    <t>Passagens verticais tipo shaft exclusivas para instalações de AVAC</t>
  </si>
  <si>
    <t>Abertura en uma losa.</t>
  </si>
  <si>
    <t>Pasaje vertical tipo shaft exclusivas para instalaciones hidráulicas.</t>
  </si>
  <si>
    <t>Pasaje vertical tipo shaft exclusivas para instalaciones de AVAC.</t>
  </si>
  <si>
    <t>Passagens verticais tipo shaft para todas as instalações.</t>
  </si>
  <si>
    <t>Pasaje vertical tipo shaft exclusivas para todas las instalaciones.</t>
  </si>
  <si>
    <t>Pasaje vertical tipo shaft exclusivas para instalaciones eléctricas.</t>
  </si>
  <si>
    <t>Shaft.Instalação</t>
  </si>
  <si>
    <t>Cornija</t>
  </si>
  <si>
    <t>Borda.Laje</t>
  </si>
  <si>
    <t>Friso tipo cornija de parede.</t>
  </si>
  <si>
    <t>Friso tipo borda de laje saliente.</t>
  </si>
  <si>
    <t>Friso tipo entalhes estriados.</t>
  </si>
  <si>
    <t>Friso ornamental tipo cornisa de pared.</t>
  </si>
  <si>
    <t>Friso ornamental tipo borde de losa sobresaliente.</t>
  </si>
  <si>
    <t>Friso ornamental tipo moldura ranurada.</t>
  </si>
  <si>
    <t>Nicho.Entalhado</t>
  </si>
  <si>
    <t>Shaft.Lógico</t>
  </si>
  <si>
    <t>Passagens verticais tipo shaft exclusivas para instalações de rede de dados.</t>
  </si>
  <si>
    <t>Pasaje vertical tipo shaft exclusivas para instalaciones de rede de datos.</t>
  </si>
  <si>
    <t>Aparelho.Saúde</t>
  </si>
  <si>
    <t>00Super
Class
5</t>
  </si>
  <si>
    <t>Automática</t>
  </si>
  <si>
    <t>Bebedouro</t>
  </si>
  <si>
    <t>Lavatório</t>
  </si>
  <si>
    <t>Vaso.Sanitário.Caixa</t>
  </si>
  <si>
    <t>Fechaduras</t>
  </si>
  <si>
    <t>Multiponto</t>
  </si>
  <si>
    <t>Trava a porta em vários pontos simultaneamente. Muito usada em portas blindadas.</t>
  </si>
  <si>
    <t>Usa biometria. Oferece alto nível de segurança e praticidade.</t>
  </si>
  <si>
    <t>Usa chave como uma fechadura tradicional.</t>
  </si>
  <si>
    <t>Cartão.Magnético</t>
  </si>
  <si>
    <t>Usa cartão magnético.</t>
  </si>
  <si>
    <t>Trava la puerta en varios puntos simultaneamente. Muy usada en puertas blindadas.</t>
  </si>
  <si>
    <t>Usa biometría. Ofrece alto nivel de seguridad y practicidad.</t>
  </si>
  <si>
    <t>Usa tarjeta magnética.</t>
  </si>
  <si>
    <t>Usa llave como una cerradura tradicional.</t>
  </si>
  <si>
    <t>Maçanetas</t>
  </si>
  <si>
    <t>Alavanca</t>
  </si>
  <si>
    <t>Esférica</t>
  </si>
  <si>
    <t>Maçaneta esférica.</t>
  </si>
  <si>
    <t>Picaporte esférico.</t>
  </si>
  <si>
    <t>Barra para portas de emergência.</t>
  </si>
  <si>
    <t>Biométrica</t>
  </si>
  <si>
    <t>Manta.Piso.Acústico</t>
  </si>
  <si>
    <t>Manta.Piso.Térmico</t>
  </si>
  <si>
    <t>Manta.Piso.Hidrófugo</t>
  </si>
  <si>
    <t>Alavanca.e.Trinco</t>
  </si>
  <si>
    <t>Maçaneta tipo alavanca com trinco.</t>
  </si>
  <si>
    <t>Maçaneta tipo alavanca sem trinco.</t>
  </si>
  <si>
    <t>Picaporte tipo palanca sin llave.</t>
  </si>
  <si>
    <t>Picaporte tipo palanca con llave.</t>
  </si>
  <si>
    <t>Barra.Cantonera.Sanitária</t>
  </si>
  <si>
    <t>Barras.Apoio</t>
  </si>
  <si>
    <t>Barra.Angular.Sanitária</t>
  </si>
  <si>
    <t>Barra.Articulada</t>
  </si>
  <si>
    <t>Barra.Reta.Sanitário</t>
  </si>
  <si>
    <t>Barra.Articulada.com.Coluna</t>
  </si>
  <si>
    <t>Barra.Chuveiro.Sanitário</t>
  </si>
  <si>
    <t>Saída.Emergência</t>
  </si>
  <si>
    <t>Barra para apoio em sanitários utilizada para promoção de acessibilidade conforme norma ABNT 9050.</t>
  </si>
  <si>
    <t>Barra para apoio em box de chuveiros com trecho horizonta e vertical utilizada para promoção de acessibilidade conforme norma ABNT 9050.</t>
  </si>
  <si>
    <t>Barra para apoio em box sanitário para PNE em canto utilizada para promoção de acessibilidade conforme norma ABNT 9050.</t>
  </si>
  <si>
    <t>Barra para apoio em sanitários com trecho horizontal e trecho inclinado utilizada para promoção de acessibilidade conforme norma ABNT 9050.</t>
  </si>
  <si>
    <t>Barra para apoio lateral em sanitários utilizada para promoção de acessibilidade conforme norma ABNT 9050.</t>
  </si>
  <si>
    <t>Barra para apoio lateral com reforço vertical em sanitários utilizada para promoção de acessibilidade conforme norma ABNT 9050.</t>
  </si>
  <si>
    <t>Barra de apoyo en sanitarios utilizada para promover la accesibilidad según la norma ABNT 9050.</t>
  </si>
  <si>
    <t>Barra de apoyo en cabinas de ducha con tramo horizontal y vertical utilizada para favorecer la accesibilidad según la norma ABNT 9050.</t>
  </si>
  <si>
    <t>Barra de apoyo en box sanitario para PNE en esquina, utilizada para promover la accesibilidad según norma ABNT 9050.</t>
  </si>
  <si>
    <t>Barra para apoyo lateral con refuerzo vertical en inodoros utilizada para favorecer la accesibilidad según la norma ABNT 9050.</t>
  </si>
  <si>
    <t>Barra articulada de apoyo en sanitarios de tramo horizontal y tramo inclinado utilizada para favorecer la accesibilidad según la norma ABNT 9050.</t>
  </si>
  <si>
    <t>Barra articulada apoyo lateral en inodoros utilizada para promover la accesibilidad según la norma ABNT 9050.</t>
  </si>
  <si>
    <t>Gradil.de.Arame</t>
  </si>
  <si>
    <t>Gradil.de.Barra</t>
  </si>
  <si>
    <t>Alçapões</t>
  </si>
  <si>
    <t>Portão.Garagem</t>
  </si>
  <si>
    <t>Portão.Seccional</t>
  </si>
  <si>
    <t>Shaft.Inespecífico</t>
  </si>
  <si>
    <t>Shaft.Laje</t>
  </si>
  <si>
    <t xml:space="preserve">Elemento de iluminación natural tipo abertura sin elementos. Se puede crear una familia de ventana que contenga apenas el elemento de abertura (Opening). </t>
  </si>
  <si>
    <t xml:space="preserve">Elemento de ventilação e iluminação tipo vão aberto sem elementos. Pode-se criar uma família de janela que contenha apenas o elemento de abertura (Opening). </t>
  </si>
  <si>
    <t>Rodapé.Cerâmico</t>
  </si>
  <si>
    <t>Rodapé.Porcelanato</t>
  </si>
  <si>
    <t>Rodapé.Taco</t>
  </si>
  <si>
    <t>Rodapé.Vinílico</t>
  </si>
  <si>
    <t>Rodapé.Pedra.Natural</t>
  </si>
  <si>
    <t>Rodapé.Pedra.Sintética</t>
  </si>
  <si>
    <t>Rodapé para piso paginado em peças cerâmicas.</t>
  </si>
  <si>
    <t>Rodapé para piso paginado em peças de porcelanato.</t>
  </si>
  <si>
    <t>Rodapé para piso de taco de madeira.</t>
  </si>
  <si>
    <t>Rodapé para piso vinílico.</t>
  </si>
  <si>
    <t>Rodapé para piso de pedra natural, tipo granitos, mármores, ardózias, etc.</t>
  </si>
  <si>
    <t xml:space="preserve">Rodapé para piso de pedras sintéticas tipo Silestone, </t>
  </si>
  <si>
    <t>Zócalo paginado en piezas cerámicas.</t>
  </si>
  <si>
    <t>Zócalo paginado en gres porcelánico.</t>
  </si>
  <si>
    <t>Zócalo de parquet de madera.</t>
  </si>
  <si>
    <t>Zócalo de piso vinílico.</t>
  </si>
  <si>
    <t>Zócalo de piedra natural, como granitos, mármoles, pizarras, etc.</t>
  </si>
  <si>
    <t>Zócalo de piedra sintética tipo Silestone,</t>
  </si>
  <si>
    <t>Cama.Solteirx</t>
  </si>
  <si>
    <t>Cama.Viuvx</t>
  </si>
  <si>
    <t>Telhado.Agua.Furtada</t>
  </si>
  <si>
    <t>Calha.Moldura</t>
  </si>
  <si>
    <t>Calha.Quadrada</t>
  </si>
  <si>
    <t>Calha.Americana</t>
  </si>
  <si>
    <t>Telhados: calha de aguas pluviais do beiral tipo moldura.</t>
  </si>
  <si>
    <t>Telhados: calha de aguas pluviais do beiral tipo americana.</t>
  </si>
  <si>
    <t>Telhados: calha de aguas pluviais do beiral tipo quadrada.</t>
  </si>
  <si>
    <t>Alero del tejado: canaleta de agua pluvial tipo moldura.</t>
  </si>
  <si>
    <t>Alero del tejado: canaleta de agua pluvial tipo cuadrada.</t>
  </si>
  <si>
    <t>Alero del tejado: canaleta de agua pluvial tipo americana.</t>
  </si>
  <si>
    <t>Telhados: calha de aguas pluviais do telhado para o rincão.</t>
  </si>
  <si>
    <t>Alero del tejado: canaleta de agua pluvial para el rincón.</t>
  </si>
  <si>
    <t>Calha.Rincão</t>
  </si>
  <si>
    <t>Mob.Residenciais</t>
  </si>
  <si>
    <t>Mob.Ensino</t>
  </si>
  <si>
    <t>Bancada de apoyo para equipos de bares.</t>
  </si>
  <si>
    <t>Bancada de apóio para equipamento de bares.</t>
  </si>
  <si>
    <t>Bancada.Bar</t>
  </si>
  <si>
    <t>Placa.Cimentícia</t>
  </si>
  <si>
    <t>Placa.Metálica</t>
  </si>
  <si>
    <t>Placa.Eucatex</t>
  </si>
  <si>
    <t>Placa.Alumínio.Composto</t>
  </si>
  <si>
    <t>Placa.Laminada.TS</t>
  </si>
  <si>
    <t>Placa.Gesso.Acartonado</t>
  </si>
  <si>
    <t>Placa.Pedra</t>
  </si>
  <si>
    <t>Fixadores</t>
  </si>
  <si>
    <t>De.Banheiros</t>
  </si>
  <si>
    <t>Elemento de mobiliário do sistema define componentes de móveis modulares que não são colocados diretamente.</t>
  </si>
  <si>
    <t>El sistema de elementos de mobiliario define los componentes de los muebles modulares que no se colocan directamente.</t>
  </si>
  <si>
    <t>Painel vertical usado para dividir espaços de trabalho.</t>
  </si>
  <si>
    <t>Panel vertical utilizado para dividir espacios de trabajo.</t>
  </si>
  <si>
    <t>Subrack é parte do gabinete técnico que é usado para armazenar e montar subunidades elétricas conectáveis.</t>
  </si>
  <si>
    <t>Forma parte del armario técnico que se utiliza para almacenar y montar subunidades eléctricas enchufables.</t>
  </si>
  <si>
    <t>Bancada da estação de trabalho.</t>
  </si>
  <si>
    <t>Banco de trabajo de la estación de trabajo.</t>
  </si>
  <si>
    <t>Móvel.Sistema.Painel</t>
  </si>
  <si>
    <t>Móvel.Sistema.Modulo</t>
  </si>
  <si>
    <t>Móvel.Sistema.Tampo</t>
  </si>
  <si>
    <t>Móvel.Sistema.Elemento</t>
  </si>
  <si>
    <t>Massas</t>
  </si>
  <si>
    <t>Bloco.Principal</t>
  </si>
  <si>
    <t>Bloco.Secundário</t>
  </si>
  <si>
    <t>Bloco.Excêntrico</t>
  </si>
  <si>
    <t>É a massa volumétrica do bloco principal do projeto.</t>
  </si>
  <si>
    <t>É a massa volumétrica do bloco secundário do projeto.</t>
  </si>
  <si>
    <t>É a massa volumétrica de um bloco excêntrico do bloco principal do projeto.</t>
  </si>
  <si>
    <t>Es la masa volumétrica del bloque principal del proyecto.</t>
  </si>
  <si>
    <t>Es la masa volumétrica del bloque secundario del proyecto.</t>
  </si>
  <si>
    <t>Es la masa volumétrica de un bloque excéntrico del bloque principal del proyecto.</t>
  </si>
  <si>
    <t>Massa: massa de substração.</t>
  </si>
  <si>
    <t>Masa: masa que resta.</t>
  </si>
  <si>
    <t>Massa: parede externa.</t>
  </si>
  <si>
    <t>Masa: pared externa.</t>
  </si>
  <si>
    <t>Massa: parede externa subsolos.</t>
  </si>
  <si>
    <t>Masa: pared exterior del subsuelo.</t>
  </si>
  <si>
    <t>Massa: divisor de faces.</t>
  </si>
  <si>
    <t>Masa: separador de faces.</t>
  </si>
  <si>
    <t>Massa: piso.</t>
  </si>
  <si>
    <t>Masa: piso.</t>
  </si>
  <si>
    <t>Massa: todos os pisos.</t>
  </si>
  <si>
    <t>Misa: todos los pisos.</t>
  </si>
  <si>
    <t>Massa: forma da massa.</t>
  </si>
  <si>
    <t>Masa: forma de la masa.</t>
  </si>
  <si>
    <t>Massa: envidraçado.</t>
  </si>
  <si>
    <t>Masa: ventanas de vidrio.</t>
  </si>
  <si>
    <t>Massa: todos os envidraçados.</t>
  </si>
  <si>
    <t>Masa: todss las ventanas de vidrio.</t>
  </si>
  <si>
    <t>Massa: massa.</t>
  </si>
  <si>
    <t>Masa: masa.</t>
  </si>
  <si>
    <t>Massa: contornos de corte.</t>
  </si>
  <si>
    <t>Masa: corte de contornos.</t>
  </si>
  <si>
    <t>Masa: paredes interiores.</t>
  </si>
  <si>
    <t>Massa: aberturas.</t>
  </si>
  <si>
    <t>Masa: aberturas.</t>
  </si>
  <si>
    <t>Massa: telhados.</t>
  </si>
  <si>
    <t>Masa: techos.</t>
  </si>
  <si>
    <t>Massa: brises.</t>
  </si>
  <si>
    <t>Masa: para-soles.</t>
  </si>
  <si>
    <t>Massa: claraboias.</t>
  </si>
  <si>
    <t>Masa: claraboyas.</t>
  </si>
  <si>
    <t>Massa: lajes.</t>
  </si>
  <si>
    <t>Masa: losas.</t>
  </si>
  <si>
    <t>Misa: todas las paredes.</t>
  </si>
  <si>
    <t>Massa: zonas.</t>
  </si>
  <si>
    <t>Misa: zonas.</t>
  </si>
  <si>
    <t>Envoltória.Subsolos</t>
  </si>
  <si>
    <t>Envoltória</t>
  </si>
  <si>
    <t>Plano.de.Laje</t>
  </si>
  <si>
    <t>Planos.das.Lajes</t>
  </si>
  <si>
    <t>Volume.Formal</t>
  </si>
  <si>
    <t>Fachada.Envidraçada</t>
  </si>
  <si>
    <t>Fachadas.Envidraçadas</t>
  </si>
  <si>
    <t>Volume.Massas</t>
  </si>
  <si>
    <t>Massas.Aberturas</t>
  </si>
  <si>
    <t>Massas.Paredes.Internas</t>
  </si>
  <si>
    <t>Massas.Telhados</t>
  </si>
  <si>
    <t>Massas.Brises</t>
  </si>
  <si>
    <t>Massas.Claraboias</t>
  </si>
  <si>
    <t>Massas.Lajes</t>
  </si>
  <si>
    <t>Massas.Paredes</t>
  </si>
  <si>
    <t>Massas.Zonas</t>
  </si>
  <si>
    <t>Massa: todas as paredes.</t>
  </si>
  <si>
    <t>Massa: as paredes interiores.</t>
  </si>
  <si>
    <t>Massa.Void</t>
  </si>
  <si>
    <t>Massa.Divisor.de.Face</t>
  </si>
  <si>
    <t>Massa.Contorno</t>
  </si>
  <si>
    <t>Massa.Projeção</t>
  </si>
  <si>
    <t>Superfícies</t>
  </si>
  <si>
    <t>Volumetrias</t>
  </si>
  <si>
    <t>Una cubierta de lona u otro material que se extiende sobre una puerta, desde la parte superior de una ventana.</t>
  </si>
  <si>
    <t>Persiana enrollable con lamas horizontales orientables para admitir luz y aire.</t>
  </si>
  <si>
    <t>Dispositivo mecánico que limita el paso de la luz.</t>
  </si>
  <si>
    <t>Marquise</t>
  </si>
  <si>
    <t>Persiana</t>
  </si>
  <si>
    <t>Brise.Veneziana</t>
  </si>
  <si>
    <t>Marquises</t>
  </si>
  <si>
    <t>Elemento de sombreamento tipo Persiana com lâminas horizontais ajustáveis para admitir luz e ar.</t>
  </si>
  <si>
    <t>Elemento de sombreamento tipo persiana interna Horizontal.</t>
  </si>
  <si>
    <t>Elemento de sombreamento tipo persiana interna Vertical.</t>
  </si>
  <si>
    <t>Elemento de sombreamento tipo  Cobertura de lona ou outro material que se estende sobre uma porta, a partir do topo de uma janela.</t>
  </si>
  <si>
    <t>Elemento de sombreamento tipo Brise de láminas móveis para bloquear a radiação solar que incide verticalmente, como acontece no hemisfério Sul nas fachadas orientadas ao Norte.</t>
  </si>
  <si>
    <t>Elemento de sombreamento tipo Brise de láminas móveis para bloquear a radiação solar que incide lateralmente, como acontece no hemisfério Sul em fachadas orientadas ao Leste - Oeste.</t>
  </si>
  <si>
    <t>Elemento de sombreamento tipo Brise de láminas fixas para bloquear a radiação solar que incide verticalmente, como acontece no hemisfério Sul nas fachadas orientadas ao Norte.</t>
  </si>
  <si>
    <t>Elemento de sombreamento tipo Brise de láminas fixas para bloquear a radiação solar que incide lateralmente, como acontece no hemisfério Sul em fachadas orientadas ao Leste - Oeste.</t>
  </si>
  <si>
    <t>Elemento de sombreamento tipo Brise de placas perfuradas fixas para bloquear  a radiação solar que incide verticalmente, como acontece no hemisfério Sul nas fachadas orientadas ao Norte.</t>
  </si>
  <si>
    <t>Elemento de sombreamento tipo Brise de placas perfuradas fixas para bloquear a radiação solar que incide lateralmente, como acontece no hemisfério Sul em fachadas orientadas ao Leste - Oeste.</t>
  </si>
  <si>
    <t>Elemento de sombreamento tipo Dispositivo mecânico que limita a passagem de luz.</t>
  </si>
  <si>
    <t>000 Translate Classe 5</t>
  </si>
  <si>
    <t>Armário.de.Roupas</t>
  </si>
  <si>
    <t>Armário.de.Cozinha</t>
  </si>
  <si>
    <t>Armário para elementos de cozinha, pode ser alto ou baixo bancada.</t>
  </si>
  <si>
    <t>Armário com gavetas deslizantes e espaços para pendurar cabides de guardar roupas.</t>
  </si>
  <si>
    <t>Armário técnico é uma peça de mobiliário para segurar, exibir e proteger aparelhos técnicos.</t>
  </si>
  <si>
    <t>Armário aberto para guardar livros.</t>
  </si>
  <si>
    <t>Explanation</t>
  </si>
  <si>
    <t>Prof. José Luis Menegotto - DEG/POLI/UFRJ</t>
  </si>
  <si>
    <t>Idioma</t>
  </si>
  <si>
    <t>pt</t>
  </si>
  <si>
    <t>es</t>
  </si>
  <si>
    <t>en</t>
  </si>
  <si>
    <t>"-"</t>
  </si>
  <si>
    <t>Aviso</t>
  </si>
  <si>
    <t xml:space="preserve">Traduções ao espanhol e ao inglês incorporadas - As traduções devem ser constantemente revisadas </t>
  </si>
  <si>
    <t>Alert</t>
  </si>
  <si>
    <t>Advertência</t>
  </si>
  <si>
    <t>[ 3E.20 ]</t>
  </si>
  <si>
    <t>Arquitetônico</t>
  </si>
  <si>
    <t>Elementos.de.Vedação</t>
  </si>
  <si>
    <t>Divisórias.Fixas</t>
  </si>
  <si>
    <t>Divisórias.Articuladas</t>
  </si>
  <si>
    <t>Paredes.Moldadas</t>
  </si>
  <si>
    <t>Paredes.Assentadas</t>
  </si>
  <si>
    <t>Elementos.de.Massas</t>
  </si>
  <si>
    <t>Estudos.de.Arquitetura</t>
  </si>
  <si>
    <t>Elementos.de.Bancadas</t>
  </si>
  <si>
    <t>Elementos.de.Esquadrias</t>
  </si>
  <si>
    <t>Elementos.de.Passagens</t>
  </si>
  <si>
    <t>Elementos.de.Mobiliário</t>
  </si>
  <si>
    <t>Mob.Composto</t>
  </si>
  <si>
    <t>Mob.Hospitalar</t>
  </si>
  <si>
    <t>[ IfcSlab ]</t>
  </si>
  <si>
    <t>[ IfcCovering ]</t>
  </si>
  <si>
    <t>[ IfcDoor ]</t>
  </si>
  <si>
    <t>[ IfcWindow ]</t>
  </si>
  <si>
    <t>[ IfcBuildingElementProxy ]</t>
  </si>
  <si>
    <t>[ IfcWall ]</t>
  </si>
  <si>
    <t>[ IfcRailingFENCE ]</t>
  </si>
  <si>
    <t>[ IfcOpeningElementRECESS ]</t>
  </si>
  <si>
    <t>[ IfcRoof ]</t>
  </si>
  <si>
    <t>[ IfcRoofBARREL_ROOF ]</t>
  </si>
  <si>
    <t>[ IfcRoofBUTTERFLY_ROOF ]</t>
  </si>
  <si>
    <t>[ IfcRoofDOME_ROOF ]</t>
  </si>
  <si>
    <t>[ IfcRoofFLAT_ROOF ]</t>
  </si>
  <si>
    <t>[ IfcRoofFREEFORM ]</t>
  </si>
  <si>
    <t>[ IfcRoofSHED_ROOF ]</t>
  </si>
  <si>
    <t>[ IfcRoofGABLE_ROOF ]</t>
  </si>
  <si>
    <t>[ IfcRoofHIP_ROOF ]</t>
  </si>
  <si>
    <t>[ IfcRoofHIPPED_GABLE_ROOF ]</t>
  </si>
  <si>
    <t>[ IfcRoofMANSARD_ROOF ]</t>
  </si>
  <si>
    <t>[ IfcRoofGAMBREL_ROOF ]</t>
  </si>
  <si>
    <t>[ IfcRoofPAVILION_ROOF ]</t>
  </si>
  <si>
    <t>[ IfcRoofRAINBOW_ROOF ]</t>
  </si>
  <si>
    <t>[ IfcCoveringMEMBRANE ]</t>
  </si>
  <si>
    <t>[ IfcCoveringINSULATION ]</t>
  </si>
  <si>
    <t>[ IfcCoveringTOPPING ]</t>
  </si>
  <si>
    <t>[ IfcCoveringFLOORING ]</t>
  </si>
  <si>
    <t>[ IfcCoveringSKIRTINGBOARD ]</t>
  </si>
  <si>
    <t>[ IfcCoveringCLADDING ]</t>
  </si>
  <si>
    <t>[ IfcCoveringCOPING ]</t>
  </si>
  <si>
    <t>[ IfcCoveringCEILING ]</t>
  </si>
  <si>
    <t>[ IfcDiscreteAccessory ]</t>
  </si>
  <si>
    <t>[ IfcSanitaryTerminal ]</t>
  </si>
  <si>
    <t>[ IfcShadingDeviceJALOUSIE ]</t>
  </si>
  <si>
    <t>[ IfcShadingDeviceAWNING ]</t>
  </si>
  <si>
    <t>[ IfcShadingDeviceSHUTTER ]</t>
  </si>
  <si>
    <t>[ IfcOpeningElement ]</t>
  </si>
  <si>
    <t>[ IfcOpeningElementOPENING ]</t>
  </si>
  <si>
    <t>[ IfcSanitaryTerminalBATH ]</t>
  </si>
  <si>
    <t>[ IfcSanitaryTerminalSANITARYFOUNTAIN ]</t>
  </si>
  <si>
    <t>[ IfcSanitaryTerminalBIDET ]</t>
  </si>
  <si>
    <t>[ IfcSanitaryTerminalSHOWER ]</t>
  </si>
  <si>
    <t>[ IfcSanitaryTerminalWASHHANDBASIN ]</t>
  </si>
  <si>
    <t>[ IfcSanitaryTerminalURINAL ]</t>
  </si>
  <si>
    <t>[ IfcSanitaryTerminalSINK ]</t>
  </si>
  <si>
    <t>[ IfcSanitaryTerminalTOILETPAN ]</t>
  </si>
  <si>
    <t>[ IfcSanitaryTerminalWCSEAT ]</t>
  </si>
  <si>
    <t>[ IfcSanitaryTerminalCISTERN ]</t>
  </si>
  <si>
    <t>[ IfcMedicalDevice ]</t>
  </si>
  <si>
    <t>[ IfcMedicalDeviceAIRSTATION ]</t>
  </si>
  <si>
    <t>[ IfcMedicalDeviceFEEDAIRUNIT ]</t>
  </si>
  <si>
    <t>[ IfcMedicalDeviceVACUUMSTATION ]</t>
  </si>
  <si>
    <t>[ IfcMedicalDeviceOXYGENGENERATOR ]</t>
  </si>
  <si>
    <t>[ IfcMedicalDeviceOXYGENPLANT ]</t>
  </si>
  <si>
    <t>[ IfcDistributionSystemTELEPHONE ]</t>
  </si>
  <si>
    <t>[ IfcSystemFurnitureElement ]</t>
  </si>
  <si>
    <t>[ IfcSystemFurnitureElementPANEL ]</t>
  </si>
  <si>
    <t>[ IfcSystemFurnitureElementSUBRACK ]</t>
  </si>
  <si>
    <t>[ IfcSystemFurnitureElementWORKSURFACE ]</t>
  </si>
  <si>
    <t>[ IfcFurniture ]</t>
  </si>
  <si>
    <t>[ IfcFurnitureBED ]</t>
  </si>
  <si>
    <t>[ IfcFurnitureCHAIR ]</t>
  </si>
  <si>
    <t>[ IfcFurnitureDESK ]</t>
  </si>
  <si>
    <t>[ IfcFurnitureSOFA ]</t>
  </si>
  <si>
    <t>[ IfcFurnitureTABLE ]</t>
  </si>
  <si>
    <t>[ IfcFurnitureFILECABINET ]</t>
  </si>
  <si>
    <t>[ IfcFurnitureTECHNICALCABINET ]</t>
  </si>
  <si>
    <t>[ IfcFurnitureSHELF ]</t>
  </si>
  <si>
    <t>[ OST_Floors ]</t>
  </si>
  <si>
    <t>[ OST_Walls ]</t>
  </si>
  <si>
    <t>[ OST_Ceilings ]</t>
  </si>
  <si>
    <t>[ OST_Doors ]</t>
  </si>
  <si>
    <t>[ OST_Windows ]</t>
  </si>
  <si>
    <t>[ OST_Mass  ]</t>
  </si>
  <si>
    <t>[ OST_MassForm ]</t>
  </si>
  <si>
    <t>[ OST_Massing ]</t>
  </si>
  <si>
    <t>[ OST_MassZone ]</t>
  </si>
  <si>
    <t>[ OST_MassCutter ]</t>
  </si>
  <si>
    <t>[ OST_MassFaceSplitter ]</t>
  </si>
  <si>
    <t>[ OST_MassingCutOutlines ]</t>
  </si>
  <si>
    <t>[ OST_MassingProjectionOutlines ]</t>
  </si>
  <si>
    <t>[ OST_MassFloor ]</t>
  </si>
  <si>
    <t>[ OST_MassFloorsAll ]</t>
  </si>
  <si>
    <t>[ OST_MassExteriorWall ]</t>
  </si>
  <si>
    <t>[ OST_MassExteriorWallUnderground ]</t>
  </si>
  <si>
    <t>[ OST_MassGlazing ]</t>
  </si>
  <si>
    <t>[ OST_MassGlazingAll ]</t>
  </si>
  <si>
    <t>[ OST_MassInteriorWall ]</t>
  </si>
  <si>
    <t>[ OST_MassWallsAll ]</t>
  </si>
  <si>
    <t>[ OST_MassOpening ]</t>
  </si>
  <si>
    <t>[ OST_MassSlab ]</t>
  </si>
  <si>
    <t>[ OST_MassRoof ]</t>
  </si>
  <si>
    <t>[ OST_MassShade ]</t>
  </si>
  <si>
    <t>[ OST_MassSkylights ]</t>
  </si>
  <si>
    <t>[ OST_Curtain_Systems ]</t>
  </si>
  <si>
    <t>[ OST_Cornices ]</t>
  </si>
  <si>
    <t>[ OST_EdgeSlab ]</t>
  </si>
  <si>
    <t>[ OST_Reveals ]</t>
  </si>
  <si>
    <t>[ OST_Roofs ]</t>
  </si>
  <si>
    <t>[ OST_RoofOpening ]</t>
  </si>
  <si>
    <t>[ OST_RoofsInteriorEdges ]</t>
  </si>
  <si>
    <t>[ OST_Fascia ]</t>
  </si>
  <si>
    <t>[ OST_RoofSoffit ]</t>
  </si>
  <si>
    <t>[ OST_Gutter ]</t>
  </si>
  <si>
    <t>[ OST_RoofsProjection ]</t>
  </si>
  <si>
    <t>[ OST_RoofsStructure ]</t>
  </si>
  <si>
    <t>[ OST_RoofsSubstrate ]</t>
  </si>
  <si>
    <t>[ OST_MEPAncillaryFraming ]</t>
  </si>
  <si>
    <t>[ OST_Entourage ]</t>
  </si>
  <si>
    <t>[ OST_IOSOpening ]</t>
  </si>
  <si>
    <t>[ OST_ShaftOpening ]</t>
  </si>
  <si>
    <t>[ OST_MedicalEquipment ]</t>
  </si>
  <si>
    <t>[ OST_NurseCallDevices ]</t>
  </si>
  <si>
    <t>[ OST_FurnitureSystems ]</t>
  </si>
  <si>
    <t>[ OST_Furniture ]</t>
  </si>
  <si>
    <t>Bancadas.Residenciais</t>
  </si>
  <si>
    <t>Bancadas.Laboratoriais</t>
  </si>
  <si>
    <t>Ontologia para descrever elementos Arquitetônicos - Pisos - Paredes - Divisórias e Tetos, Esquadrias, Bancadas...</t>
  </si>
  <si>
    <t>Telha_PO</t>
  </si>
  <si>
    <t>classe</t>
  </si>
  <si>
    <t>"PO"</t>
  </si>
  <si>
    <t>"Telhado de fibrocimento de Pequenas ondas"</t>
  </si>
  <si>
    <t>altura.nominal.da.onda</t>
  </si>
  <si>
    <t>"15 ≤    h ≤ 25"</t>
  </si>
  <si>
    <t>espessura.nominal</t>
  </si>
  <si>
    <t>carga.mínima.ruptura.saturada</t>
  </si>
  <si>
    <t>carga.mínima.ruptura.seca</t>
  </si>
  <si>
    <t>norma</t>
  </si>
  <si>
    <t>Telha_MO4</t>
  </si>
  <si>
    <t>"MO4"</t>
  </si>
  <si>
    <t>"Telhado de fibrocimento de Médias ondas"</t>
  </si>
  <si>
    <t>"25 &lt;    h ≤ 40"</t>
  </si>
  <si>
    <t>Telha_MO5</t>
  </si>
  <si>
    <t>"MO5"</t>
  </si>
  <si>
    <t>Telha_GO5</t>
  </si>
  <si>
    <t>"GO5"</t>
  </si>
  <si>
    <t>"Telhado de fibrocimento de Grandes ondas"</t>
  </si>
  <si>
    <t>"40 &lt;    h ≤ 105"</t>
  </si>
  <si>
    <t>Telha_GO6</t>
  </si>
  <si>
    <t>"GO6"</t>
  </si>
  <si>
    <t>Telha_GO7</t>
  </si>
  <si>
    <t>"GO7"</t>
  </si>
  <si>
    <t>Telha_GO8</t>
  </si>
  <si>
    <t>"GO8"</t>
  </si>
  <si>
    <t>Telha_GG6</t>
  </si>
  <si>
    <t>"GG6"</t>
  </si>
  <si>
    <t>"Telhado de fibrocimento de Ondas Muito Grandes"</t>
  </si>
  <si>
    <t>"105 &lt; h ≤ 150"</t>
  </si>
  <si>
    <t>Telha_GG7</t>
  </si>
  <si>
    <t>"GG7"</t>
  </si>
  <si>
    <t>Telha_GG8</t>
  </si>
  <si>
    <t>"GG8"</t>
  </si>
  <si>
    <t>Telha_TE7</t>
  </si>
  <si>
    <t>"TE7"</t>
  </si>
  <si>
    <t>"Telhado de fibrocimento de Telha Estrutural L &lt; 0.7"</t>
  </si>
  <si>
    <t>"150 &lt; h"</t>
  </si>
  <si>
    <t>"NE"</t>
  </si>
  <si>
    <t>Telha_TE8</t>
  </si>
  <si>
    <t>"TE8"</t>
  </si>
  <si>
    <t>"Telhado de fibrocimento de Telha Estrutural L &gt;=0.7"</t>
  </si>
  <si>
    <t>"Eternit"</t>
  </si>
  <si>
    <t>"Aplica a NBR 15210-1:2025"</t>
  </si>
  <si>
    <t>Janela.Abertura</t>
  </si>
  <si>
    <t>Porta.Abertura</t>
  </si>
  <si>
    <t>diâmetro</t>
  </si>
  <si>
    <t>é.emplacada.com</t>
  </si>
  <si>
    <t>é.usado.em</t>
  </si>
  <si>
    <t>"Projeto de teste para formalização ontológica"</t>
  </si>
  <si>
    <t>projeto.nome</t>
  </si>
  <si>
    <t>projeto.etapa</t>
  </si>
  <si>
    <t>"Estudo preliminar"</t>
  </si>
  <si>
    <t>projeto.código</t>
  </si>
  <si>
    <t>quem.fabricou</t>
  </si>
  <si>
    <t>0 Val</t>
  </si>
  <si>
    <t>"Definição de um Indivíduo de Classe Conceitual. Não tem existência no projeto se não estiver representado por um Indivíduo da classe Projeto."</t>
  </si>
  <si>
    <t>Projeto_A</t>
  </si>
  <si>
    <t>"[ OST_Floors  ]"</t>
  </si>
  <si>
    <t>"[ OST_Walls  ]"</t>
  </si>
  <si>
    <t>"[ OST_Roofs  ]"</t>
  </si>
  <si>
    <t>"[ OST_Mass  ]"</t>
  </si>
  <si>
    <t>"[ IfcWall  ]"</t>
  </si>
  <si>
    <t>"[ IfcRoof  ]"</t>
  </si>
  <si>
    <t>"[ IfcBuildingElementProxy ]"</t>
  </si>
  <si>
    <t>"Telhado projetado para o Predio A projetado"</t>
  </si>
  <si>
    <t>"Predio projetado denominado Predio A"</t>
  </si>
  <si>
    <t>código.abnt</t>
  </si>
  <si>
    <t>é.projeto.de</t>
  </si>
  <si>
    <t>"Indivíduo Concreto de um projeto de arquitetura. É um tipo de classe Projeto que representa um indivíduo Conceitual através de uma propriedade de objeto (ex. é.projeto.de Projeto_01)"</t>
  </si>
  <si>
    <t>é.revestido.com</t>
  </si>
  <si>
    <t>Piso_Salas_01</t>
  </si>
  <si>
    <t>Piso_Sanit_01</t>
  </si>
  <si>
    <t>"Acabamentos de pisos projetados para os Sanitarios"</t>
  </si>
  <si>
    <t>"Acabamentos de pisos projetados para as Salas"</t>
  </si>
  <si>
    <t>Telhado.</t>
  </si>
  <si>
    <t>Tejado.</t>
  </si>
  <si>
    <t>De.Arquitetura</t>
  </si>
  <si>
    <t>Elementos.Projetados</t>
  </si>
  <si>
    <t>quem.fabrica</t>
  </si>
  <si>
    <t>"Portobello"</t>
  </si>
  <si>
    <t>"[ IfcFloor ]"</t>
  </si>
  <si>
    <t>"[ IfcCovering ]"</t>
  </si>
  <si>
    <t>"[ OST_Ceilings ]"</t>
  </si>
  <si>
    <t>"[ IfcWall ]"</t>
  </si>
  <si>
    <t>"[ OST_Walls ]"</t>
  </si>
  <si>
    <t>[ OST_Casework ]</t>
  </si>
  <si>
    <t>Conceitos</t>
  </si>
  <si>
    <t>Arquitetônicos</t>
  </si>
  <si>
    <t>Projeto de Edifício.</t>
  </si>
  <si>
    <t>Projeto de Telhado.</t>
  </si>
  <si>
    <t>Projeto de Forros.</t>
  </si>
  <si>
    <t>Projeto de Paredes.</t>
  </si>
  <si>
    <t>Projeto de Pisos.</t>
  </si>
  <si>
    <t>Projetado Circulação.</t>
  </si>
  <si>
    <t>Projeto de Acesso.</t>
  </si>
  <si>
    <t>Projeto de Layout.</t>
  </si>
  <si>
    <t>Projeto de Acabamento.</t>
  </si>
  <si>
    <t>[ OST_Curtain_Systems : OST_CurtainWallPanels ]</t>
  </si>
  <si>
    <t>[ OST_Curtain_Systems : OST_CurtainWallMullions ]</t>
  </si>
  <si>
    <t>[ OST_PlumbingFixtures : OST_PlumbingEquipment ]</t>
  </si>
  <si>
    <t>[ OST_Curtain_Systems : OST_CurtainWallPanels :  OST_CurtainWallMullions ]</t>
  </si>
  <si>
    <t>[ OST_Parts : OST_FloorsFinish1 : OST_FloorsFinish2 : OST_WallsFinish1 : OST_WallsFinish2 : OST_CeilingsFinish1 : OST_CeilingsFinish2 ]</t>
  </si>
  <si>
    <t>"Indivíduo Concreto do Projeto de Layout de Paredes para o Projeto A."</t>
  </si>
  <si>
    <t>"Indivíduo Concreto do Projeto de Forros para o Projeto A."</t>
  </si>
  <si>
    <t>"Indivíduo Concreto do Projeto de Pisos para o Projeto A."</t>
  </si>
  <si>
    <t>"Indivíduo Concreto do Projeto de Arquitetura."</t>
  </si>
  <si>
    <t>"Elementos concretos de pisos."</t>
  </si>
  <si>
    <t>"Elementos concretos de forros."</t>
  </si>
  <si>
    <t>"Elementos concretos de paredes e divisórias."</t>
  </si>
  <si>
    <t>Classes.Projetuais</t>
  </si>
  <si>
    <t>quem.criou</t>
  </si>
  <si>
    <t>"Autor do projeto"</t>
  </si>
  <si>
    <t>tipo</t>
  </si>
  <si>
    <t>"Faculdade"</t>
  </si>
  <si>
    <t>"[ OST_ProjectInformation : OST_ProjectBasePoint : OST_SitePoint : OST_SharedBasePoint ]"</t>
  </si>
  <si>
    <t>"[ IfcProject : IfcText : IfcLabel ]"</t>
  </si>
  <si>
    <t>"[ 4U.70.10.02 ]"</t>
  </si>
  <si>
    <t>"Projeto A"</t>
  </si>
  <si>
    <t>"PRJ001"</t>
  </si>
  <si>
    <t>"Indivíduo Concreto de um projeto de edificação. É um tipo de classe Projeto.de.Edificação representado por um indivíduo através de propriedade de objeto (ex. é.projeto.de Projeto_01)"</t>
  </si>
  <si>
    <t>[ 3E.20.04 ]</t>
  </si>
  <si>
    <t>[ 3E.20.02.02 ]</t>
  </si>
  <si>
    <t>[ 3E.20.04.02 ]</t>
  </si>
  <si>
    <t>[ 3E.20.04.08 ]</t>
  </si>
  <si>
    <t>[ 3E.14.02 ]</t>
  </si>
  <si>
    <t>[ 3E.16.02 ]</t>
  </si>
  <si>
    <t>[ 3E.56.04 ]</t>
  </si>
  <si>
    <t>[ 3E.38.16 ]</t>
  </si>
  <si>
    <t>[ 3E.54.04 ]</t>
  </si>
  <si>
    <t>[ 3E.14.04.02 ]</t>
  </si>
  <si>
    <t>[ 3E.16.04 ]</t>
  </si>
  <si>
    <t>[ 3E.26.22.04 ]</t>
  </si>
  <si>
    <t>[ 3E.34.02 ]</t>
  </si>
  <si>
    <t>Edificação</t>
  </si>
  <si>
    <t>Piso</t>
  </si>
  <si>
    <t>Forro</t>
  </si>
  <si>
    <t>Parede</t>
  </si>
  <si>
    <t>Circulação</t>
  </si>
  <si>
    <t>Acesso</t>
  </si>
  <si>
    <t>Acabamento</t>
  </si>
  <si>
    <t>Cobertura</t>
  </si>
  <si>
    <t>é.tipo</t>
  </si>
  <si>
    <t>Parede.Núcleo</t>
  </si>
  <si>
    <t>Parede.Cavidade</t>
  </si>
  <si>
    <t>Parede.Paginada</t>
  </si>
  <si>
    <t>Pisos.Resistentes</t>
  </si>
  <si>
    <t>Pisos.Drenantes</t>
  </si>
  <si>
    <t>Pisos.Paginados</t>
  </si>
  <si>
    <t>Rodapés.Paginados</t>
  </si>
  <si>
    <t>Pisos.Contínuos</t>
  </si>
  <si>
    <t>Pinturas</t>
  </si>
  <si>
    <t>Gessos</t>
  </si>
  <si>
    <t>Placas.Moduladas</t>
  </si>
  <si>
    <t>Placas.Acústicas</t>
  </si>
  <si>
    <t>Elementos.de.Emplacados</t>
  </si>
  <si>
    <t>Elementos.de.Camadas</t>
  </si>
  <si>
    <t>Elementos.de.Ferragens</t>
  </si>
  <si>
    <t>Elementos.de.Sanitários</t>
  </si>
  <si>
    <t>Layout.Espacial</t>
  </si>
  <si>
    <t>Pisos.Mantas</t>
  </si>
  <si>
    <t>Pisos.Manta</t>
  </si>
  <si>
    <t>Pisos.Acessibilidade</t>
  </si>
  <si>
    <t>Elementos.de.Envidraçados</t>
  </si>
  <si>
    <t>Elementos.de.Montagem</t>
  </si>
  <si>
    <t>Elementos.de.Saúde</t>
  </si>
  <si>
    <t>Gesso.Acartonado</t>
  </si>
  <si>
    <t>Argamassa utilizada para contrapisos e camadas de lastro em pisos.</t>
  </si>
  <si>
    <t>Mortero usado para las capas de lastre en los suelos.</t>
  </si>
  <si>
    <t>Elementos.de.Coberturas</t>
  </si>
  <si>
    <t>Telhados.Beirais</t>
  </si>
  <si>
    <t>Telhados.Calhas</t>
  </si>
  <si>
    <t>Telhados.Camadas</t>
  </si>
  <si>
    <t>Parede.Frisos</t>
  </si>
  <si>
    <t>Gesso.Placa</t>
  </si>
  <si>
    <t>Gradeamentos</t>
  </si>
  <si>
    <t>NAQ.120</t>
  </si>
  <si>
    <t>Floor defined in the early stages of the project. Level of detail, development or information 100.</t>
  </si>
  <si>
    <t>Walls defined in early stages of the project. Level of detail, development or information 100.</t>
  </si>
  <si>
    <t>A partition defined in the early stages of the project. Level of detail, development or information 100.</t>
  </si>
  <si>
    <t>Ceiling defined in the early stages of the project. Level of detail, development or information 100.</t>
  </si>
  <si>
    <t>Door. Level of detail, development or information 200.</t>
  </si>
  <si>
    <t>Window. Level of detail, development or information 200.</t>
  </si>
  <si>
    <t>Floor defined in the preliminary design or basic design stage. Level of detail, development or information 200.</t>
  </si>
  <si>
    <t>Walls defined in the preliminary design or basic design stage. Level of detail, development or information 200.</t>
  </si>
  <si>
    <t>Partition defined in the preliminary design or basic design stage. Level of detail, development or information 200.</t>
  </si>
  <si>
    <t>Ceiling defined in the preliminary design or basic design stage. Level of detail, development or information 200.</t>
  </si>
  <si>
    <t>It is the volumetric mass of the main block of the project.</t>
  </si>
  <si>
    <t>It is the volumetric mass of the secondary block of the project.</t>
  </si>
  <si>
    <t>It is the volumetric mass of an eccentric block of the main block of the project.</t>
  </si>
  <si>
    <t>Dough: shape of the dough.</t>
  </si>
  <si>
    <t>Dough: dough.</t>
  </si>
  <si>
    <t>Mass: zones.</t>
  </si>
  <si>
    <t>Mass: mass of subtraction.</t>
  </si>
  <si>
    <t>Mass: face divider.</t>
  </si>
  <si>
    <t>Dough: cutting contours.</t>
  </si>
  <si>
    <t>Dough: floor.</t>
  </si>
  <si>
    <t>Mass: all floors.</t>
  </si>
  <si>
    <t>Mass: external wall.</t>
  </si>
  <si>
    <t>Mass: external wall basements.</t>
  </si>
  <si>
    <t>Dough: glazed.</t>
  </si>
  <si>
    <t>Mass: all glazing.</t>
  </si>
  <si>
    <t>Mass: the interior walls.</t>
  </si>
  <si>
    <t>Dough: all walls.</t>
  </si>
  <si>
    <t>Dough: openings.</t>
  </si>
  <si>
    <t>Mass: slabs.</t>
  </si>
  <si>
    <t>Dough: roofs.</t>
  </si>
  <si>
    <t>Dough: brises.</t>
  </si>
  <si>
    <t>Dough: skylights.</t>
  </si>
  <si>
    <t>Roof.</t>
  </si>
  <si>
    <t>Ecological roof with drainage layers and rainwater catchers.</t>
  </si>
  <si>
    <t>Roof or ceiling with a semi-cylindrical shape.</t>
  </si>
  <si>
    <t>Furniture with countertop and optional drawers for a single person.</t>
  </si>
  <si>
    <t>Hemispherical roof.</t>
  </si>
  <si>
    <t>Roof without slope or with only a slight slope to drain rainwater.</t>
  </si>
  <si>
    <t>Roof in free form.</t>
  </si>
  <si>
    <t>Roof with a single slope.</t>
  </si>
  <si>
    <t>Roof sloped downwards in two parts from a central ridge so as to form a gable at each end.</t>
  </si>
  <si>
    <t>Roof with sloping ends and sides that meet in a sloping projection.</t>
  </si>
  <si>
    <t>Roof with a hipped end truncating a gable.</t>
  </si>
  <si>
    <t>Roof with steeper bottom on each side and shallower top.</t>
  </si>
  <si>
    <t>Pyramidal hip roof.</t>
  </si>
  <si>
    <t>Gable roof in the shape of a wide Gothic arch, with convex and slightly sloping surfaces.</t>
  </si>
  <si>
    <t>Roofs: openings.</t>
  </si>
  <si>
    <t>Roofs: interior edges.</t>
  </si>
  <si>
    <t>Roofs: eaves finish.</t>
  </si>
  <si>
    <t>Roofs: inner lining of the eaves.</t>
  </si>
  <si>
    <t>Roofs: frame-type eaves rainwater gutter.</t>
  </si>
  <si>
    <t>Roofs: rainwater gutter of the American type eaves.</t>
  </si>
  <si>
    <t>Roofs: square type eaves rainwater gutter.</t>
  </si>
  <si>
    <t>Roofs: rainwater gutter from the roof to the corner.</t>
  </si>
  <si>
    <t>Roofs: projection.</t>
  </si>
  <si>
    <t>Roofs: core.</t>
  </si>
  <si>
    <t>Roofs: substrate.</t>
  </si>
  <si>
    <t>Mortar used for subfloors and ballast layers on floors.</t>
  </si>
  <si>
    <t>Mortar to glue ceramic or porcelain tiles to walls.</t>
  </si>
  <si>
    <t>Polymeric mortar for insulation layers.</t>
  </si>
  <si>
    <t>Mortar used for radiological protection. Use on walls of radiotherapy, radiology, nuclear medicine rooms of health centers.</t>
  </si>
  <si>
    <t>DryWall type partition.</t>
  </si>
  <si>
    <t>DryWall partition reinforced with acoustic sheets and glass wool insulation.</t>
  </si>
  <si>
    <t>Glass partition.</t>
  </si>
  <si>
    <t>Plaster partition.</t>
  </si>
  <si>
    <t>Light naval type partition with plates of 1.20 x 2.10 m and thickness of 3.5 cm.</t>
  </si>
  <si>
    <t>TS structural laminate board partition for sanitary boxes.</t>
  </si>
  <si>
    <t>Granilite plate divider for sanitary boxes.</t>
  </si>
  <si>
    <t>Acoustic fixed mounted partition</t>
  </si>
  <si>
    <t>Blind fixed mounted partition</t>
  </si>
  <si>
    <t>Fixed mounted partition with display</t>
  </si>
  <si>
    <t>Sliding hinged mounted partition</t>
  </si>
  <si>
    <t>Retractable hinged mounted partition</t>
  </si>
  <si>
    <t>Folding hinged mounted partition</t>
  </si>
  <si>
    <t>Pivoting hinged mounted partition</t>
  </si>
  <si>
    <t>High strength structural steel flat bar grating.</t>
  </si>
  <si>
    <t>Galvanized steel wire grating.</t>
  </si>
  <si>
    <t>High interior wall molded In Loco with formwork in moldable materials.</t>
  </si>
  <si>
    <t>Low interior wall moulded In Loco with mouldable moulding moulds.</t>
  </si>
  <si>
    <t>High exterior wall molded In Loco with moldable molds.</t>
  </si>
  <si>
    <t>Low exterior wall moulded In Loco with mouldable moulding moulds.</t>
  </si>
  <si>
    <t>Tall interior walls (floor-ceiling) raised by overlapping unitary elements such as blocks or bricks.</t>
  </si>
  <si>
    <t>Low wall-like interior walls raised by overlapping unitary elements such as blocks or bricks.</t>
  </si>
  <si>
    <t>High exterior walls like boundary wall of unitary elements such as blocks or bricks.</t>
  </si>
  <si>
    <t>Low wall-like exterior walls raised by the overlapping of unitary elements such as blocks or bricks.</t>
  </si>
  <si>
    <t>Wall cornice type frieze.</t>
  </si>
  <si>
    <t>Frieze type edge of protruding slab.</t>
  </si>
  <si>
    <t>Grooved notch type trim.</t>
  </si>
  <si>
    <t>Solid high performance precast concrete panel.</t>
  </si>
  <si>
    <t>Precast honeycomb prestressed concrete panel.</t>
  </si>
  <si>
    <t>Structural walls molded in situ of reinforced concrete.</t>
  </si>
  <si>
    <t>Autoclaved aerated concrete (CCA) blocks. Thermal and acoustic insulation for sealing walls.</t>
  </si>
  <si>
    <t>Structural concrete blocks.</t>
  </si>
  <si>
    <t>Concrete blocks for sealing.</t>
  </si>
  <si>
    <t>Solid plaster blocks for non-load-bearing internal walls. Speed of execution and obtaining a clean and smooth wall.</t>
  </si>
  <si>
    <t>Hollow plaster blocks for non-load-bearing internal walls. Speed of execution and obtaining a clean and smooth wall.</t>
  </si>
  <si>
    <t>Communal Ceramic Brick Blocks According to NBR 15270-1 Standard.</t>
  </si>
  <si>
    <t>Solid ceramic brick blocks for exposed masonry.</t>
  </si>
  <si>
    <t>Refractory ceramic blocks for ovens, fireplaces or exposure to fire.</t>
  </si>
  <si>
    <t>Blocks of perforated soil-cement brick pressed in hydraulic press, with vertical groove type tongue and groove, no laying mortar required. Called 'Tijolito', it was developed by Andrade Gutierrez and prof. João B. Santos de Assis from PUC Minas.</t>
  </si>
  <si>
    <t>Ceramic brick blocks drilled and grooved on the surfaces. Also called Bahian brick. According to NBR 15270-1 Standard.</t>
  </si>
  <si>
    <t>Ceramic channel J for construction of straps and finishing the edge of the slab.</t>
  </si>
  <si>
    <t>Ceramic U channel for construction of lintels and counterlintels in wall openings.</t>
  </si>
  <si>
    <t>Hollow brick block for facades or interiors. They can be rustic or glazed. The name 'Cobogó' refers to its creators Coimbra, Boeckmann and Góis.</t>
  </si>
  <si>
    <t>Glass brick block for facades or interiors.</t>
  </si>
  <si>
    <t>Mortar for plastering walls.</t>
  </si>
  <si>
    <t>Mortar for plastering the wall surface.</t>
  </si>
  <si>
    <t>Mortar for final plaster of the wall.</t>
  </si>
  <si>
    <t>Mortar for the subfloors.</t>
  </si>
  <si>
    <t>Grouting mortar for filling cavities in structures.</t>
  </si>
  <si>
    <t>Air cavity layer on the wall for thermal purpose.</t>
  </si>
  <si>
    <t>Air cavity layer on the wall for acoustic purpose.</t>
  </si>
  <si>
    <t>Coating of ceramic pieces paginated on the wall.</t>
  </si>
  <si>
    <t>Coating of porcelain tiles paginated on the wall.</t>
  </si>
  <si>
    <t>Coating formed by tile pieces for impermeable surfaces such as bathrooms or hydraulic rooms.</t>
  </si>
  <si>
    <t>Coating formed by pieces of vitreous tiles for impermeable surfaces such as bathrooms or hydraulic rooms.</t>
  </si>
  <si>
    <t>Coating designed with wooden rulers, MDF, PVC, plaster or metallic material.</t>
  </si>
  <si>
    <t>Coating designed with plates with decorative, acoustic, thermal function, etc.</t>
  </si>
  <si>
    <t>Panel designed with decorative, acoustic, thermal function, etc.</t>
  </si>
  <si>
    <t>Coating for exterior walls in ventilated or directly applied systems. Composite aluminum (ACM) with high resistance to weathering, UV rays and corrosion.</t>
  </si>
  <si>
    <t>Coating for ventilated façade formed by pieces with a photocatalytic layer that decomposes organic materials facilitating their removal by rain (hydrophilicity).</t>
  </si>
  <si>
    <t>Continuous membrane layer type acoustic insulating blanket.</t>
  </si>
  <si>
    <t>Continuous membrane layer type water-repellent insulating blanket.</t>
  </si>
  <si>
    <t>Continuous membrane layer type thermal insulating blanket.</t>
  </si>
  <si>
    <t>Tactile alert accessible tread layer.</t>
  </si>
  <si>
    <t>Tactile directional accessible tread layer.</t>
  </si>
  <si>
    <t>High resistance asphalt floor layer of high resistance for vehicular traffic.</t>
  </si>
  <si>
    <t>Layer of high-strength concreted floor for vehicular traffic.</t>
  </si>
  <si>
    <t>High strength plate floor layer for vehicle support.</t>
  </si>
  <si>
    <t>Draining floor layer of high-strength concrete blocks for vehicular support.</t>
  </si>
  <si>
    <t>Interlocking floor layer for pedestrian sidewalks.</t>
  </si>
  <si>
    <t>Fulget-type draining floor layer for gardens, swimming pools and outdoors.</t>
  </si>
  <si>
    <t>Draining floor layer type hollow blocks to allow grass to grow between the pieces.</t>
  </si>
  <si>
    <t>Layer of paginated flooring in ceramic pieces.</t>
  </si>
  <si>
    <t>Layer of paginated floor in porcelain tiles.</t>
  </si>
  <si>
    <t>Wooden parquet floor layer.</t>
  </si>
  <si>
    <t>Vinyl flooring layer.</t>
  </si>
  <si>
    <t>Layer of natural stone flooring, such as granites, marbles, slates, etc.</t>
  </si>
  <si>
    <t>Silestone type synthetic stone tread layer,</t>
  </si>
  <si>
    <t>Raised floor layer for offices and data centers.</t>
  </si>
  <si>
    <t>Floor layer of translucent or transparent elements such as glass blocks or special glass.</t>
  </si>
  <si>
    <t>Floor layer of SAE 1045 high-strength carbon steel grating element and structural profiles.</t>
  </si>
  <si>
    <t>Floor layer of textile material such as carpets.</t>
  </si>
  <si>
    <t>Solid cemented floor layer.</t>
  </si>
  <si>
    <t>Layer of green floors of natural or artificial grass.</t>
  </si>
  <si>
    <t>Skirting board for paginated floor in ceramic pieces.</t>
  </si>
  <si>
    <t>Skirting board for paginated floor in porcelain tiles.</t>
  </si>
  <si>
    <t>Baseboard for wooden parquet floor.</t>
  </si>
  <si>
    <t>Baseboard for vinyl floor.</t>
  </si>
  <si>
    <t>Skirting board for natural stone flooring, such as granites, marbles, slates, etc.</t>
  </si>
  <si>
    <t>Skirting board for synthetic stone floor type Silestone,</t>
  </si>
  <si>
    <t>Coats of base paint used to prepare the wall surface by sealing porosities.</t>
  </si>
  <si>
    <t>Coats of corrosion protection paint.</t>
  </si>
  <si>
    <t>Coat 1 of finishing paint of the coating, apply after the primer coats.</t>
  </si>
  <si>
    <t>Coat 2 of paint finishing the coating, apply after coat 1.</t>
  </si>
  <si>
    <t>Coat of paint finish, apply after coat 1 or 2 as needed.</t>
  </si>
  <si>
    <t>Plaster ceiling applied over the ceiling.</t>
  </si>
  <si>
    <t>Plasterboard lining.</t>
  </si>
  <si>
    <t>Drywall sheet for dry construction.</t>
  </si>
  <si>
    <t>Sheet for partition formed by core, honeycomb and sheets made from eucalyptus fibers.</t>
  </si>
  <si>
    <t>Sheet for exterior walls in ventilated or directly applied systems. Composite aluminum (ACM) with high resistance to weathering, UV rays and corrosion.</t>
  </si>
  <si>
    <t>TS Structural Laminate Sheet (solid formica) for sanitary partitions.</t>
  </si>
  <si>
    <t>Sheet for exterior walls in ventilated or directly applied systems. Produced with Portland cement core with additives and faces covered by fiberglass mesh.</t>
  </si>
  <si>
    <t>Marble or granite stone sheet for sanitary partitions.</t>
  </si>
  <si>
    <t>Lightweight modular lining of Styrofoam plates.</t>
  </si>
  <si>
    <t>Modular lining of bio-soluble mineral wool boards, clay, perlite and organic binders with good acoustic performance and fire resistance.</t>
  </si>
  <si>
    <t>Adhesive acoustic ceiling type acoustic foam board.</t>
  </si>
  <si>
    <t>Adhesive acoustic ceiling type plate with 3D pyramidal volumes and various shapes for sound absorption.</t>
  </si>
  <si>
    <t>Adhesive acoustic ceiling type plate with various shapes for sound absorption.</t>
  </si>
  <si>
    <t>Cylindrical baffle suspended acoustic ceiling for acoustic intelligibility control.</t>
  </si>
  <si>
    <t>Linear baffle suspended acoustic ceiling for acoustic intelligibility control.</t>
  </si>
  <si>
    <t>Suspended acoustic ceiling type square cloud for control of acoustic intelligibility.</t>
  </si>
  <si>
    <t>Cylindrical cloud-type suspended acoustic ceiling for acoustic intelligibility control.</t>
  </si>
  <si>
    <t>Suspended cloud-type acoustic ceiling with different geometries to control acoustic intelligibility.</t>
  </si>
  <si>
    <t>Tempered glass sheet.</t>
  </si>
  <si>
    <t>Laminated glass sheet.</t>
  </si>
  <si>
    <t>Polarized glass sheet. Changes transparency by passing voltage. Double laminated glass and with an intermediate LCD (Liquid Crystal Display) film.</t>
  </si>
  <si>
    <t>Low emissividad glass sheet. It reflects UV rays improving its thermal resistance capacity.</t>
  </si>
  <si>
    <t>Common glass plate.</t>
  </si>
  <si>
    <t>Lead glass sheet for protection against X-rays harmful to health. It has a high capacity to shield ionizing radiation.</t>
  </si>
  <si>
    <t>Screen-printed glass sheet that combines transparent and opaque areas for light and solar control.</t>
  </si>
  <si>
    <t>Z 275 galvanised steel metal profile (275 g/m²). Minimum thickness of 0.50 mm, produced in accordance with NBR 15217 standard. Used to reinforce 90º sharp corners.</t>
  </si>
  <si>
    <t>Z 275 galvanised steel metal profile (275 g/m²). Minimum thickness of 0.50 mm, produced in accordance with NBR 15217 standard. Used to structure the DryWall partition.</t>
  </si>
  <si>
    <t>Mounting screw for partition and ceiling systems.</t>
  </si>
  <si>
    <t>Bushing.</t>
  </si>
  <si>
    <t>Metal clamp type clamp.</t>
  </si>
  <si>
    <t>Metallic bracket type fixer.</t>
  </si>
  <si>
    <t>Metallic connector.</t>
  </si>
  <si>
    <t>External handle.</t>
  </si>
  <si>
    <t>Internal puller.</t>
  </si>
  <si>
    <t>Hook type hanger.</t>
  </si>
  <si>
    <t>Anti-theft hanger.</t>
  </si>
  <si>
    <t>Locks the door at several points simultaneously. Widely used in armored doors.</t>
  </si>
  <si>
    <t>Uses biometrics. It offers a high level of safety and practicality.</t>
  </si>
  <si>
    <t>Uses magnetic card.</t>
  </si>
  <si>
    <t>Uses key like a traditional lock.</t>
  </si>
  <si>
    <t>Lever type handle with latch.</t>
  </si>
  <si>
    <t>Lever type handle without latch.</t>
  </si>
  <si>
    <t>Spherical handle.</t>
  </si>
  <si>
    <t>Bar for emergency doors.</t>
  </si>
  <si>
    <t>Bar for support in toilets used to promote accessibility according to ABNT 9050 standard.</t>
  </si>
  <si>
    <t>Support bar in shower boxes with horizontal and vertical section used to promote accessibility according to ABNT 9050 standard.</t>
  </si>
  <si>
    <t>Bar for support in sanitary box for PNE in corner used to promote accessibility according to ABNT 9050 standard.</t>
  </si>
  <si>
    <t>Bar for support in toilets with horizontal section and inclined section used to promote accessibility according to ABNT 9050 standard.</t>
  </si>
  <si>
    <t>Bar for lateral support in toilets used to promote accessibility according to ABNT 9050 standard.</t>
  </si>
  <si>
    <t>Bar for lateral support with vertical reinforcement in toilets used to promote accessibility according to ABNT 9050 standard.</t>
  </si>
  <si>
    <t>Automatic self-closing hinges in special aluminium alloy.</t>
  </si>
  <si>
    <t>Bench support for sanitary equipment.</t>
  </si>
  <si>
    <t>Support bench for kitchen and pantry equipment.</t>
  </si>
  <si>
    <t>Bench support for bar equipment.</t>
  </si>
  <si>
    <t>Ventilation element and open-span lighting without elements. You can create a window family that contains only the Opening element.</t>
  </si>
  <si>
    <t>Fixed window type ventilation and lighting element.</t>
  </si>
  <si>
    <t>Ventilation and lighting element type Opener window.</t>
  </si>
  <si>
    <t>Ventilation and lighting element type Sliding window.</t>
  </si>
  <si>
    <t>Ventilation and lighting element type Pivot window. It rotates around a vertical axis offset from the stop, with pins attached to the top and bottom of the sheet.</t>
  </si>
  <si>
    <t>Guillotine window type ventilation and lighting element.</t>
  </si>
  <si>
    <t>Maxim-Air type Window type ventilation and lighting element. The leaf slopes outwards by means of lateral articulated arms.</t>
  </si>
  <si>
    <t>Ventilation and lighting element type Tilting window. The leaf opens half to the inside and half to the outside.</t>
  </si>
  <si>
    <t>Ventilation and lighting element type Oscillobar window tilts its upper part to the interior of the room.</t>
  </si>
  <si>
    <t>Window-type ventilation and lighting element with rails and guides that allow the movement of two or more overlapping leaves.</t>
  </si>
  <si>
    <t>Venetian window has slanted fins that allow ventilation and a little light to enter. They allow constant aeration.</t>
  </si>
  <si>
    <t>Integral Window type ventilation and lighting element.</t>
  </si>
  <si>
    <t>Ventilation and lighting element positioned on the dome-type roof.</t>
  </si>
  <si>
    <t>Ventilation and lighting element positioned on the light tunnel roof.</t>
  </si>
  <si>
    <t>Ventilation and lighting element positioned on the pyramid-type roof.</t>
  </si>
  <si>
    <t>Complementary door element: Fixed grille.</t>
  </si>
  <si>
    <t>Complementary door element: Removable grille.</t>
  </si>
  <si>
    <t>Complementary door element: Fixed display.</t>
  </si>
  <si>
    <t>Complementary door element: Tilting display.</t>
  </si>
  <si>
    <t>Complementary door element: Sliding display.</t>
  </si>
  <si>
    <t>Complementary door element: Shielded sight glass for armored door.</t>
  </si>
  <si>
    <t>Portal type opening without door, a door family can be created without leaf and frame elements.</t>
  </si>
  <si>
    <t>Simple door.</t>
  </si>
  <si>
    <t>Double door. Always with the leaves of the same size.</t>
  </si>
  <si>
    <t>Asymmetrical double door. For example, a 40 cm sheet and an 80 cm sheet.</t>
  </si>
  <si>
    <t>Fire door. Used in vertical exhaust circulations.</t>
  </si>
  <si>
    <t>Venetian door has inclined fins that allow ventilation and a little light to enter. They allow constant aeration.</t>
  </si>
  <si>
    <t>Sliding door.</t>
  </si>
  <si>
    <t>Pivot door. It rotates around a vertical axis offset from the stop, with pins attached to the top and bottom of the sheet.</t>
  </si>
  <si>
    <t>Hinged door. Also known as shrimp. The hinge is with central hinges.</t>
  </si>
  <si>
    <t>Flag bearer.</t>
  </si>
  <si>
    <t>Revolving Door.</t>
  </si>
  <si>
    <t>Refrigerator door. Used in cold chambers.</t>
  </si>
  <si>
    <t>Biological Door. Used in laboratories with biological control or clean rooms.</t>
  </si>
  <si>
    <t>Armored Door. Used in security systems or with X-ray or Gamma shielding in hospital environments.</t>
  </si>
  <si>
    <t>Door with rails and guides that allow the movement of two or more overlapping leaves.</t>
  </si>
  <si>
    <t>Garage Gate or Parking Lot.</t>
  </si>
  <si>
    <t>Factory Sectional Gate, Industrial Shed or Stadium.</t>
  </si>
  <si>
    <t>Opening in the ceiling that allows electrical, hydraulic or air conditioning installations to be reached.</t>
  </si>
  <si>
    <t>Opening in the roof that allows an additional exhaust outlet to be reached.</t>
  </si>
  <si>
    <t>Sealed compartment for the passage of objects installed between two rooms (e.g., a clean room and a laboratory).</t>
  </si>
  <si>
    <t>Opening for food to pass between an industrial kitchen and a restaurant.</t>
  </si>
  <si>
    <t>Shutter-type shading element with adjustable horizontal slats to admit light and air.</t>
  </si>
  <si>
    <t>Horizontal internal louver-type shading element.</t>
  </si>
  <si>
    <t>Vertical internal louver type shading element.</t>
  </si>
  <si>
    <t>Shading element type Covering of canvas or other material that extends over a door, from the top of a window.</t>
  </si>
  <si>
    <t>Brise-type shading element of movable blades to block solar radiation that falls vertically, as happens in the Southern Hemisphere on north-facing facades.</t>
  </si>
  <si>
    <t>Brise-type shading element of movable blades to block solar radiation that falls laterally, as happens in the Southern Hemisphere on East-West oriented facades.</t>
  </si>
  <si>
    <t>Brise-type shading element of fixed blades to block solar radiation that falls vertically, as happens in the Southern hemisphere on north-facing facades.</t>
  </si>
  <si>
    <t>Brise-like shading element of fixed blades to block solar radiation that falls laterally, as happens in the Southern Hemisphere on East-West oriented facades.</t>
  </si>
  <si>
    <t>Brise-type shading element of fixed perforated plates to block solar radiation that falls vertically, as happens in the Southern hemisphere on north-facing facades.</t>
  </si>
  <si>
    <t>Brise-type shading element of fixed perforated plates to block solar radiation that falls laterally, as happens in the Southern Hemisphere on East-West oriented facades.</t>
  </si>
  <si>
    <t>Shading element type Mechanical device that limits the passage of light.</t>
  </si>
  <si>
    <t>Non-specific aperture.</t>
  </si>
  <si>
    <t>Opening in a slab.</t>
  </si>
  <si>
    <t>Vertical shaft passages for all installations.</t>
  </si>
  <si>
    <t>Shaft-type vertical passages exclusive for electrical installations.</t>
  </si>
  <si>
    <t>Shaft-type vertical passages exclusively for hydraulic installations.</t>
  </si>
  <si>
    <t>Shaft vertical passages unique to HVAC installations</t>
  </si>
  <si>
    <t>Unique shaft vertical passages for data network installations.</t>
  </si>
  <si>
    <t>Sanitary terminal is a fixed appliance or terminal usually supplied with water and used for drinking.</t>
  </si>
  <si>
    <t>Sanitary apparatus for immersion of the human body or parts of it.</t>
  </si>
  <si>
    <t>Sanitary terminal that provides a low-pressure jet of water for a specific purpose.</t>
  </si>
  <si>
    <t>Wastewater apparatus for flushing excretory organs while seated mounted on the toilet.</t>
  </si>
  <si>
    <t>A wastewater facility or appliance that emits a jet of water to wash the human body.</t>
  </si>
  <si>
    <t>Wastewater apparatus for washing the upper parts of the body.</t>
  </si>
  <si>
    <t>Ground apparatus that receives urine and directs it to a waste outlet.</t>
  </si>
  <si>
    <t>Wastewater apparatus for receiving, retaining or disposing of domestic, culinary, laboratory appliances.</t>
  </si>
  <si>
    <t>Soil apparatus for excrement disposal.</t>
  </si>
  <si>
    <t>Obsolete hinged seat that fits on top of a toilet pan (toilet).</t>
  </si>
  <si>
    <t>Water storage unit connected to a sanitary terminal equipped with a device, operated automatically.</t>
  </si>
  <si>
    <t>Medical device is connected to medical piping system and operates on medical gases.</t>
  </si>
  <si>
    <t>Device that provides purified medical air, consisting of an overhead compressor.</t>
  </si>
  <si>
    <t>Device that powers an oxygen generator, consisting of an air compressor, air handling line.</t>
  </si>
  <si>
    <t>Device that provides suction, consisting of a vacuum pump and bacterial filtration line.</t>
  </si>
  <si>
    <t>A device that generates oxygen from the air.</t>
  </si>
  <si>
    <t>Device that combines a supply air unit, oxygen generator and backup cylinders.</t>
  </si>
  <si>
    <t>Device to call nursing.</t>
  </si>
  <si>
    <t>Furniture defines complete furniture, such as a table, desk, chair, or cabinet.</t>
  </si>
  <si>
    <t>Furniture element system defines modular furniture components that are not placed directly.</t>
  </si>
  <si>
    <t>Vertical panel used to divide workspaces.</t>
  </si>
  <si>
    <t>Subrack is a part of the technical cabinet that is used to store and assemble pluggable electrical subunits.</t>
  </si>
  <si>
    <t>Workstation workbench.</t>
  </si>
  <si>
    <t>Standard one person bed.</t>
  </si>
  <si>
    <t>Large bed for one person.</t>
  </si>
  <si>
    <t>Standard bed for double.</t>
  </si>
  <si>
    <t>Large bed for double.</t>
  </si>
  <si>
    <t>Very large bed for a couple.</t>
  </si>
  <si>
    <t>Furniture to seat a single person.</t>
  </si>
  <si>
    <t>Furniture so that a person sits comfortably.</t>
  </si>
  <si>
    <t>Furniture so that two people sit comfortably.</t>
  </si>
  <si>
    <t>Furniture so that three people sit comfortably.</t>
  </si>
  <si>
    <t>Furniture with countertop for several people.</t>
  </si>
  <si>
    <t>Open cabinet for storing books.</t>
  </si>
  <si>
    <t>Technical cabinet is a piece of furniture to hold, display and protect technical appliances.</t>
  </si>
  <si>
    <t>Closet with sliding drawers and spaces to hang clothes hangers.</t>
  </si>
  <si>
    <t>Cabinet for kitchen elements, can be high or low countertop.</t>
  </si>
  <si>
    <t>Furniture to store books or other items.</t>
  </si>
  <si>
    <t>Chair for classroom.</t>
  </si>
  <si>
    <t>Drawing table.</t>
  </si>
  <si>
    <t>Computer table.</t>
  </si>
  <si>
    <t>Cabinet for models.</t>
  </si>
  <si>
    <t>Cabinet for books.</t>
  </si>
  <si>
    <t>Shelf for books.</t>
  </si>
  <si>
    <t>Hospital bed.</t>
  </si>
  <si>
    <t>Hospital stretcher.</t>
  </si>
  <si>
    <t>Patient chair.</t>
  </si>
  <si>
    <t>Patient armchair.</t>
  </si>
  <si>
    <t>Service table.</t>
  </si>
  <si>
    <t>Clothes closet.</t>
  </si>
  <si>
    <t>Medicine cabinet.</t>
  </si>
  <si>
    <t>Medicine shelf.</t>
  </si>
  <si>
    <t>Building Design.</t>
  </si>
  <si>
    <t>Roof Design.</t>
  </si>
  <si>
    <t>Ceiling Design.</t>
  </si>
  <si>
    <t>Wall Design.</t>
  </si>
  <si>
    <t>Flooring Design.</t>
  </si>
  <si>
    <t>Designed circulation.</t>
  </si>
  <si>
    <t>Access Project.</t>
  </si>
  <si>
    <t>Layout Design.</t>
  </si>
  <si>
    <t>Finishing Project.</t>
  </si>
  <si>
    <t>Parâmetro Rvt</t>
  </si>
  <si>
    <t>Atributo Ifc</t>
  </si>
  <si>
    <t>Código ABNT</t>
  </si>
  <si>
    <t>Função.Auxiliar</t>
  </si>
  <si>
    <t>Define uma Função Auxiliar (helper) numa aplicação</t>
  </si>
  <si>
    <t>Defina un rol de ayudante en una aplicación</t>
  </si>
  <si>
    <t>Define a Helper Role in an application</t>
  </si>
  <si>
    <t>Função.Global</t>
  </si>
  <si>
    <t>Define uma Função Global numa aplicação</t>
  </si>
  <si>
    <t>Defina un rol global en una aplicación</t>
  </si>
  <si>
    <t>Define a Global Role in an application</t>
  </si>
  <si>
    <t>Função.Local</t>
  </si>
  <si>
    <t>Define uma Função Local numa aplicação</t>
  </si>
  <si>
    <t>Defina un rol local en una aplicación</t>
  </si>
  <si>
    <t>Define a Local Role in an application</t>
  </si>
  <si>
    <t>Função.Filtro</t>
  </si>
  <si>
    <t>Define uma Função para filtrar objetos numa aplicação</t>
  </si>
  <si>
    <t>Defina una función para filtrar objetos en una aplicación</t>
  </si>
  <si>
    <t>Define a Function to filter objects in an application</t>
  </si>
  <si>
    <t>Bloco.de.Código</t>
  </si>
  <si>
    <t>Define um Código escrito em sistemas de programação visual</t>
  </si>
  <si>
    <t>Define un código escrito en sistemas de programación visual</t>
  </si>
  <si>
    <t>Defines a Code written in visual programming systems</t>
  </si>
  <si>
    <t>KML</t>
  </si>
  <si>
    <t>API</t>
  </si>
  <si>
    <t>API.Plataforma</t>
  </si>
  <si>
    <t>API.Macros</t>
  </si>
  <si>
    <t>API.Método</t>
  </si>
  <si>
    <t>API Método</t>
  </si>
  <si>
    <t>Função Auxiliar</t>
  </si>
  <si>
    <t>API Plataforma</t>
  </si>
  <si>
    <t>API Macros</t>
  </si>
  <si>
    <t>Função Global</t>
  </si>
  <si>
    <t>Função Local</t>
  </si>
  <si>
    <t>Função Filtro</t>
  </si>
  <si>
    <t>API.Macros.Visuais</t>
  </si>
  <si>
    <t>API.Método.Visual</t>
  </si>
  <si>
    <t>API Método Visual</t>
  </si>
  <si>
    <t>Bloco de Código</t>
  </si>
  <si>
    <t>API Macros Visuais</t>
  </si>
  <si>
    <t>Norma-Escopo</t>
  </si>
  <si>
    <t>Norma-Referência-01</t>
  </si>
  <si>
    <t>Norma-Referência-02</t>
  </si>
  <si>
    <t>Norma-Referência-03</t>
  </si>
  <si>
    <t>Fonte-Brasil-01</t>
  </si>
  <si>
    <t>Fonte-Brasil-02</t>
  </si>
  <si>
    <t>Fonte-Brasil-03</t>
  </si>
  <si>
    <t>Fonte-Brasil-04</t>
  </si>
  <si>
    <t>Fonte-Vegetação-01</t>
  </si>
  <si>
    <t>Fonte-Vegetação-02</t>
  </si>
  <si>
    <t>Fonte-Vegetação-03</t>
  </si>
  <si>
    <t>Fonte-Vegetação-04</t>
  </si>
  <si>
    <t>Fonte-Vegetação-05</t>
  </si>
  <si>
    <t>Fonte-Vegetação-06</t>
  </si>
  <si>
    <t>Fonte-Vegetação-07</t>
  </si>
  <si>
    <t>Fonte-Vegetação-08</t>
  </si>
  <si>
    <t>Fonte-SINAPI</t>
  </si>
  <si>
    <t>Fonte-Brasil-Saúde-01</t>
  </si>
  <si>
    <t>Fonte-Brasil-Saúde-02</t>
  </si>
  <si>
    <t>Fonte-Brasil-Saúde-03</t>
  </si>
  <si>
    <t>Fonte-Brasil-Saúde-04</t>
  </si>
  <si>
    <t>Fonte-NBR-01</t>
  </si>
  <si>
    <t>Fonte-NBR-02</t>
  </si>
  <si>
    <t>Fonte-NBR-03</t>
  </si>
  <si>
    <t>Fonte-NBR-04</t>
  </si>
  <si>
    <t>Fonte-NBR-05</t>
  </si>
  <si>
    <t>Fonte-Bombeiros-01</t>
  </si>
  <si>
    <t>https://brasil.un.org/pt-br/sdgs</t>
  </si>
  <si>
    <t>https://eaesp.fgv.br/centros/centro-estudos-sustentabilidade/projetos/programa-brasileiro-ghg-protocol</t>
  </si>
  <si>
    <t>https://www.gov.br/fazenda/pt-br/acesso-a-informacao/acoes-e-programas/transformacao-ecologica/transformacao-ecologica</t>
  </si>
  <si>
    <t>https://www.gov.br/fazenda/pt-br/orgaos/spe/taxonomia-sustentavel-brasileira/cadernos</t>
  </si>
  <si>
    <t>https://museunacional.ufrj.br/hortobotanico</t>
  </si>
  <si>
    <t>https://www.embrapa.br/florestas/publicacoes</t>
  </si>
  <si>
    <t>https://www.arvoresgigantes.org</t>
  </si>
  <si>
    <t>https://www.scielo.br/j/abb</t>
  </si>
  <si>
    <t>https://www.gov.br/inpa/pt-br/Pesquisa/colecoes/botanica</t>
  </si>
  <si>
    <t>https://botanicasaopaulo.org</t>
  </si>
  <si>
    <t>https://pesquisa.in.gov.br/imprensa</t>
  </si>
  <si>
    <t>https://mapas.florestal.gov.br</t>
  </si>
  <si>
    <t>https://www.caixa.gov.br/site/Paginas/downloads.aspx#categoria_888</t>
  </si>
  <si>
    <t>https://somasus.saude.gov.br/sistema/home</t>
  </si>
  <si>
    <t>https://anvisalegis.datalegis.net</t>
  </si>
  <si>
    <t>RDC 611/2022. Radiologia diagnóstica. Blindagem, proteção radiológica.</t>
  </si>
  <si>
    <t>RDC 222/2018. Gerenciamento de resíduos. Plano de gerenciamento obrigatório.</t>
  </si>
  <si>
    <t>NBR 9050. Acessibilidade. Todos os ambientes de uso público.</t>
  </si>
  <si>
    <t>NBR 7256. Climatização em EAS. Obrigatória para CC, CTI, CME, hemodinâmica.</t>
  </si>
  <si>
    <t>NBR 15575. Desempenho de edificações. Conforto térmico, acústico, lumínico.</t>
  </si>
  <si>
    <t>NBR 13534. Instalações elétricas em EAS. Circuitos, aterramento, emergência.</t>
  </si>
  <si>
    <t>NBR 12188. Gases medicinais. Centrais, redes, pontos de uso.</t>
  </si>
  <si>
    <t>Segurança contra incêndio. Varia por estado, consultar regulamento local.</t>
  </si>
  <si>
    <t>Norma-Número</t>
  </si>
  <si>
    <t>Norma-Edição</t>
  </si>
  <si>
    <t>Norma-ISBN</t>
  </si>
  <si>
    <t>Parede.Camada</t>
  </si>
  <si>
    <t>Baritada</t>
  </si>
  <si>
    <t>Colante</t>
  </si>
  <si>
    <t>Isolante</t>
  </si>
  <si>
    <t>Pintura</t>
  </si>
  <si>
    <t>Emassamento</t>
  </si>
  <si>
    <t>Camada de finalização superficial da parede, aplicada antes da pintura.</t>
  </si>
  <si>
    <t>Camada de finalização superficial com pintura.</t>
  </si>
  <si>
    <t>[ OST_Windows : OST_WindowsFrameMullionCut : OST_WindowsFrameMullionProjection : OST_WindowsGlassCut : OST_WindowsGlassProjection : OST_WindowsHiddenLines : OST_WindowsOpeningCut : OST_WindowsOpeningProjection : OST_WindowsSillHeadCut : OST_WindowsSillHeadProjection : OST_MassShade : OST_gbXML_Shade ]</t>
  </si>
  <si>
    <t>[ IfcWindow : IfcShadingDevice : IfcShadingDeviceType ]</t>
  </si>
  <si>
    <t>[ IfcWindowLIGHTDOME : IfcWindowSKYLIGHT ]</t>
  </si>
  <si>
    <t>Capa de finalización superficial de la pared, aplicada antes de la pintura.</t>
  </si>
  <si>
    <t>Capa de finalización superficial de la pared con pintura.</t>
  </si>
  <si>
    <t>Surface finishing coat of the wall, applied before painting.</t>
  </si>
  <si>
    <t>Surface finishing layer of the wall with paint.</t>
  </si>
  <si>
    <t>Pisos.Camadas</t>
  </si>
  <si>
    <t>Guias.de.Montagem</t>
  </si>
  <si>
    <t>Bancada.Seca</t>
  </si>
  <si>
    <t>Bancada.Ilha</t>
  </si>
  <si>
    <t>Bancada de trabalho e apóio para equipamentos de laboratórios situada centralmente no espaço.</t>
  </si>
  <si>
    <t>Bancada de trabalho e apóio para equipamento de laboratório simples.</t>
  </si>
  <si>
    <t>Bancada de trabalho e apóio para equipamento de laboratório de química que pode necessitar desagues e instalações especiais.</t>
  </si>
  <si>
    <t>Bancada de trabalho e apóio equipamento de laboratório biológico que pode necessitar instalações especiais.</t>
  </si>
  <si>
    <t>Bancada de trabajo y soporte para equipos de laboratorio situados en el centro del espacio.</t>
  </si>
  <si>
    <t>Bancada de trabajo y soporte para equipos de laboratorio sencillos.</t>
  </si>
  <si>
    <t>Bancada de trabajo y soporte para equipos de laboratorio de química que pueden requerir drenajes e instalaciones especiales.</t>
  </si>
  <si>
    <t>Bancada de trabajo y soporte para equipos de laboratorio biológico que puedan requerir instalaciones especiales.</t>
  </si>
  <si>
    <t>Workbench and support for laboratory equipment located centrally in the space.</t>
  </si>
  <si>
    <t>Workbench and support for simple laboratory equipment.</t>
  </si>
  <si>
    <t>Workbench and support for chemistry laboratory equipment that may require special drains and installations.</t>
  </si>
  <si>
    <t>Workbench and support biological laboratory equipment that may require special facilities.</t>
  </si>
  <si>
    <t>Argamassa para colar peças cerámicas ou porcelanatos em pisos.</t>
  </si>
  <si>
    <t>Argamassa polimérica para camadas de isolamento em pisos.</t>
  </si>
  <si>
    <t>Argamassa utilizada para proteção radiológica em pisos. Usar em pisos de salas de radioterapia, radiologia, medicina nuclear de centros de saúde.</t>
  </si>
  <si>
    <t>Argamassa de grauteamento para preenchimento de cavidades em pisos.</t>
  </si>
  <si>
    <t>Mortero para pegar piezas cerámicas o porcelanatos en pisos.</t>
  </si>
  <si>
    <t>Mortero polimérico para capas aislantes de pisos.</t>
  </si>
  <si>
    <t>Mortero utilizado para protección radiológica. Usar en pisos de salas de radioterapia, radiología, medicina nuclear de centros de salud.</t>
  </si>
  <si>
    <t>Mortero de rejuntado para el relleno de cavidades en pisos.</t>
  </si>
  <si>
    <t>Mortar to glue ceramic or porcelain tiles to floors.</t>
  </si>
  <si>
    <t>Polymeric mortar for insulation floor layers.</t>
  </si>
  <si>
    <t>Mortar used for radiological protection. Use on floors of radiotherapy, radiology, nuclear medicine rooms of health centers.</t>
  </si>
  <si>
    <t>Grouting mortar for filling cavities in floors.</t>
  </si>
  <si>
    <t>[ OST_Parts : OST_FloorsSubstrate ]</t>
  </si>
  <si>
    <t>[ OST_Parts : OST_FloorsInsulation ]</t>
  </si>
  <si>
    <t>[ OST_Parts : OST_WallsFinish1 : OST_WallsFinish2 ]</t>
  </si>
  <si>
    <t>[ OST_Parts : OST_WallsSubstrate ]</t>
  </si>
  <si>
    <t>[ OST_Parts : OST_WallsInsulation ]</t>
  </si>
  <si>
    <t>[ OST_Parts : OST_FloorsMembrane ]</t>
  </si>
  <si>
    <t>[ OST_Parts : OST_FloorsFinish1 : OST_FloorsFinish2 ]</t>
  </si>
  <si>
    <t>[ OST_Parts : OST_CeilingsFinish1 : OST_CeilingsFinish2 ]</t>
  </si>
  <si>
    <t>[ OST_Parts : OST_WallCoreLayer ]</t>
  </si>
  <si>
    <t>[ OST_Parts : OST_WallsInsulation : OST_FloorsInsulation ]</t>
  </si>
  <si>
    <t>[ OST_Parts : OST_WallsSubstrate : OST_FloorsSubstrate ]</t>
  </si>
  <si>
    <t>Contrapiso</t>
  </si>
  <si>
    <t>Assentamento</t>
  </si>
  <si>
    <t>Argamassa para assentar tijolos em paredes.</t>
  </si>
  <si>
    <t>Mortero colocar ladrillos en paredes.</t>
  </si>
  <si>
    <t>Mortar to put brick in walls.</t>
  </si>
  <si>
    <t>Lastro</t>
  </si>
  <si>
    <t>Graute.Parede</t>
  </si>
  <si>
    <t>Piso.Baritado</t>
  </si>
  <si>
    <t>Piso.Isolante</t>
  </si>
  <si>
    <t>Piso.Colante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</si>
</sst>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rgb="FF000000"/>
      <name val="Aptos Narrow"/>
      <family val="2"/>
      <charset val="1"/>
    </font>
    <font>
      <sz val="8"/>
      <name val="Aptos Narrow"/>
      <family val="2"/>
      <charset val="1"/>
    </font>
    <font>
      <sz val="6"/>
      <color rgb="FF000000"/>
      <name val="Arial Nova Cond Light"/>
      <family val="2"/>
    </font>
    <font>
      <b/>
      <sz val="6"/>
      <color rgb="FF000000"/>
      <name val="Arial Nova Cond Light"/>
      <family val="2"/>
    </font>
    <font>
      <sz val="6"/>
      <name val="Arial Nova Cond Light"/>
      <family val="2"/>
    </font>
    <font>
      <b/>
      <sz val="6"/>
      <name val="Arial Nova Cond Light"/>
      <family val="2"/>
    </font>
    <font>
      <sz val="6"/>
      <color theme="1"/>
      <name val="Arial Nova Cond Light"/>
      <family val="2"/>
    </font>
    <font>
      <i/>
      <sz val="6"/>
      <name val="Arial Nova Cond Light"/>
      <family val="2"/>
    </font>
    <font>
      <b/>
      <sz val="11"/>
      <color theme="1"/>
      <name val="Aptos Narrow"/>
      <family val="2"/>
      <scheme val="minor"/>
    </font>
    <font>
      <sz val="6"/>
      <color theme="1"/>
      <name val="Arial Nova Cond"/>
      <family val="2"/>
    </font>
    <font>
      <i/>
      <sz val="11"/>
      <color rgb="FF000000"/>
      <name val="Aptos Narrow"/>
      <family val="2"/>
      <charset val="1"/>
    </font>
    <font>
      <b/>
      <sz val="5"/>
      <color rgb="FF000000"/>
      <name val="Arial Nova Cond Light"/>
      <family val="2"/>
    </font>
    <font>
      <b/>
      <sz val="6"/>
      <color theme="1"/>
      <name val="Arial Nova Cond Light"/>
      <family val="2"/>
    </font>
    <font>
      <sz val="8"/>
      <color theme="1"/>
      <name val="Arial Nova Cond Light"/>
      <family val="2"/>
    </font>
    <font>
      <b/>
      <sz val="5"/>
      <name val="Arial Nova Cond Light"/>
      <family val="2"/>
    </font>
    <font>
      <b/>
      <i/>
      <sz val="5"/>
      <name val="Arial Nova Cond Light"/>
      <family val="2"/>
    </font>
    <font>
      <b/>
      <sz val="11"/>
      <color rgb="FF000000"/>
      <name val="Aptos Narrow"/>
      <family val="2"/>
      <charset val="1"/>
    </font>
    <font>
      <u/>
      <sz val="11"/>
      <color theme="10"/>
      <name val="Aptos Narrow"/>
      <family val="2"/>
      <charset val="1"/>
    </font>
  </fonts>
  <fills count="27">
    <fill>
      <patternFill patternType="none"/>
    </fill>
    <fill>
      <patternFill patternType="gray125"/>
    </fill>
    <fill>
      <patternFill patternType="solid">
        <fgColor rgb="FFFFC000"/>
        <bgColor rgb="FFFF9900"/>
      </patternFill>
    </fill>
    <fill>
      <patternFill patternType="solid">
        <fgColor rgb="FFF2AA84"/>
        <bgColor rgb="FFF6C6AD"/>
      </patternFill>
    </fill>
    <fill>
      <patternFill patternType="solid">
        <fgColor rgb="FFD9D9D9"/>
        <bgColor rgb="FFD1D1D1"/>
      </patternFill>
    </fill>
    <fill>
      <patternFill patternType="solid">
        <fgColor rgb="FFFBE79D"/>
        <bgColor indexed="64"/>
      </patternFill>
    </fill>
    <fill>
      <patternFill patternType="solid">
        <fgColor rgb="FFAEAAAA"/>
        <bgColor rgb="FF000000"/>
      </patternFill>
    </fill>
    <fill>
      <patternFill patternType="solid">
        <fgColor rgb="FFFFFFFF"/>
        <bgColor rgb="FF000000"/>
      </patternFill>
    </fill>
    <fill>
      <patternFill patternType="solid">
        <fgColor theme="2" tint="-0.249977111117893"/>
        <bgColor indexed="64"/>
      </patternFill>
    </fill>
    <fill>
      <patternFill patternType="solid">
        <fgColor theme="0" tint="-0.14999847407452621"/>
        <bgColor rgb="FFFEF2CB"/>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59999389629810485"/>
        <bgColor rgb="FFFF9900"/>
      </patternFill>
    </fill>
    <fill>
      <patternFill patternType="solid">
        <fgColor theme="5" tint="0.59999389629810485"/>
        <bgColor rgb="FFC0C0C0"/>
      </patternFill>
    </fill>
    <fill>
      <patternFill patternType="solid">
        <fgColor theme="5" tint="0.79998168889431442"/>
        <bgColor indexed="64"/>
      </patternFill>
    </fill>
    <fill>
      <patternFill patternType="solid">
        <fgColor theme="0" tint="-0.14999847407452621"/>
        <bgColor indexed="64"/>
      </patternFill>
    </fill>
    <fill>
      <patternFill patternType="solid">
        <fgColor theme="5" tint="0.79998168889431442"/>
        <bgColor rgb="FFFFC7CE"/>
      </patternFill>
    </fill>
    <fill>
      <patternFill patternType="solid">
        <fgColor theme="3" tint="0.749992370372631"/>
        <bgColor indexed="64"/>
      </patternFill>
    </fill>
    <fill>
      <patternFill patternType="solid">
        <fgColor theme="8" tint="0.59999389629810485"/>
        <bgColor indexed="64"/>
      </patternFill>
    </fill>
    <fill>
      <patternFill patternType="solid">
        <fgColor theme="8" tint="0.59999389629810485"/>
        <bgColor rgb="FFFFFFCC"/>
      </patternFill>
    </fill>
    <fill>
      <patternFill patternType="solid">
        <fgColor theme="0" tint="-0.34998626667073579"/>
        <bgColor indexed="64"/>
      </patternFill>
    </fill>
    <fill>
      <patternFill patternType="solid">
        <fgColor theme="5" tint="0.79998168889431442"/>
        <bgColor rgb="FFD9F2D0"/>
      </patternFill>
    </fill>
    <fill>
      <patternFill patternType="solid">
        <fgColor theme="8" tint="0.79998168889431442"/>
        <bgColor indexed="64"/>
      </patternFill>
    </fill>
    <fill>
      <patternFill patternType="solid">
        <fgColor theme="8" tint="0.79998168889431442"/>
        <bgColor rgb="FFFFFFCC"/>
      </patternFill>
    </fill>
    <fill>
      <patternFill patternType="solid">
        <fgColor theme="5" tint="0.79998168889431442"/>
        <bgColor rgb="FFFEF2CB"/>
      </patternFill>
    </fill>
    <fill>
      <patternFill patternType="solid">
        <fgColor theme="0"/>
        <bgColor indexed="64"/>
      </patternFill>
    </fill>
    <fill>
      <patternFill patternType="solid">
        <fgColor theme="5" tint="0.79998168889431442"/>
        <bgColor rgb="FF000000"/>
      </patternFill>
    </fill>
  </fills>
  <borders count="7">
    <border>
      <left/>
      <right/>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indexed="64"/>
      </left>
      <right/>
      <top style="thin">
        <color indexed="64"/>
      </top>
      <bottom/>
      <diagonal/>
    </border>
  </borders>
  <cellStyleXfs count="2">
    <xf numFmtId="0" fontId="0" fillId="0" borderId="0"/>
    <xf numFmtId="0" fontId="17" fillId="0" borderId="0" applyNumberFormat="0" applyFill="0" applyBorder="0" applyAlignment="0" applyProtection="0"/>
  </cellStyleXfs>
  <cellXfs count="98">
    <xf numFmtId="0" fontId="0" fillId="0" borderId="0" xfId="0"/>
    <xf numFmtId="0" fontId="2" fillId="5" borderId="4" xfId="0" applyFont="1" applyFill="1" applyBorder="1" applyAlignment="1">
      <alignment horizontal="left" vertical="center"/>
    </xf>
    <xf numFmtId="0" fontId="7" fillId="4" borderId="5" xfId="0" applyFont="1" applyFill="1" applyBorder="1" applyAlignment="1">
      <alignment horizontal="center" vertical="center" wrapText="1"/>
    </xf>
    <xf numFmtId="0" fontId="5" fillId="4" borderId="2" xfId="0" applyFont="1" applyFill="1" applyBorder="1" applyAlignment="1">
      <alignment horizontal="left" vertical="center" wrapText="1"/>
    </xf>
    <xf numFmtId="0" fontId="4" fillId="0" borderId="0" xfId="0" applyFont="1" applyAlignment="1">
      <alignment horizontal="left"/>
    </xf>
    <xf numFmtId="0" fontId="5" fillId="4" borderId="3" xfId="0" applyFont="1" applyFill="1" applyBorder="1" applyAlignment="1">
      <alignment horizontal="left" vertical="center" wrapText="1"/>
    </xf>
    <xf numFmtId="0" fontId="7" fillId="4" borderId="1" xfId="0" applyFont="1" applyFill="1" applyBorder="1" applyAlignment="1">
      <alignment horizontal="center" vertical="center" wrapText="1"/>
    </xf>
    <xf numFmtId="0" fontId="4" fillId="2" borderId="4" xfId="0" applyFont="1" applyFill="1" applyBorder="1" applyAlignment="1">
      <alignment vertical="center"/>
    </xf>
    <xf numFmtId="0" fontId="4" fillId="0" borderId="0" xfId="0" applyFont="1"/>
    <xf numFmtId="0" fontId="4" fillId="0" borderId="0" xfId="0" applyFont="1" applyAlignment="1">
      <alignment horizontal="center" vertical="center"/>
    </xf>
    <xf numFmtId="0" fontId="4" fillId="0" borderId="0" xfId="0" applyFont="1" applyAlignment="1">
      <alignment vertical="center"/>
    </xf>
    <xf numFmtId="0" fontId="3" fillId="6" borderId="4" xfId="0" applyFont="1" applyFill="1" applyBorder="1" applyAlignment="1">
      <alignment vertical="center"/>
    </xf>
    <xf numFmtId="0" fontId="2" fillId="7" borderId="4" xfId="0" applyFont="1" applyFill="1" applyBorder="1" applyAlignment="1">
      <alignment vertical="center"/>
    </xf>
    <xf numFmtId="0" fontId="6" fillId="0" borderId="4" xfId="0" applyFont="1" applyBorder="1" applyAlignment="1">
      <alignment vertical="center"/>
    </xf>
    <xf numFmtId="0" fontId="6" fillId="0" borderId="4" xfId="0" applyFont="1" applyBorder="1" applyAlignment="1">
      <alignment vertical="center" wrapText="1"/>
    </xf>
    <xf numFmtId="0" fontId="2" fillId="0" borderId="0" xfId="0" applyFont="1" applyAlignment="1">
      <alignment horizontal="left" vertical="center"/>
    </xf>
    <xf numFmtId="0" fontId="2" fillId="0" borderId="0" xfId="0" applyFont="1" applyAlignment="1">
      <alignment horizontal="center" vertical="center"/>
    </xf>
    <xf numFmtId="0" fontId="3" fillId="12" borderId="4" xfId="0" applyFont="1" applyFill="1" applyBorder="1" applyAlignment="1">
      <alignment horizontal="left" vertical="center" wrapText="1"/>
    </xf>
    <xf numFmtId="0" fontId="3" fillId="13" borderId="4" xfId="0" applyFont="1" applyFill="1" applyBorder="1" applyAlignment="1">
      <alignment horizontal="left" vertical="center" wrapText="1"/>
    </xf>
    <xf numFmtId="0" fontId="2" fillId="14" borderId="4" xfId="0" applyFont="1" applyFill="1" applyBorder="1" applyAlignment="1">
      <alignment horizontal="left" vertical="center"/>
    </xf>
    <xf numFmtId="0" fontId="3" fillId="12" borderId="4" xfId="0" applyFont="1" applyFill="1" applyBorder="1" applyAlignment="1">
      <alignment horizontal="center" vertical="center" wrapText="1"/>
    </xf>
    <xf numFmtId="0" fontId="2" fillId="15" borderId="4" xfId="0" applyFont="1" applyFill="1" applyBorder="1" applyAlignment="1">
      <alignment horizontal="center" vertical="center"/>
    </xf>
    <xf numFmtId="0" fontId="2" fillId="5" borderId="1" xfId="0" applyFont="1" applyFill="1" applyBorder="1" applyAlignment="1">
      <alignment horizontal="left" vertical="center"/>
    </xf>
    <xf numFmtId="0" fontId="2" fillId="5" borderId="4" xfId="0" applyFont="1" applyFill="1" applyBorder="1" applyAlignment="1">
      <alignment horizontal="left" vertical="center" wrapText="1"/>
    </xf>
    <xf numFmtId="0" fontId="2" fillId="16" borderId="4" xfId="0" applyFont="1" applyFill="1" applyBorder="1" applyAlignment="1">
      <alignment horizontal="left" vertical="center"/>
    </xf>
    <xf numFmtId="0" fontId="2" fillId="14" borderId="4" xfId="0" applyFont="1" applyFill="1" applyBorder="1" applyAlignment="1">
      <alignment vertical="center"/>
    </xf>
    <xf numFmtId="0" fontId="0" fillId="0" borderId="0" xfId="0" applyAlignment="1">
      <alignment vertical="center"/>
    </xf>
    <xf numFmtId="22" fontId="6" fillId="0" borderId="4" xfId="0" applyNumberFormat="1" applyFont="1" applyBorder="1" applyAlignment="1">
      <alignment vertical="center"/>
    </xf>
    <xf numFmtId="22" fontId="6" fillId="0" borderId="4" xfId="0" applyNumberFormat="1" applyFont="1" applyBorder="1" applyAlignment="1">
      <alignment horizontal="left" vertical="center"/>
    </xf>
    <xf numFmtId="0" fontId="6" fillId="14" borderId="4" xfId="0" applyFont="1" applyFill="1" applyBorder="1" applyAlignment="1">
      <alignment horizontal="left" vertical="center"/>
    </xf>
    <xf numFmtId="0" fontId="2" fillId="14" borderId="4" xfId="0" applyFont="1" applyFill="1" applyBorder="1" applyAlignment="1">
      <alignment horizontal="left" vertical="center" wrapText="1"/>
    </xf>
    <xf numFmtId="0" fontId="5" fillId="8" borderId="4" xfId="0" applyFont="1" applyFill="1" applyBorder="1" applyAlignment="1">
      <alignment horizontal="center" vertical="center"/>
    </xf>
    <xf numFmtId="0" fontId="5" fillId="8" borderId="4" xfId="0" applyFont="1" applyFill="1" applyBorder="1" applyAlignment="1">
      <alignment horizontal="left" vertical="center"/>
    </xf>
    <xf numFmtId="0" fontId="2" fillId="5" borderId="4" xfId="0" applyFont="1" applyFill="1" applyBorder="1" applyAlignment="1">
      <alignment vertical="center"/>
    </xf>
    <xf numFmtId="0" fontId="4" fillId="10" borderId="4" xfId="0" applyFont="1" applyFill="1" applyBorder="1" applyAlignment="1">
      <alignment horizontal="center" vertical="center"/>
    </xf>
    <xf numFmtId="0" fontId="3" fillId="3" borderId="6" xfId="0" applyFont="1" applyFill="1" applyBorder="1" applyAlignment="1">
      <alignment horizontal="left" vertical="center" wrapText="1"/>
    </xf>
    <xf numFmtId="0" fontId="2" fillId="10" borderId="4" xfId="0" applyFont="1" applyFill="1" applyBorder="1" applyAlignment="1">
      <alignment horizontal="left" vertical="center"/>
    </xf>
    <xf numFmtId="0" fontId="6" fillId="10" borderId="4" xfId="0" applyFont="1" applyFill="1" applyBorder="1" applyAlignment="1">
      <alignment horizontal="center" vertical="center"/>
    </xf>
    <xf numFmtId="0" fontId="4" fillId="19" borderId="4" xfId="0" applyFont="1" applyFill="1" applyBorder="1" applyAlignment="1">
      <alignment horizontal="left" vertical="center"/>
    </xf>
    <xf numFmtId="0" fontId="4" fillId="10" borderId="4" xfId="0" applyFont="1" applyFill="1" applyBorder="1" applyAlignment="1">
      <alignment horizontal="left" vertical="center"/>
    </xf>
    <xf numFmtId="0" fontId="2" fillId="10" borderId="4" xfId="0" applyFont="1" applyFill="1" applyBorder="1" applyAlignment="1">
      <alignment horizontal="left" vertical="center" wrapText="1"/>
    </xf>
    <xf numFmtId="0" fontId="9" fillId="0" borderId="0" xfId="0" applyFont="1" applyAlignment="1">
      <alignment horizontal="center" vertical="center"/>
    </xf>
    <xf numFmtId="0" fontId="9" fillId="0" borderId="0" xfId="0" applyFont="1" applyAlignment="1">
      <alignment horizontal="left" vertical="center"/>
    </xf>
    <xf numFmtId="0" fontId="2" fillId="14" borderId="4" xfId="0" applyFont="1" applyFill="1" applyBorder="1" applyAlignment="1">
      <alignment horizontal="center" vertical="center"/>
    </xf>
    <xf numFmtId="0" fontId="11" fillId="3" borderId="4" xfId="0" applyFont="1" applyFill="1" applyBorder="1" applyAlignment="1">
      <alignment horizontal="left" vertical="center" wrapText="1"/>
    </xf>
    <xf numFmtId="0" fontId="12" fillId="20" borderId="4" xfId="0" applyFont="1" applyFill="1" applyBorder="1" applyAlignment="1">
      <alignment horizontal="center" vertical="center"/>
    </xf>
    <xf numFmtId="0" fontId="6" fillId="0" borderId="4" xfId="0" applyFont="1" applyBorder="1" applyAlignment="1">
      <alignment horizontal="center" vertical="center"/>
    </xf>
    <xf numFmtId="0" fontId="13" fillId="0" borderId="0" xfId="0" applyFont="1" applyAlignment="1">
      <alignment vertical="center"/>
    </xf>
    <xf numFmtId="0" fontId="4" fillId="11" borderId="4" xfId="0" applyFont="1" applyFill="1" applyBorder="1" applyAlignment="1">
      <alignment horizontal="left" vertical="center"/>
    </xf>
    <xf numFmtId="0" fontId="4" fillId="17" borderId="4" xfId="0" applyFont="1" applyFill="1" applyBorder="1" applyAlignment="1">
      <alignment horizontal="left" vertical="center" wrapText="1"/>
    </xf>
    <xf numFmtId="0" fontId="6" fillId="11" borderId="4" xfId="0" applyFont="1" applyFill="1" applyBorder="1" applyAlignment="1">
      <alignment horizontal="left" vertical="center"/>
    </xf>
    <xf numFmtId="0" fontId="6" fillId="10" borderId="4" xfId="0" applyFont="1" applyFill="1" applyBorder="1" applyAlignment="1">
      <alignment horizontal="left" vertical="center"/>
    </xf>
    <xf numFmtId="0" fontId="4" fillId="17" borderId="4" xfId="0" applyFont="1" applyFill="1" applyBorder="1" applyAlignment="1">
      <alignment horizontal="left" vertical="center"/>
    </xf>
    <xf numFmtId="0" fontId="5" fillId="8" borderId="4" xfId="0" applyFont="1" applyFill="1" applyBorder="1" applyAlignment="1">
      <alignment horizontal="left" vertical="center" wrapText="1"/>
    </xf>
    <xf numFmtId="0" fontId="2" fillId="22" borderId="4" xfId="0" applyFont="1" applyFill="1" applyBorder="1" applyAlignment="1">
      <alignment horizontal="left" vertical="center"/>
    </xf>
    <xf numFmtId="0" fontId="4" fillId="23" borderId="4" xfId="0" applyFont="1" applyFill="1" applyBorder="1" applyAlignment="1">
      <alignment horizontal="left" vertical="center"/>
    </xf>
    <xf numFmtId="0" fontId="6" fillId="22" borderId="4" xfId="0" applyFont="1" applyFill="1" applyBorder="1" applyAlignment="1">
      <alignment horizontal="left" vertical="center"/>
    </xf>
    <xf numFmtId="0" fontId="2" fillId="21" borderId="4" xfId="0" applyFont="1" applyFill="1" applyBorder="1" applyAlignment="1">
      <alignment horizontal="left" vertical="center"/>
    </xf>
    <xf numFmtId="0" fontId="2" fillId="10" borderId="4" xfId="0" applyFont="1" applyFill="1" applyBorder="1" applyAlignment="1">
      <alignment horizontal="center" vertical="center"/>
    </xf>
    <xf numFmtId="0" fontId="8" fillId="0" borderId="0" xfId="0" applyFont="1" applyAlignment="1">
      <alignment horizontal="left" vertical="center"/>
    </xf>
    <xf numFmtId="0" fontId="0" fillId="0" borderId="0" xfId="0" applyAlignment="1">
      <alignment horizontal="left" vertical="center"/>
    </xf>
    <xf numFmtId="47" fontId="4" fillId="19" borderId="4" xfId="0" applyNumberFormat="1" applyFont="1" applyFill="1" applyBorder="1" applyAlignment="1">
      <alignment horizontal="left" vertical="center"/>
    </xf>
    <xf numFmtId="0" fontId="2" fillId="18" borderId="4" xfId="0" applyFont="1" applyFill="1" applyBorder="1" applyAlignment="1">
      <alignment horizontal="left" vertical="center"/>
    </xf>
    <xf numFmtId="0" fontId="6" fillId="18" borderId="4" xfId="0" applyFont="1" applyFill="1" applyBorder="1" applyAlignment="1">
      <alignment horizontal="left" vertical="center"/>
    </xf>
    <xf numFmtId="0" fontId="6" fillId="0" borderId="0" xfId="0" applyFont="1" applyAlignment="1">
      <alignment horizontal="left" vertical="center"/>
    </xf>
    <xf numFmtId="0" fontId="5" fillId="8" borderId="4" xfId="0" applyFont="1" applyFill="1" applyBorder="1" applyAlignment="1">
      <alignment horizontal="right" vertical="center"/>
    </xf>
    <xf numFmtId="0" fontId="4" fillId="9" borderId="4" xfId="0" applyFont="1" applyFill="1" applyBorder="1" applyAlignment="1">
      <alignment horizontal="right" vertical="center"/>
    </xf>
    <xf numFmtId="0" fontId="9" fillId="0" borderId="0" xfId="0" applyFont="1" applyAlignment="1">
      <alignment horizontal="right" vertical="center"/>
    </xf>
    <xf numFmtId="0" fontId="12" fillId="8" borderId="4" xfId="0" applyFont="1" applyFill="1" applyBorder="1" applyAlignment="1">
      <alignment horizontal="left" vertical="center"/>
    </xf>
    <xf numFmtId="2" fontId="12" fillId="8" borderId="4" xfId="0" applyNumberFormat="1" applyFont="1" applyFill="1" applyBorder="1" applyAlignment="1">
      <alignment horizontal="center" vertical="center"/>
    </xf>
    <xf numFmtId="0" fontId="10" fillId="0" borderId="0" xfId="0" applyFont="1" applyAlignment="1">
      <alignment vertical="center"/>
    </xf>
    <xf numFmtId="0" fontId="6" fillId="5" borderId="4" xfId="0" applyFont="1" applyFill="1" applyBorder="1" applyAlignment="1">
      <alignment horizontal="left" vertical="center"/>
    </xf>
    <xf numFmtId="1" fontId="4" fillId="10" borderId="4" xfId="0" applyNumberFormat="1" applyFont="1" applyFill="1" applyBorder="1" applyAlignment="1">
      <alignment horizontal="left" vertical="center"/>
    </xf>
    <xf numFmtId="2" fontId="4" fillId="10" borderId="4" xfId="0" applyNumberFormat="1" applyFont="1" applyFill="1" applyBorder="1" applyAlignment="1">
      <alignment horizontal="left" vertical="center"/>
    </xf>
    <xf numFmtId="0" fontId="4" fillId="10" borderId="4" xfId="0" applyFont="1" applyFill="1" applyBorder="1" applyAlignment="1">
      <alignment horizontal="right" vertical="center"/>
    </xf>
    <xf numFmtId="0" fontId="6" fillId="10" borderId="4" xfId="0" applyFont="1" applyFill="1" applyBorder="1" applyAlignment="1">
      <alignment horizontal="right" vertical="center"/>
    </xf>
    <xf numFmtId="0" fontId="2" fillId="10" borderId="4" xfId="0" applyFont="1" applyFill="1" applyBorder="1" applyAlignment="1">
      <alignment horizontal="right" vertical="center"/>
    </xf>
    <xf numFmtId="0" fontId="11" fillId="2" borderId="4" xfId="0" applyFont="1" applyFill="1" applyBorder="1" applyAlignment="1">
      <alignment horizontal="left" vertical="center" wrapText="1"/>
    </xf>
    <xf numFmtId="0" fontId="16" fillId="0" borderId="0" xfId="0" applyFont="1" applyAlignment="1">
      <alignment horizontal="left"/>
    </xf>
    <xf numFmtId="0" fontId="3" fillId="3" borderId="6" xfId="0" applyFont="1" applyFill="1" applyBorder="1" applyAlignment="1">
      <alignment vertical="center" wrapText="1"/>
    </xf>
    <xf numFmtId="0" fontId="4" fillId="24" borderId="4" xfId="0" applyFont="1" applyFill="1" applyBorder="1" applyAlignment="1">
      <alignment horizontal="left" vertical="center"/>
    </xf>
    <xf numFmtId="0" fontId="14" fillId="2" borderId="4" xfId="0" applyFont="1" applyFill="1" applyBorder="1" applyAlignment="1">
      <alignment vertical="center" wrapText="1"/>
    </xf>
    <xf numFmtId="0" fontId="15" fillId="2" borderId="4" xfId="0" applyFont="1" applyFill="1" applyBorder="1" applyAlignment="1">
      <alignment vertical="center" wrapText="1"/>
    </xf>
    <xf numFmtId="0" fontId="7" fillId="2" borderId="4" xfId="0" applyFont="1" applyFill="1" applyBorder="1" applyAlignment="1">
      <alignment vertical="center"/>
    </xf>
    <xf numFmtId="0" fontId="11" fillId="3" borderId="4" xfId="0" applyFont="1" applyFill="1" applyBorder="1" applyAlignment="1">
      <alignment horizontal="center" vertical="center" wrapText="1"/>
    </xf>
    <xf numFmtId="0" fontId="0" fillId="0" borderId="0" xfId="0" applyAlignment="1">
      <alignment horizontal="center" vertical="center"/>
    </xf>
    <xf numFmtId="0" fontId="4" fillId="2" borderId="4" xfId="0" applyFont="1" applyFill="1" applyBorder="1" applyAlignment="1">
      <alignment horizontal="left" vertical="center"/>
    </xf>
    <xf numFmtId="0" fontId="13" fillId="0" borderId="0" xfId="0" applyFont="1" applyAlignment="1">
      <alignment horizontal="left" vertical="center"/>
    </xf>
    <xf numFmtId="0" fontId="6" fillId="0" borderId="4" xfId="0" applyFont="1" applyBorder="1" applyAlignment="1">
      <alignment horizontal="left" vertical="center"/>
    </xf>
    <xf numFmtId="0" fontId="4" fillId="0" borderId="4" xfId="1" applyFont="1" applyBorder="1" applyAlignment="1">
      <alignment horizontal="left" vertical="center"/>
    </xf>
    <xf numFmtId="0" fontId="4" fillId="0" borderId="4" xfId="1" applyFont="1" applyFill="1" applyBorder="1" applyAlignment="1">
      <alignment vertical="center"/>
    </xf>
    <xf numFmtId="0" fontId="4" fillId="0" borderId="4" xfId="1" applyFont="1" applyBorder="1" applyAlignment="1">
      <alignment vertical="center" wrapText="1"/>
    </xf>
    <xf numFmtId="0" fontId="4" fillId="0" borderId="4" xfId="0" applyFont="1" applyBorder="1" applyAlignment="1">
      <alignment vertical="center"/>
    </xf>
    <xf numFmtId="0" fontId="4" fillId="25" borderId="4" xfId="0" applyFont="1" applyFill="1" applyBorder="1" applyAlignment="1">
      <alignment vertical="center"/>
    </xf>
    <xf numFmtId="22" fontId="4" fillId="0" borderId="4" xfId="1" applyNumberFormat="1" applyFont="1" applyBorder="1" applyAlignment="1">
      <alignment horizontal="left" vertical="center"/>
    </xf>
    <xf numFmtId="0" fontId="4" fillId="0" borderId="4" xfId="1" applyFont="1" applyBorder="1" applyAlignment="1">
      <alignment vertical="center"/>
    </xf>
    <xf numFmtId="0" fontId="6" fillId="25" borderId="4" xfId="0" applyFont="1" applyFill="1" applyBorder="1" applyAlignment="1">
      <alignment vertical="center" wrapText="1"/>
    </xf>
    <xf numFmtId="0" fontId="4" fillId="26" borderId="4" xfId="0" applyFont="1" applyFill="1" applyBorder="1" applyAlignment="1">
      <alignment horizontal="left" vertical="center"/>
    </xf>
  </cellXfs>
  <cellStyles count="2">
    <cellStyle name="Hiperlink" xfId="1" builtinId="8"/>
    <cellStyle name="Normal" xfId="0" builtinId="0"/>
  </cellStyles>
  <dxfs count="58">
    <dxf>
      <font>
        <b val="0"/>
        <i/>
        <strike val="0"/>
        <color theme="0" tint="-0.499984740745262"/>
      </font>
    </dxf>
    <dxf>
      <font>
        <b val="0"/>
        <i/>
        <strike val="0"/>
        <color theme="0" tint="-0.499984740745262"/>
      </font>
    </dxf>
    <dxf>
      <font>
        <b val="0"/>
        <i/>
        <color theme="0" tint="-0.499984740745262"/>
      </font>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theme="0" tint="-0.499984740745262"/>
      </font>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theme="0" tint="-0.499984740745262"/>
      </font>
    </dxf>
    <dxf>
      <font>
        <color rgb="FF9C0006"/>
      </font>
      <fill>
        <patternFill>
          <bgColor rgb="FFFFC7CE"/>
        </patternFill>
      </fill>
    </dxf>
    <dxf>
      <font>
        <b val="0"/>
        <i/>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theme="0" tint="-0.499984740745262"/>
      </font>
    </dxf>
    <dxf>
      <font>
        <color rgb="FF9C0006"/>
      </font>
      <fill>
        <patternFill>
          <bgColor rgb="FFFFC7CE"/>
        </patternFill>
      </fill>
    </dxf>
    <dxf>
      <font>
        <color rgb="FF9C0006"/>
      </font>
      <fill>
        <patternFill>
          <bgColor rgb="FFFFC7CE"/>
        </patternFill>
      </fill>
    </dxf>
    <dxf>
      <font>
        <b val="0"/>
        <i/>
        <strike val="0"/>
        <color theme="0" tint="-0.499984740745262"/>
      </font>
    </dxf>
    <dxf>
      <font>
        <b val="0"/>
        <i/>
        <strike val="0"/>
        <color rgb="FFFFFFFF"/>
      </font>
    </dxf>
    <dxf>
      <font>
        <b val="0"/>
        <i/>
        <strike val="0"/>
        <color theme="0" tint="-0.499984740745262"/>
      </font>
    </dxf>
    <dxf>
      <font>
        <color rgb="FF9C0006"/>
      </font>
      <fill>
        <patternFill>
          <bgColor rgb="FFFFC7CE"/>
        </patternFill>
      </fill>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D9D9D9"/>
      <rgbColor rgb="FF747474"/>
      <rgbColor rgb="FF9999FF"/>
      <rgbColor rgb="FF993366"/>
      <rgbColor rgb="FFFFCCCC"/>
      <rgbColor rgb="FFDCEAF7"/>
      <rgbColor rgb="FF660066"/>
      <rgbColor rgb="FFF2AA84"/>
      <rgbColor rgb="FF0066CC"/>
      <rgbColor rgb="FFD1D1D1"/>
      <rgbColor rgb="FF000080"/>
      <rgbColor rgb="FFFF00FF"/>
      <rgbColor rgb="FFFFFF00"/>
      <rgbColor rgb="FF00FFFF"/>
      <rgbColor rgb="FF800080"/>
      <rgbColor rgb="FF800000"/>
      <rgbColor rgb="FF008080"/>
      <rgbColor rgb="FF0000FF"/>
      <rgbColor rgb="FF00CCFF"/>
      <rgbColor rgb="FFB4E5A2"/>
      <rgbColor rgb="FFD9F2D0"/>
      <rgbColor rgb="FFF6E896"/>
      <rgbColor rgb="FFA6CAEC"/>
      <rgbColor rgb="FFE59EDD"/>
      <rgbColor rgb="FFFFC7CE"/>
      <rgbColor rgb="FFF6C6AD"/>
      <rgbColor rgb="FF3366FF"/>
      <rgbColor rgb="FF46B1E1"/>
      <rgbColor rgb="FF8ED973"/>
      <rgbColor rgb="FFFFC0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FBE79D"/>
      <color rgb="FFE49EDD"/>
      <color rgb="FFFDF2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4" displayName="Tabla4" ref="A1:U2" totalsRowShown="0">
  <tableColumns count="21">
    <tableColumn id="1" xr3:uid="{00000000-0010-0000-0000-000001000000}" name="1"/>
    <tableColumn id="2" xr3:uid="{00000000-0010-0000-0000-000002000000}" name="Disjunta 1"/>
    <tableColumn id="3" xr3:uid="{00000000-0010-0000-0000-000003000000}" name="Disjunta 2"/>
    <tableColumn id="4" xr3:uid="{00000000-0010-0000-0000-000004000000}" name="Disjunta 3"/>
    <tableColumn id="5" xr3:uid="{00000000-0010-0000-0000-000005000000}" name="Disjunta 4"/>
    <tableColumn id="6" xr3:uid="{00000000-0010-0000-0000-000006000000}" name="Disjunta 5"/>
    <tableColumn id="7" xr3:uid="{00000000-0010-0000-0000-000007000000}" name="Disjunta 6"/>
    <tableColumn id="8" xr3:uid="{00000000-0010-0000-0000-000008000000}" name="Disjunta 7"/>
    <tableColumn id="9" xr3:uid="{00000000-0010-0000-0000-000009000000}" name="Disjunta 8"/>
    <tableColumn id="10" xr3:uid="{00000000-0010-0000-0000-00000A000000}" name="Disjunta 9"/>
    <tableColumn id="11" xr3:uid="{00000000-0010-0000-0000-00000B000000}" name="Disjunta 10"/>
    <tableColumn id="12" xr3:uid="{00000000-0010-0000-0000-00000C000000}" name="Disjunta 11"/>
    <tableColumn id="13" xr3:uid="{00000000-0010-0000-0000-00000D000000}" name="Disjunta 12"/>
    <tableColumn id="14" xr3:uid="{00000000-0010-0000-0000-00000E000000}" name="Disjunta 13"/>
    <tableColumn id="15" xr3:uid="{00000000-0010-0000-0000-00000F000000}" name="Disjunta 14"/>
    <tableColumn id="16" xr3:uid="{00000000-0010-0000-0000-000010000000}" name="Disjunta 15"/>
    <tableColumn id="17" xr3:uid="{00000000-0010-0000-0000-000011000000}" name="Disjunta 16"/>
    <tableColumn id="18" xr3:uid="{00000000-0010-0000-0000-000012000000}" name="Disjunta 17"/>
    <tableColumn id="19" xr3:uid="{00000000-0010-0000-0000-000013000000}" name="Disjunta 18"/>
    <tableColumn id="20" xr3:uid="{00000000-0010-0000-0000-000014000000}" name="Disjunta 19"/>
    <tableColumn id="21" xr3:uid="{00000000-0010-0000-0000-000015000000}" name="Disjunta 20"/>
  </tableColumns>
  <tableStyleInfo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aesp.fgv.br/centros/centro-estudos-sustentabilidade/projetos/programa-brasileiro-ghg-protocol" TargetMode="External"/><Relationship Id="rId7" Type="http://schemas.openxmlformats.org/officeDocument/2006/relationships/hyperlink" Target="https://www.gov.br/fazenda/pt-br/orgaos/spe/taxonomia-sustentavel-brasileira/cadernos" TargetMode="External"/><Relationship Id="rId2" Type="http://schemas.openxmlformats.org/officeDocument/2006/relationships/hyperlink" Target="https://www.gov.br/fazenda/pt-br/acesso-a-informacao/acoes-e-programas/transformacao-ecologica/transformacao-ecologica" TargetMode="External"/><Relationship Id="rId1" Type="http://schemas.openxmlformats.org/officeDocument/2006/relationships/hyperlink" Target="https://brasil.un.org/pt-br/sdgs" TargetMode="External"/><Relationship Id="rId6" Type="http://schemas.openxmlformats.org/officeDocument/2006/relationships/hyperlink" Target="https://anvisalegis.datalegis.net/" TargetMode="External"/><Relationship Id="rId5" Type="http://schemas.openxmlformats.org/officeDocument/2006/relationships/hyperlink" Target="https://somasus.saude.gov.br/sistema/home" TargetMode="External"/><Relationship Id="rId4" Type="http://schemas.openxmlformats.org/officeDocument/2006/relationships/hyperlink" Target="https://www.caixa.gov.br/site/Paginas/downloads.aspx"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84A63-55AB-497E-9EBD-4681BB9AFAFF}">
  <dimension ref="A1:C49"/>
  <sheetViews>
    <sheetView zoomScale="160" zoomScaleNormal="160" workbookViewId="0">
      <pane ySplit="1" topLeftCell="A2" activePane="bottomLeft" state="frozen"/>
      <selection pane="bottomLeft"/>
    </sheetView>
  </sheetViews>
  <sheetFormatPr defaultColWidth="9.15234375" defaultRowHeight="9.65" customHeight="1" x14ac:dyDescent="0.4"/>
  <cols>
    <col min="1" max="1" width="12.84375" bestFit="1" customWidth="1"/>
    <col min="2" max="2" width="81.3046875" style="26" customWidth="1"/>
    <col min="3" max="3" width="4.3046875" style="47" customWidth="1"/>
    <col min="4" max="16384" width="9.15234375" style="26"/>
  </cols>
  <sheetData>
    <row r="1" spans="1:3" ht="15.75" customHeight="1" x14ac:dyDescent="0.4">
      <c r="A1" s="11" t="s">
        <v>44</v>
      </c>
      <c r="B1" s="11" t="s">
        <v>45</v>
      </c>
      <c r="C1" s="45" t="s">
        <v>1296</v>
      </c>
    </row>
    <row r="2" spans="1:3" ht="9.65" customHeight="1" x14ac:dyDescent="0.4">
      <c r="A2" s="12" t="s">
        <v>46</v>
      </c>
      <c r="B2" s="12" t="s">
        <v>47</v>
      </c>
      <c r="C2" s="46" t="s">
        <v>1297</v>
      </c>
    </row>
    <row r="3" spans="1:3" ht="9.65" customHeight="1" x14ac:dyDescent="0.4">
      <c r="A3" s="12" t="s">
        <v>48</v>
      </c>
      <c r="B3" s="12" t="s">
        <v>1306</v>
      </c>
      <c r="C3" s="46" t="s">
        <v>1297</v>
      </c>
    </row>
    <row r="4" spans="1:3" ht="9.65" customHeight="1" x14ac:dyDescent="0.4">
      <c r="A4" s="13" t="s">
        <v>49</v>
      </c>
      <c r="B4" s="13" t="s">
        <v>32</v>
      </c>
      <c r="C4" s="46" t="s">
        <v>1297</v>
      </c>
    </row>
    <row r="5" spans="1:3" ht="9.65" customHeight="1" x14ac:dyDescent="0.4">
      <c r="A5" s="13" t="s">
        <v>50</v>
      </c>
      <c r="B5" s="13" t="str">
        <f>_xlfn.CONCAT(B4,"Prop")</f>
        <v>BIMProp</v>
      </c>
      <c r="C5" s="46" t="s">
        <v>1297</v>
      </c>
    </row>
    <row r="6" spans="1:3" ht="9.65" customHeight="1" x14ac:dyDescent="0.4">
      <c r="A6" s="13" t="s">
        <v>51</v>
      </c>
      <c r="B6" s="13" t="str">
        <f>_xlfn.CONCAT(B4,"Data")</f>
        <v>BIMData</v>
      </c>
      <c r="C6" s="46" t="s">
        <v>1297</v>
      </c>
    </row>
    <row r="7" spans="1:3" ht="9.65" customHeight="1" x14ac:dyDescent="0.4">
      <c r="A7" s="13" t="s">
        <v>52</v>
      </c>
      <c r="B7" s="13" t="s">
        <v>53</v>
      </c>
      <c r="C7" s="46" t="s">
        <v>1297</v>
      </c>
    </row>
    <row r="8" spans="1:3" customFormat="1" ht="9" customHeight="1" x14ac:dyDescent="0.4">
      <c r="A8" s="88" t="s">
        <v>54</v>
      </c>
      <c r="B8" s="13" t="s">
        <v>1295</v>
      </c>
      <c r="C8" s="46" t="s">
        <v>1297</v>
      </c>
    </row>
    <row r="9" spans="1:3" ht="9.65" customHeight="1" x14ac:dyDescent="0.4">
      <c r="A9" s="13" t="s">
        <v>55</v>
      </c>
      <c r="B9" s="13" t="s">
        <v>56</v>
      </c>
      <c r="C9" s="46" t="s">
        <v>1297</v>
      </c>
    </row>
    <row r="10" spans="1:3" ht="9.65" customHeight="1" x14ac:dyDescent="0.4">
      <c r="A10" s="13" t="s">
        <v>2035</v>
      </c>
      <c r="B10" s="13" t="s">
        <v>57</v>
      </c>
      <c r="C10" s="46" t="s">
        <v>1297</v>
      </c>
    </row>
    <row r="11" spans="1:3" ht="9.65" customHeight="1" x14ac:dyDescent="0.4">
      <c r="A11" s="13" t="s">
        <v>2036</v>
      </c>
      <c r="B11" s="13" t="s">
        <v>57</v>
      </c>
      <c r="C11" s="46" t="s">
        <v>1297</v>
      </c>
    </row>
    <row r="12" spans="1:3" ht="9.65" customHeight="1" x14ac:dyDescent="0.4">
      <c r="A12" s="13" t="s">
        <v>2037</v>
      </c>
      <c r="B12" s="13" t="s">
        <v>57</v>
      </c>
      <c r="C12" s="46" t="s">
        <v>1297</v>
      </c>
    </row>
    <row r="13" spans="1:3" ht="9.65" customHeight="1" x14ac:dyDescent="0.4">
      <c r="A13" s="13" t="s">
        <v>1985</v>
      </c>
      <c r="B13" s="13" t="s">
        <v>57</v>
      </c>
      <c r="C13" s="46" t="s">
        <v>1297</v>
      </c>
    </row>
    <row r="14" spans="1:3" ht="9.65" customHeight="1" x14ac:dyDescent="0.4">
      <c r="A14" s="13" t="s">
        <v>1986</v>
      </c>
      <c r="B14" s="13" t="s">
        <v>57</v>
      </c>
      <c r="C14" s="46" t="s">
        <v>1297</v>
      </c>
    </row>
    <row r="15" spans="1:3" ht="9.65" customHeight="1" x14ac:dyDescent="0.4">
      <c r="A15" s="13" t="s">
        <v>1987</v>
      </c>
      <c r="B15" s="13" t="s">
        <v>57</v>
      </c>
      <c r="C15" s="46" t="s">
        <v>1297</v>
      </c>
    </row>
    <row r="16" spans="1:3" ht="9.65" customHeight="1" x14ac:dyDescent="0.4">
      <c r="A16" s="13" t="s">
        <v>1988</v>
      </c>
      <c r="B16" s="13" t="s">
        <v>57</v>
      </c>
      <c r="C16" s="46" t="s">
        <v>1297</v>
      </c>
    </row>
    <row r="17" spans="1:3" ht="9.65" customHeight="1" x14ac:dyDescent="0.4">
      <c r="A17" s="13" t="s">
        <v>58</v>
      </c>
      <c r="B17" s="13" t="s">
        <v>1436</v>
      </c>
      <c r="C17" s="46" t="s">
        <v>1297</v>
      </c>
    </row>
    <row r="18" spans="1:3" ht="9.65" customHeight="1" x14ac:dyDescent="0.4">
      <c r="A18" s="13" t="s">
        <v>59</v>
      </c>
      <c r="B18" s="28">
        <f ca="1">NOW()</f>
        <v>46284.460262499997</v>
      </c>
      <c r="C18" s="46" t="s">
        <v>1297</v>
      </c>
    </row>
    <row r="19" spans="1:3" ht="9.65" customHeight="1" x14ac:dyDescent="0.4">
      <c r="A19" s="13" t="s">
        <v>1304</v>
      </c>
      <c r="B19" s="27" t="s">
        <v>1302</v>
      </c>
      <c r="C19" s="46" t="s">
        <v>1297</v>
      </c>
    </row>
    <row r="20" spans="1:3" ht="9.65" customHeight="1" x14ac:dyDescent="0.4">
      <c r="A20" s="88" t="s">
        <v>1301</v>
      </c>
      <c r="B20" s="27" t="str">
        <f>_xlfn.TRANSLATE(B19,"pt","es")</f>
        <v>Traducciones integradas al español e inglés - Las traducciones deben revisarse constantemente</v>
      </c>
      <c r="C20" s="46" t="s">
        <v>1298</v>
      </c>
    </row>
    <row r="21" spans="1:3" ht="9.65" customHeight="1" x14ac:dyDescent="0.4">
      <c r="A21" s="88" t="s">
        <v>1303</v>
      </c>
      <c r="B21" s="27" t="str">
        <f>_xlfn.TRANSLATE(B19,"pt","en")</f>
        <v>Built-in Spanish and English Translations - Translations must be constantly reviewed</v>
      </c>
      <c r="C21" s="46" t="s">
        <v>1299</v>
      </c>
    </row>
    <row r="22" spans="1:3" ht="9.65" customHeight="1" x14ac:dyDescent="0.4">
      <c r="A22" s="13" t="s">
        <v>60</v>
      </c>
      <c r="B22" s="13" t="s">
        <v>57</v>
      </c>
      <c r="C22" s="46" t="s">
        <v>1297</v>
      </c>
    </row>
    <row r="23" spans="1:3" ht="9.65" customHeight="1" x14ac:dyDescent="0.4">
      <c r="A23" s="13" t="s">
        <v>61</v>
      </c>
      <c r="B23" s="13" t="s">
        <v>57</v>
      </c>
      <c r="C23" s="46" t="s">
        <v>1297</v>
      </c>
    </row>
    <row r="24" spans="1:3" ht="9.65" customHeight="1" x14ac:dyDescent="0.4">
      <c r="A24" s="13" t="s">
        <v>62</v>
      </c>
      <c r="B24" s="14" t="s">
        <v>333</v>
      </c>
      <c r="C24" s="46" t="s">
        <v>1297</v>
      </c>
    </row>
    <row r="25" spans="1:3" ht="9.65" customHeight="1" x14ac:dyDescent="0.4">
      <c r="A25" s="13" t="s">
        <v>63</v>
      </c>
      <c r="B25" s="27" t="str">
        <f>_xlfn.TRANSLATE(B24,"pt","es")</f>
        <v>Formalizar los elementos arquitectónicos - Suelos - Paredes - Tabiques y techos en el proyecto BIM. Ontología guía de la relación de correspondencia entre las Clases IFC y las categorías Revit.</v>
      </c>
      <c r="C25" s="46" t="s">
        <v>1298</v>
      </c>
    </row>
    <row r="26" spans="1:3" customFormat="1" ht="9" customHeight="1" x14ac:dyDescent="0.4">
      <c r="A26" s="88" t="s">
        <v>1294</v>
      </c>
      <c r="B26" s="27" t="str">
        <f>_xlfn.TRANSLATE(B24,"pt","en")</f>
        <v>Formalize architectural elements - Floors - Walls - Partitions and Ceilings in BIM project. Guiding ontology of the correspondence relationship between IFC Classes and Revit categories.</v>
      </c>
      <c r="C26" s="46" t="s">
        <v>1299</v>
      </c>
    </row>
    <row r="27" spans="1:3" ht="9.65" customHeight="1" x14ac:dyDescent="0.4">
      <c r="A27" s="88" t="s">
        <v>1989</v>
      </c>
      <c r="B27" s="89" t="s">
        <v>2012</v>
      </c>
      <c r="C27" s="46" t="s">
        <v>1297</v>
      </c>
    </row>
    <row r="28" spans="1:3" ht="9.65" customHeight="1" x14ac:dyDescent="0.4">
      <c r="A28" s="88" t="s">
        <v>1990</v>
      </c>
      <c r="B28" s="90" t="s">
        <v>2013</v>
      </c>
      <c r="C28" s="46" t="s">
        <v>1297</v>
      </c>
    </row>
    <row r="29" spans="1:3" ht="9.65" customHeight="1" x14ac:dyDescent="0.4">
      <c r="A29" s="88" t="s">
        <v>1991</v>
      </c>
      <c r="B29" s="90" t="s">
        <v>2014</v>
      </c>
      <c r="C29" s="46" t="s">
        <v>1297</v>
      </c>
    </row>
    <row r="30" spans="1:3" ht="9.65" customHeight="1" x14ac:dyDescent="0.4">
      <c r="A30" s="88" t="s">
        <v>1992</v>
      </c>
      <c r="B30" s="91" t="s">
        <v>2015</v>
      </c>
      <c r="C30" s="46" t="s">
        <v>1297</v>
      </c>
    </row>
    <row r="31" spans="1:3" ht="9.65" customHeight="1" x14ac:dyDescent="0.4">
      <c r="A31" s="88" t="s">
        <v>1993</v>
      </c>
      <c r="B31" s="92" t="s">
        <v>2016</v>
      </c>
      <c r="C31" s="46" t="s">
        <v>1297</v>
      </c>
    </row>
    <row r="32" spans="1:3" ht="9.65" customHeight="1" x14ac:dyDescent="0.4">
      <c r="A32" s="88" t="s">
        <v>1994</v>
      </c>
      <c r="B32" s="92" t="s">
        <v>2017</v>
      </c>
      <c r="C32" s="46" t="s">
        <v>1297</v>
      </c>
    </row>
    <row r="33" spans="1:3" ht="9.65" customHeight="1" x14ac:dyDescent="0.4">
      <c r="A33" s="88" t="s">
        <v>1995</v>
      </c>
      <c r="B33" s="92" t="s">
        <v>2018</v>
      </c>
      <c r="C33" s="46" t="s">
        <v>1297</v>
      </c>
    </row>
    <row r="34" spans="1:3" ht="9.65" customHeight="1" x14ac:dyDescent="0.4">
      <c r="A34" s="88" t="s">
        <v>1996</v>
      </c>
      <c r="B34" s="93" t="s">
        <v>2019</v>
      </c>
      <c r="C34" s="46" t="s">
        <v>1297</v>
      </c>
    </row>
    <row r="35" spans="1:3" ht="9.65" customHeight="1" x14ac:dyDescent="0.4">
      <c r="A35" s="88" t="s">
        <v>1997</v>
      </c>
      <c r="B35" s="93" t="s">
        <v>2020</v>
      </c>
      <c r="C35" s="46" t="s">
        <v>1297</v>
      </c>
    </row>
    <row r="36" spans="1:3" ht="9.65" customHeight="1" x14ac:dyDescent="0.4">
      <c r="A36" s="88" t="s">
        <v>1998</v>
      </c>
      <c r="B36" s="92" t="s">
        <v>2021</v>
      </c>
      <c r="C36" s="46" t="s">
        <v>1297</v>
      </c>
    </row>
    <row r="37" spans="1:3" ht="9.65" customHeight="1" x14ac:dyDescent="0.4">
      <c r="A37" s="88" t="s">
        <v>1999</v>
      </c>
      <c r="B37" s="93" t="s">
        <v>2022</v>
      </c>
      <c r="C37" s="46" t="s">
        <v>1297</v>
      </c>
    </row>
    <row r="38" spans="1:3" ht="9.65" customHeight="1" x14ac:dyDescent="0.4">
      <c r="A38" s="88" t="s">
        <v>2000</v>
      </c>
      <c r="B38" s="92" t="s">
        <v>2023</v>
      </c>
      <c r="C38" s="46" t="s">
        <v>1297</v>
      </c>
    </row>
    <row r="39" spans="1:3" ht="9.65" customHeight="1" x14ac:dyDescent="0.4">
      <c r="A39" s="88" t="s">
        <v>2001</v>
      </c>
      <c r="B39" s="94" t="s">
        <v>2024</v>
      </c>
      <c r="C39" s="46" t="s">
        <v>1297</v>
      </c>
    </row>
    <row r="40" spans="1:3" ht="9.65" customHeight="1" x14ac:dyDescent="0.4">
      <c r="A40" s="88" t="s">
        <v>2002</v>
      </c>
      <c r="B40" s="94" t="s">
        <v>2025</v>
      </c>
      <c r="C40" s="46" t="s">
        <v>1297</v>
      </c>
    </row>
    <row r="41" spans="1:3" ht="9.65" customHeight="1" x14ac:dyDescent="0.4">
      <c r="A41" s="88" t="s">
        <v>2003</v>
      </c>
      <c r="B41" s="95" t="s">
        <v>2026</v>
      </c>
      <c r="C41" s="46" t="s">
        <v>1297</v>
      </c>
    </row>
    <row r="42" spans="1:3" ht="9.65" customHeight="1" x14ac:dyDescent="0.4">
      <c r="A42" s="88" t="s">
        <v>2004</v>
      </c>
      <c r="B42" s="96" t="s">
        <v>2027</v>
      </c>
      <c r="C42" s="46" t="s">
        <v>1297</v>
      </c>
    </row>
    <row r="43" spans="1:3" ht="9.65" customHeight="1" x14ac:dyDescent="0.4">
      <c r="A43" s="88" t="s">
        <v>2005</v>
      </c>
      <c r="B43" s="96" t="s">
        <v>2028</v>
      </c>
      <c r="C43" s="46" t="s">
        <v>1297</v>
      </c>
    </row>
    <row r="44" spans="1:3" ht="9.65" customHeight="1" x14ac:dyDescent="0.4">
      <c r="A44" s="88" t="s">
        <v>2006</v>
      </c>
      <c r="B44" s="96" t="s">
        <v>2029</v>
      </c>
      <c r="C44" s="46" t="s">
        <v>1297</v>
      </c>
    </row>
    <row r="45" spans="1:3" ht="9.65" customHeight="1" x14ac:dyDescent="0.4">
      <c r="A45" s="88" t="s">
        <v>2007</v>
      </c>
      <c r="B45" s="96" t="s">
        <v>2030</v>
      </c>
      <c r="C45" s="46" t="s">
        <v>1297</v>
      </c>
    </row>
    <row r="46" spans="1:3" ht="9.65" customHeight="1" x14ac:dyDescent="0.4">
      <c r="A46" s="88" t="s">
        <v>2008</v>
      </c>
      <c r="B46" s="96" t="s">
        <v>2031</v>
      </c>
      <c r="C46" s="46" t="s">
        <v>1297</v>
      </c>
    </row>
    <row r="47" spans="1:3" ht="9.65" customHeight="1" x14ac:dyDescent="0.4">
      <c r="A47" s="88" t="s">
        <v>2009</v>
      </c>
      <c r="B47" s="96" t="s">
        <v>2032</v>
      </c>
      <c r="C47" s="46" t="s">
        <v>1297</v>
      </c>
    </row>
    <row r="48" spans="1:3" ht="9.65" customHeight="1" x14ac:dyDescent="0.4">
      <c r="A48" s="88" t="s">
        <v>2010</v>
      </c>
      <c r="B48" s="96" t="s">
        <v>2033</v>
      </c>
      <c r="C48" s="46" t="s">
        <v>1297</v>
      </c>
    </row>
    <row r="49" spans="1:3" ht="9.65" customHeight="1" x14ac:dyDescent="0.4">
      <c r="A49" s="88" t="s">
        <v>2011</v>
      </c>
      <c r="B49" s="96" t="s">
        <v>2034</v>
      </c>
      <c r="C49" s="46" t="s">
        <v>1297</v>
      </c>
    </row>
  </sheetData>
  <hyperlinks>
    <hyperlink ref="B27" r:id="rId1" xr:uid="{1B7DBB4E-CD92-4055-AB53-112CA4B311DC}"/>
    <hyperlink ref="B29" r:id="rId2" xr:uid="{3ABB63D7-356B-442B-97D9-F45241096E96}"/>
    <hyperlink ref="B28" r:id="rId3" xr:uid="{E95D632D-D1A3-4979-9902-C448AAA4EAD6}"/>
    <hyperlink ref="B39" r:id="rId4" location="categoria_888" xr:uid="{9273CD33-9B98-4489-BFB2-946757C74BC7}"/>
    <hyperlink ref="B40" r:id="rId5" xr:uid="{05179891-2851-4E14-BD76-155AE0744DB7}"/>
    <hyperlink ref="B41" r:id="rId6" xr:uid="{456A5BA5-55BC-4FC5-A507-E02F8410BB6F}"/>
    <hyperlink ref="B30" r:id="rId7" xr:uid="{6EB2C780-1CCE-44F5-A031-B8776C9CA40C}"/>
  </hyperlink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56445-53D9-475A-B2C6-D376FC6516D5}">
  <dimension ref="A1:AD358"/>
  <sheetViews>
    <sheetView zoomScale="190" zoomScaleNormal="190" workbookViewId="0">
      <pane ySplit="1" topLeftCell="A107" activePane="bottomLeft" state="frozen"/>
      <selection pane="bottomLeft" activeCell="F116" sqref="F116"/>
    </sheetView>
  </sheetViews>
  <sheetFormatPr defaultColWidth="9.3046875" defaultRowHeight="6.65" customHeight="1" x14ac:dyDescent="0.4"/>
  <cols>
    <col min="1" max="1" width="3.15234375" style="26" bestFit="1" customWidth="1"/>
    <col min="2" max="2" width="6.3046875" style="26" bestFit="1" customWidth="1"/>
    <col min="3" max="3" width="8.69140625" style="26" bestFit="1" customWidth="1"/>
    <col min="4" max="4" width="15.3046875" style="26" bestFit="1" customWidth="1"/>
    <col min="5" max="5" width="12.3046875" style="26" bestFit="1" customWidth="1"/>
    <col min="6" max="6" width="15.84375" style="26" bestFit="1" customWidth="1"/>
    <col min="7" max="7" width="9.53515625" style="26" bestFit="1" customWidth="1"/>
    <col min="8" max="9" width="10.3828125" style="70" bestFit="1" customWidth="1"/>
    <col min="10" max="11" width="9.53515625" style="26" bestFit="1" customWidth="1"/>
    <col min="12" max="12" width="8.69140625" style="26" bestFit="1" customWidth="1"/>
    <col min="13" max="13" width="15.3046875" style="26" bestFit="1" customWidth="1"/>
    <col min="14" max="14" width="13.3046875" style="26" bestFit="1" customWidth="1"/>
    <col min="15" max="15" width="16.3046875" style="26" bestFit="1" customWidth="1"/>
    <col min="16" max="16" width="38.15234375" style="26" customWidth="1"/>
    <col min="17" max="17" width="43.07421875" style="26" customWidth="1"/>
    <col min="18" max="18" width="31.61328125" style="26" customWidth="1"/>
    <col min="19" max="19" width="4.3046875" style="85" bestFit="1" customWidth="1"/>
    <col min="20" max="20" width="8.69140625" style="26" bestFit="1" customWidth="1"/>
    <col min="21" max="21" width="15.3046875" style="26" bestFit="1" customWidth="1"/>
    <col min="22" max="22" width="13.3046875" style="26" bestFit="1" customWidth="1"/>
    <col min="23" max="23" width="6.84375" style="60" bestFit="1" customWidth="1"/>
    <col min="24" max="24" width="8.3828125" style="60" bestFit="1" customWidth="1"/>
    <col min="25" max="25" width="135.61328125" style="26" bestFit="1" customWidth="1"/>
    <col min="26" max="26" width="7.69140625" style="26" bestFit="1" customWidth="1"/>
    <col min="27" max="27" width="25.69140625" style="26" bestFit="1" customWidth="1"/>
    <col min="28" max="28" width="6.84375" style="26" bestFit="1" customWidth="1"/>
    <col min="29" max="29" width="9" style="26" bestFit="1" customWidth="1"/>
    <col min="30" max="30" width="6.84375" style="26" bestFit="1" customWidth="1"/>
    <col min="31" max="16384" width="9.3046875" style="26"/>
  </cols>
  <sheetData>
    <row r="1" spans="1:30" s="78" customFormat="1" ht="36.65" customHeight="1" x14ac:dyDescent="0.4">
      <c r="A1" s="77">
        <v>1</v>
      </c>
      <c r="B1" s="77" t="s">
        <v>41</v>
      </c>
      <c r="C1" s="77" t="s">
        <v>39</v>
      </c>
      <c r="D1" s="77" t="s">
        <v>40</v>
      </c>
      <c r="E1" s="77" t="s">
        <v>38</v>
      </c>
      <c r="F1" s="77" t="s">
        <v>1080</v>
      </c>
      <c r="G1" s="81" t="s">
        <v>0</v>
      </c>
      <c r="H1" s="82" t="s">
        <v>1</v>
      </c>
      <c r="I1" s="82" t="s">
        <v>2</v>
      </c>
      <c r="J1" s="81" t="s">
        <v>3</v>
      </c>
      <c r="K1" s="81" t="s">
        <v>4</v>
      </c>
      <c r="L1" s="44" t="s">
        <v>5</v>
      </c>
      <c r="M1" s="44" t="s">
        <v>6</v>
      </c>
      <c r="N1" s="44" t="s">
        <v>72</v>
      </c>
      <c r="O1" s="44" t="s">
        <v>7</v>
      </c>
      <c r="P1" s="44" t="s">
        <v>36</v>
      </c>
      <c r="Q1" s="44" t="s">
        <v>42</v>
      </c>
      <c r="R1" s="44" t="s">
        <v>1287</v>
      </c>
      <c r="S1" s="84" t="s">
        <v>73</v>
      </c>
      <c r="T1" s="44" t="s">
        <v>33</v>
      </c>
      <c r="U1" s="44" t="s">
        <v>37</v>
      </c>
      <c r="V1" s="44" t="s">
        <v>35</v>
      </c>
      <c r="W1" s="44" t="s">
        <v>34</v>
      </c>
      <c r="X1" s="77" t="s">
        <v>8</v>
      </c>
      <c r="Y1" s="35" t="s">
        <v>126</v>
      </c>
      <c r="Z1" s="35" t="s">
        <v>1945</v>
      </c>
      <c r="AA1" s="35" t="s">
        <v>127</v>
      </c>
      <c r="AB1" s="35" t="s">
        <v>1946</v>
      </c>
      <c r="AC1" s="79" t="s">
        <v>1947</v>
      </c>
      <c r="AD1" s="35" t="s">
        <v>1968</v>
      </c>
    </row>
    <row r="2" spans="1:30" ht="6.65" customHeight="1" x14ac:dyDescent="0.4">
      <c r="A2" s="21">
        <v>2</v>
      </c>
      <c r="B2" s="1" t="s">
        <v>1524</v>
      </c>
      <c r="C2" s="1" t="s">
        <v>1525</v>
      </c>
      <c r="D2" s="1" t="s">
        <v>1313</v>
      </c>
      <c r="E2" s="1" t="s">
        <v>668</v>
      </c>
      <c r="F2" s="23" t="s">
        <v>583</v>
      </c>
      <c r="G2" s="7" t="s">
        <v>9</v>
      </c>
      <c r="H2" s="83" t="s">
        <v>9</v>
      </c>
      <c r="I2" s="83" t="s">
        <v>9</v>
      </c>
      <c r="J2" s="7" t="s">
        <v>9</v>
      </c>
      <c r="K2" s="7" t="s">
        <v>9</v>
      </c>
      <c r="L2" s="24" t="str">
        <f t="shared" ref="L2:L38" si="0">CONCATENATE("", C2)</f>
        <v>Arquitetônicos</v>
      </c>
      <c r="M2" s="24" t="str">
        <f t="shared" ref="M2:M38" si="1">CONCATENATE("", D2)</f>
        <v>Estudos.de.Arquitetura</v>
      </c>
      <c r="N2" s="24" t="str">
        <f t="shared" ref="N2:N38" si="2">(SUBSTITUTE(SUBSTITUTE(CONCATENATE("",E2),"."," ")," De "," de "))</f>
        <v>Preliminar</v>
      </c>
      <c r="O2" s="24" t="str">
        <f t="shared" ref="O2:O38" si="3">(SUBSTITUTE(SUBSTITUTE(CONCATENATE("",F2),"."," ")," De "," de "))</f>
        <v>100 Piso</v>
      </c>
      <c r="P2" s="30" t="s">
        <v>654</v>
      </c>
      <c r="Q2" s="30" t="s">
        <v>658</v>
      </c>
      <c r="R2" s="19" t="s">
        <v>1614</v>
      </c>
      <c r="S2" s="43" t="s">
        <v>9</v>
      </c>
      <c r="T2" s="25" t="str">
        <f t="shared" ref="T2:T38" si="4">SUBSTITUTE(C2, ".", " ")</f>
        <v>Arquitetônicos</v>
      </c>
      <c r="U2" s="25" t="str">
        <f t="shared" ref="U2:U38" si="5">SUBSTITUTE(D2, ".", " ")</f>
        <v>Estudos de Arquitetura</v>
      </c>
      <c r="V2" s="25" t="str">
        <f t="shared" ref="V2:V38" si="6">SUBSTITUTE(E2, ".", " ")</f>
        <v>Preliminar</v>
      </c>
      <c r="W2" s="19" t="s">
        <v>74</v>
      </c>
      <c r="X2" s="57" t="str">
        <f t="shared" ref="X2:X38" si="7">CONCATENATE("Key-ARQ-",A2)</f>
        <v>Key-ARQ-2</v>
      </c>
      <c r="Y2" s="19" t="s">
        <v>1387</v>
      </c>
      <c r="Z2" s="25" t="s">
        <v>9</v>
      </c>
      <c r="AA2" s="25" t="s">
        <v>1320</v>
      </c>
      <c r="AB2" s="25" t="s">
        <v>9</v>
      </c>
      <c r="AC2" s="25" t="s">
        <v>1563</v>
      </c>
      <c r="AD2" s="25" t="s">
        <v>9</v>
      </c>
    </row>
    <row r="3" spans="1:30" ht="6.65" customHeight="1" x14ac:dyDescent="0.4">
      <c r="A3" s="21">
        <v>3</v>
      </c>
      <c r="B3" s="1" t="s">
        <v>1524</v>
      </c>
      <c r="C3" s="1" t="s">
        <v>1525</v>
      </c>
      <c r="D3" s="1" t="s">
        <v>1313</v>
      </c>
      <c r="E3" s="1" t="s">
        <v>668</v>
      </c>
      <c r="F3" s="23" t="s">
        <v>584</v>
      </c>
      <c r="G3" s="7" t="s">
        <v>9</v>
      </c>
      <c r="H3" s="83" t="s">
        <v>9</v>
      </c>
      <c r="I3" s="83" t="s">
        <v>9</v>
      </c>
      <c r="J3" s="7" t="s">
        <v>9</v>
      </c>
      <c r="K3" s="7" t="s">
        <v>9</v>
      </c>
      <c r="L3" s="24" t="str">
        <f t="shared" si="0"/>
        <v>Arquitetônicos</v>
      </c>
      <c r="M3" s="24" t="str">
        <f t="shared" si="1"/>
        <v>Estudos.de.Arquitetura</v>
      </c>
      <c r="N3" s="24" t="str">
        <f t="shared" si="2"/>
        <v>Preliminar</v>
      </c>
      <c r="O3" s="24" t="str">
        <f t="shared" si="3"/>
        <v>100 Parede</v>
      </c>
      <c r="P3" s="30" t="s">
        <v>655</v>
      </c>
      <c r="Q3" s="30" t="s">
        <v>677</v>
      </c>
      <c r="R3" s="19" t="s">
        <v>1615</v>
      </c>
      <c r="S3" s="43" t="s">
        <v>9</v>
      </c>
      <c r="T3" s="25" t="str">
        <f t="shared" si="4"/>
        <v>Arquitetônicos</v>
      </c>
      <c r="U3" s="25" t="str">
        <f t="shared" si="5"/>
        <v>Estudos de Arquitetura</v>
      </c>
      <c r="V3" s="25" t="str">
        <f t="shared" si="6"/>
        <v>Preliminar</v>
      </c>
      <c r="W3" s="19" t="s">
        <v>74</v>
      </c>
      <c r="X3" s="57" t="str">
        <f t="shared" si="7"/>
        <v>Key-ARQ-3</v>
      </c>
      <c r="Y3" s="19" t="s">
        <v>1388</v>
      </c>
      <c r="Z3" s="25" t="s">
        <v>9</v>
      </c>
      <c r="AA3" s="25" t="s">
        <v>1321</v>
      </c>
      <c r="AB3" s="25" t="s">
        <v>9</v>
      </c>
      <c r="AC3" s="25" t="s">
        <v>1568</v>
      </c>
      <c r="AD3" s="25" t="s">
        <v>9</v>
      </c>
    </row>
    <row r="4" spans="1:30" ht="6.65" customHeight="1" x14ac:dyDescent="0.4">
      <c r="A4" s="21">
        <v>4</v>
      </c>
      <c r="B4" s="1" t="s">
        <v>1524</v>
      </c>
      <c r="C4" s="1" t="s">
        <v>1525</v>
      </c>
      <c r="D4" s="1" t="s">
        <v>1313</v>
      </c>
      <c r="E4" s="1" t="s">
        <v>668</v>
      </c>
      <c r="F4" s="23" t="s">
        <v>585</v>
      </c>
      <c r="G4" s="7" t="s">
        <v>9</v>
      </c>
      <c r="H4" s="83" t="s">
        <v>9</v>
      </c>
      <c r="I4" s="83" t="s">
        <v>9</v>
      </c>
      <c r="J4" s="7" t="s">
        <v>9</v>
      </c>
      <c r="K4" s="7" t="s">
        <v>9</v>
      </c>
      <c r="L4" s="24" t="str">
        <f t="shared" si="0"/>
        <v>Arquitetônicos</v>
      </c>
      <c r="M4" s="24" t="str">
        <f t="shared" si="1"/>
        <v>Estudos.de.Arquitetura</v>
      </c>
      <c r="N4" s="24" t="str">
        <f t="shared" si="2"/>
        <v>Preliminar</v>
      </c>
      <c r="O4" s="24" t="str">
        <f t="shared" si="3"/>
        <v>100 Divisória</v>
      </c>
      <c r="P4" s="30" t="s">
        <v>656</v>
      </c>
      <c r="Q4" s="30" t="s">
        <v>676</v>
      </c>
      <c r="R4" s="19" t="s">
        <v>1616</v>
      </c>
      <c r="S4" s="43" t="s">
        <v>9</v>
      </c>
      <c r="T4" s="25" t="str">
        <f t="shared" si="4"/>
        <v>Arquitetônicos</v>
      </c>
      <c r="U4" s="25" t="str">
        <f t="shared" si="5"/>
        <v>Estudos de Arquitetura</v>
      </c>
      <c r="V4" s="25" t="str">
        <f t="shared" si="6"/>
        <v>Preliminar</v>
      </c>
      <c r="W4" s="19" t="s">
        <v>74</v>
      </c>
      <c r="X4" s="57" t="str">
        <f t="shared" si="7"/>
        <v>Key-ARQ-4</v>
      </c>
      <c r="Y4" s="19" t="s">
        <v>1388</v>
      </c>
      <c r="Z4" s="25" t="s">
        <v>9</v>
      </c>
      <c r="AA4" s="25" t="s">
        <v>1321</v>
      </c>
      <c r="AB4" s="25" t="s">
        <v>9</v>
      </c>
      <c r="AC4" s="25" t="s">
        <v>1568</v>
      </c>
      <c r="AD4" s="25" t="s">
        <v>9</v>
      </c>
    </row>
    <row r="5" spans="1:30" ht="6.65" customHeight="1" x14ac:dyDescent="0.4">
      <c r="A5" s="21">
        <v>5</v>
      </c>
      <c r="B5" s="1" t="s">
        <v>1524</v>
      </c>
      <c r="C5" s="1" t="s">
        <v>1525</v>
      </c>
      <c r="D5" s="1" t="s">
        <v>1313</v>
      </c>
      <c r="E5" s="1" t="s">
        <v>668</v>
      </c>
      <c r="F5" s="23" t="s">
        <v>586</v>
      </c>
      <c r="G5" s="7" t="s">
        <v>9</v>
      </c>
      <c r="H5" s="83" t="s">
        <v>9</v>
      </c>
      <c r="I5" s="83" t="s">
        <v>9</v>
      </c>
      <c r="J5" s="7" t="s">
        <v>9</v>
      </c>
      <c r="K5" s="7" t="s">
        <v>9</v>
      </c>
      <c r="L5" s="24" t="str">
        <f t="shared" si="0"/>
        <v>Arquitetônicos</v>
      </c>
      <c r="M5" s="24" t="str">
        <f t="shared" si="1"/>
        <v>Estudos.de.Arquitetura</v>
      </c>
      <c r="N5" s="24" t="str">
        <f t="shared" si="2"/>
        <v>Preliminar</v>
      </c>
      <c r="O5" s="24" t="str">
        <f t="shared" si="3"/>
        <v>100 Forro</v>
      </c>
      <c r="P5" s="30" t="s">
        <v>657</v>
      </c>
      <c r="Q5" s="30" t="s">
        <v>659</v>
      </c>
      <c r="R5" s="19" t="s">
        <v>1617</v>
      </c>
      <c r="S5" s="43" t="s">
        <v>9</v>
      </c>
      <c r="T5" s="25" t="str">
        <f t="shared" si="4"/>
        <v>Arquitetônicos</v>
      </c>
      <c r="U5" s="25" t="str">
        <f t="shared" si="5"/>
        <v>Estudos de Arquitetura</v>
      </c>
      <c r="V5" s="25" t="str">
        <f t="shared" si="6"/>
        <v>Preliminar</v>
      </c>
      <c r="W5" s="19" t="s">
        <v>74</v>
      </c>
      <c r="X5" s="57" t="str">
        <f t="shared" si="7"/>
        <v>Key-ARQ-5</v>
      </c>
      <c r="Y5" s="19" t="s">
        <v>1389</v>
      </c>
      <c r="Z5" s="25" t="s">
        <v>9</v>
      </c>
      <c r="AA5" s="25" t="s">
        <v>1321</v>
      </c>
      <c r="AB5" s="25" t="s">
        <v>9</v>
      </c>
      <c r="AC5" s="25" t="s">
        <v>1568</v>
      </c>
      <c r="AD5" s="25" t="s">
        <v>9</v>
      </c>
    </row>
    <row r="6" spans="1:30" ht="6.65" customHeight="1" x14ac:dyDescent="0.4">
      <c r="A6" s="21">
        <v>6</v>
      </c>
      <c r="B6" s="1" t="s">
        <v>1524</v>
      </c>
      <c r="C6" s="1" t="s">
        <v>1525</v>
      </c>
      <c r="D6" s="1" t="s">
        <v>1313</v>
      </c>
      <c r="E6" s="1" t="s">
        <v>668</v>
      </c>
      <c r="F6" s="23" t="s">
        <v>777</v>
      </c>
      <c r="G6" s="7" t="s">
        <v>9</v>
      </c>
      <c r="H6" s="83" t="s">
        <v>9</v>
      </c>
      <c r="I6" s="83" t="s">
        <v>9</v>
      </c>
      <c r="J6" s="7" t="s">
        <v>9</v>
      </c>
      <c r="K6" s="7" t="s">
        <v>9</v>
      </c>
      <c r="L6" s="24" t="str">
        <f t="shared" si="0"/>
        <v>Arquitetônicos</v>
      </c>
      <c r="M6" s="24" t="str">
        <f t="shared" si="1"/>
        <v>Estudos.de.Arquitetura</v>
      </c>
      <c r="N6" s="24" t="str">
        <f t="shared" si="2"/>
        <v>Preliminar</v>
      </c>
      <c r="O6" s="24" t="str">
        <f t="shared" si="3"/>
        <v>100 Porta</v>
      </c>
      <c r="P6" s="30" t="s">
        <v>779</v>
      </c>
      <c r="Q6" s="30" t="s">
        <v>781</v>
      </c>
      <c r="R6" s="19" t="s">
        <v>1618</v>
      </c>
      <c r="S6" s="43" t="s">
        <v>9</v>
      </c>
      <c r="T6" s="25" t="str">
        <f t="shared" si="4"/>
        <v>Arquitetônicos</v>
      </c>
      <c r="U6" s="25" t="str">
        <f t="shared" si="5"/>
        <v>Estudos de Arquitetura</v>
      </c>
      <c r="V6" s="25" t="str">
        <f t="shared" si="6"/>
        <v>Preliminar</v>
      </c>
      <c r="W6" s="19" t="s">
        <v>74</v>
      </c>
      <c r="X6" s="57" t="str">
        <f t="shared" si="7"/>
        <v>Key-ARQ-6</v>
      </c>
      <c r="Y6" s="19" t="s">
        <v>1390</v>
      </c>
      <c r="Z6" s="25" t="s">
        <v>9</v>
      </c>
      <c r="AA6" s="25" t="s">
        <v>1322</v>
      </c>
      <c r="AB6" s="25" t="s">
        <v>9</v>
      </c>
      <c r="AC6" s="25" t="s">
        <v>1559</v>
      </c>
      <c r="AD6" s="25" t="s">
        <v>9</v>
      </c>
    </row>
    <row r="7" spans="1:30" ht="6.65" customHeight="1" x14ac:dyDescent="0.4">
      <c r="A7" s="21">
        <v>7</v>
      </c>
      <c r="B7" s="1" t="s">
        <v>1524</v>
      </c>
      <c r="C7" s="1" t="s">
        <v>1525</v>
      </c>
      <c r="D7" s="1" t="s">
        <v>1313</v>
      </c>
      <c r="E7" s="1" t="s">
        <v>668</v>
      </c>
      <c r="F7" s="23" t="s">
        <v>778</v>
      </c>
      <c r="G7" s="7" t="s">
        <v>9</v>
      </c>
      <c r="H7" s="83" t="s">
        <v>9</v>
      </c>
      <c r="I7" s="83" t="s">
        <v>9</v>
      </c>
      <c r="J7" s="7" t="s">
        <v>9</v>
      </c>
      <c r="K7" s="7" t="s">
        <v>9</v>
      </c>
      <c r="L7" s="24" t="str">
        <f t="shared" si="0"/>
        <v>Arquitetônicos</v>
      </c>
      <c r="M7" s="24" t="str">
        <f t="shared" si="1"/>
        <v>Estudos.de.Arquitetura</v>
      </c>
      <c r="N7" s="24" t="str">
        <f t="shared" si="2"/>
        <v>Preliminar</v>
      </c>
      <c r="O7" s="24" t="str">
        <f t="shared" si="3"/>
        <v>100 Janela</v>
      </c>
      <c r="P7" s="30" t="s">
        <v>780</v>
      </c>
      <c r="Q7" s="30" t="s">
        <v>782</v>
      </c>
      <c r="R7" s="19" t="s">
        <v>1619</v>
      </c>
      <c r="S7" s="43" t="s">
        <v>9</v>
      </c>
      <c r="T7" s="25" t="str">
        <f t="shared" si="4"/>
        <v>Arquitetônicos</v>
      </c>
      <c r="U7" s="25" t="str">
        <f t="shared" si="5"/>
        <v>Estudos de Arquitetura</v>
      </c>
      <c r="V7" s="25" t="str">
        <f t="shared" si="6"/>
        <v>Preliminar</v>
      </c>
      <c r="W7" s="19" t="s">
        <v>74</v>
      </c>
      <c r="X7" s="57" t="str">
        <f t="shared" si="7"/>
        <v>Key-ARQ-7</v>
      </c>
      <c r="Y7" s="19" t="s">
        <v>1391</v>
      </c>
      <c r="Z7" s="25" t="s">
        <v>9</v>
      </c>
      <c r="AA7" s="25" t="s">
        <v>1323</v>
      </c>
      <c r="AB7" s="25" t="s">
        <v>9</v>
      </c>
      <c r="AC7" s="25" t="s">
        <v>1560</v>
      </c>
      <c r="AD7" s="25" t="s">
        <v>9</v>
      </c>
    </row>
    <row r="8" spans="1:30" ht="6.65" customHeight="1" x14ac:dyDescent="0.4">
      <c r="A8" s="21">
        <v>8</v>
      </c>
      <c r="B8" s="1" t="s">
        <v>1524</v>
      </c>
      <c r="C8" s="1" t="s">
        <v>1525</v>
      </c>
      <c r="D8" s="1" t="s">
        <v>1313</v>
      </c>
      <c r="E8" s="1" t="s">
        <v>660</v>
      </c>
      <c r="F8" s="23" t="s">
        <v>587</v>
      </c>
      <c r="G8" s="7" t="s">
        <v>9</v>
      </c>
      <c r="H8" s="83" t="s">
        <v>9</v>
      </c>
      <c r="I8" s="83" t="s">
        <v>9</v>
      </c>
      <c r="J8" s="7" t="s">
        <v>9</v>
      </c>
      <c r="K8" s="7" t="s">
        <v>9</v>
      </c>
      <c r="L8" s="24" t="str">
        <f t="shared" si="0"/>
        <v>Arquitetônicos</v>
      </c>
      <c r="M8" s="24" t="str">
        <f t="shared" si="1"/>
        <v>Estudos.de.Arquitetura</v>
      </c>
      <c r="N8" s="24" t="str">
        <f t="shared" si="2"/>
        <v>AnteProjeto</v>
      </c>
      <c r="O8" s="24" t="str">
        <f t="shared" si="3"/>
        <v>200 Piso</v>
      </c>
      <c r="P8" s="30" t="s">
        <v>670</v>
      </c>
      <c r="Q8" s="30" t="s">
        <v>673</v>
      </c>
      <c r="R8" s="19" t="s">
        <v>1620</v>
      </c>
      <c r="S8" s="43" t="s">
        <v>9</v>
      </c>
      <c r="T8" s="25" t="str">
        <f t="shared" si="4"/>
        <v>Arquitetônicos</v>
      </c>
      <c r="U8" s="25" t="str">
        <f t="shared" si="5"/>
        <v>Estudos de Arquitetura</v>
      </c>
      <c r="V8" s="25" t="str">
        <f t="shared" si="6"/>
        <v>AnteProjeto</v>
      </c>
      <c r="W8" s="19" t="s">
        <v>74</v>
      </c>
      <c r="X8" s="57" t="str">
        <f t="shared" si="7"/>
        <v>Key-ARQ-8</v>
      </c>
      <c r="Y8" s="19" t="s">
        <v>1387</v>
      </c>
      <c r="Z8" s="25" t="s">
        <v>9</v>
      </c>
      <c r="AA8" s="25" t="s">
        <v>1320</v>
      </c>
      <c r="AB8" s="25" t="s">
        <v>9</v>
      </c>
      <c r="AC8" s="25" t="s">
        <v>1563</v>
      </c>
      <c r="AD8" s="25" t="s">
        <v>9</v>
      </c>
    </row>
    <row r="9" spans="1:30" ht="6.65" customHeight="1" x14ac:dyDescent="0.4">
      <c r="A9" s="21">
        <v>9</v>
      </c>
      <c r="B9" s="1" t="s">
        <v>1524</v>
      </c>
      <c r="C9" s="1" t="s">
        <v>1525</v>
      </c>
      <c r="D9" s="1" t="s">
        <v>1313</v>
      </c>
      <c r="E9" s="1" t="s">
        <v>660</v>
      </c>
      <c r="F9" s="23" t="s">
        <v>588</v>
      </c>
      <c r="G9" s="7" t="s">
        <v>9</v>
      </c>
      <c r="H9" s="83" t="s">
        <v>9</v>
      </c>
      <c r="I9" s="83" t="s">
        <v>9</v>
      </c>
      <c r="J9" s="7" t="s">
        <v>9</v>
      </c>
      <c r="K9" s="7" t="s">
        <v>9</v>
      </c>
      <c r="L9" s="24" t="str">
        <f t="shared" si="0"/>
        <v>Arquitetônicos</v>
      </c>
      <c r="M9" s="24" t="str">
        <f t="shared" si="1"/>
        <v>Estudos.de.Arquitetura</v>
      </c>
      <c r="N9" s="24" t="str">
        <f t="shared" si="2"/>
        <v>AnteProjeto</v>
      </c>
      <c r="O9" s="24" t="str">
        <f t="shared" si="3"/>
        <v>200 Parede</v>
      </c>
      <c r="P9" s="30" t="s">
        <v>669</v>
      </c>
      <c r="Q9" s="30" t="s">
        <v>674</v>
      </c>
      <c r="R9" s="19" t="s">
        <v>1621</v>
      </c>
      <c r="S9" s="43" t="s">
        <v>9</v>
      </c>
      <c r="T9" s="25" t="str">
        <f t="shared" si="4"/>
        <v>Arquitetônicos</v>
      </c>
      <c r="U9" s="25" t="str">
        <f t="shared" si="5"/>
        <v>Estudos de Arquitetura</v>
      </c>
      <c r="V9" s="25" t="str">
        <f t="shared" si="6"/>
        <v>AnteProjeto</v>
      </c>
      <c r="W9" s="19" t="s">
        <v>74</v>
      </c>
      <c r="X9" s="57" t="str">
        <f t="shared" si="7"/>
        <v>Key-ARQ-9</v>
      </c>
      <c r="Y9" s="19" t="s">
        <v>1388</v>
      </c>
      <c r="Z9" s="25" t="s">
        <v>9</v>
      </c>
      <c r="AA9" s="25" t="s">
        <v>1321</v>
      </c>
      <c r="AB9" s="25" t="s">
        <v>9</v>
      </c>
      <c r="AC9" s="25" t="s">
        <v>1568</v>
      </c>
      <c r="AD9" s="25" t="s">
        <v>9</v>
      </c>
    </row>
    <row r="10" spans="1:30" ht="6.65" customHeight="1" x14ac:dyDescent="0.4">
      <c r="A10" s="21">
        <v>10</v>
      </c>
      <c r="B10" s="1" t="s">
        <v>1524</v>
      </c>
      <c r="C10" s="1" t="s">
        <v>1525</v>
      </c>
      <c r="D10" s="1" t="s">
        <v>1313</v>
      </c>
      <c r="E10" s="1" t="s">
        <v>660</v>
      </c>
      <c r="F10" s="23" t="s">
        <v>589</v>
      </c>
      <c r="G10" s="7" t="s">
        <v>9</v>
      </c>
      <c r="H10" s="83" t="s">
        <v>9</v>
      </c>
      <c r="I10" s="83" t="s">
        <v>9</v>
      </c>
      <c r="J10" s="7" t="s">
        <v>9</v>
      </c>
      <c r="K10" s="7" t="s">
        <v>9</v>
      </c>
      <c r="L10" s="24" t="str">
        <f t="shared" si="0"/>
        <v>Arquitetônicos</v>
      </c>
      <c r="M10" s="24" t="str">
        <f t="shared" si="1"/>
        <v>Estudos.de.Arquitetura</v>
      </c>
      <c r="N10" s="24" t="str">
        <f t="shared" si="2"/>
        <v>AnteProjeto</v>
      </c>
      <c r="O10" s="24" t="str">
        <f t="shared" si="3"/>
        <v>200 Divisória</v>
      </c>
      <c r="P10" s="30" t="s">
        <v>671</v>
      </c>
      <c r="Q10" s="30" t="s">
        <v>675</v>
      </c>
      <c r="R10" s="19" t="s">
        <v>1622</v>
      </c>
      <c r="S10" s="43" t="s">
        <v>9</v>
      </c>
      <c r="T10" s="25" t="str">
        <f t="shared" si="4"/>
        <v>Arquitetônicos</v>
      </c>
      <c r="U10" s="25" t="str">
        <f t="shared" si="5"/>
        <v>Estudos de Arquitetura</v>
      </c>
      <c r="V10" s="25" t="str">
        <f t="shared" si="6"/>
        <v>AnteProjeto</v>
      </c>
      <c r="W10" s="19" t="s">
        <v>74</v>
      </c>
      <c r="X10" s="57" t="str">
        <f t="shared" si="7"/>
        <v>Key-ARQ-10</v>
      </c>
      <c r="Y10" s="19" t="s">
        <v>1388</v>
      </c>
      <c r="Z10" s="25" t="s">
        <v>9</v>
      </c>
      <c r="AA10" s="25" t="s">
        <v>1321</v>
      </c>
      <c r="AB10" s="25" t="s">
        <v>9</v>
      </c>
      <c r="AC10" s="25" t="s">
        <v>1568</v>
      </c>
      <c r="AD10" s="25" t="s">
        <v>9</v>
      </c>
    </row>
    <row r="11" spans="1:30" ht="6.65" customHeight="1" x14ac:dyDescent="0.4">
      <c r="A11" s="21">
        <v>11</v>
      </c>
      <c r="B11" s="1" t="s">
        <v>1524</v>
      </c>
      <c r="C11" s="1" t="s">
        <v>1525</v>
      </c>
      <c r="D11" s="1" t="s">
        <v>1313</v>
      </c>
      <c r="E11" s="1" t="s">
        <v>660</v>
      </c>
      <c r="F11" s="23" t="s">
        <v>590</v>
      </c>
      <c r="G11" s="7" t="s">
        <v>9</v>
      </c>
      <c r="H11" s="83" t="s">
        <v>9</v>
      </c>
      <c r="I11" s="83" t="s">
        <v>9</v>
      </c>
      <c r="J11" s="7" t="s">
        <v>9</v>
      </c>
      <c r="K11" s="7" t="s">
        <v>9</v>
      </c>
      <c r="L11" s="24" t="str">
        <f t="shared" si="0"/>
        <v>Arquitetônicos</v>
      </c>
      <c r="M11" s="24" t="str">
        <f t="shared" si="1"/>
        <v>Estudos.de.Arquitetura</v>
      </c>
      <c r="N11" s="24" t="str">
        <f t="shared" si="2"/>
        <v>AnteProjeto</v>
      </c>
      <c r="O11" s="24" t="str">
        <f t="shared" si="3"/>
        <v>200 Forro</v>
      </c>
      <c r="P11" s="30" t="s">
        <v>672</v>
      </c>
      <c r="Q11" s="30" t="s">
        <v>678</v>
      </c>
      <c r="R11" s="19" t="s">
        <v>1623</v>
      </c>
      <c r="S11" s="43" t="s">
        <v>9</v>
      </c>
      <c r="T11" s="25" t="str">
        <f t="shared" si="4"/>
        <v>Arquitetônicos</v>
      </c>
      <c r="U11" s="25" t="str">
        <f t="shared" si="5"/>
        <v>Estudos de Arquitetura</v>
      </c>
      <c r="V11" s="25" t="str">
        <f t="shared" si="6"/>
        <v>AnteProjeto</v>
      </c>
      <c r="W11" s="19" t="s">
        <v>74</v>
      </c>
      <c r="X11" s="57" t="str">
        <f t="shared" si="7"/>
        <v>Key-ARQ-11</v>
      </c>
      <c r="Y11" s="19" t="s">
        <v>1389</v>
      </c>
      <c r="Z11" s="25" t="s">
        <v>9</v>
      </c>
      <c r="AA11" s="25" t="s">
        <v>1321</v>
      </c>
      <c r="AB11" s="25" t="s">
        <v>9</v>
      </c>
      <c r="AC11" s="25" t="s">
        <v>1568</v>
      </c>
      <c r="AD11" s="25" t="s">
        <v>9</v>
      </c>
    </row>
    <row r="12" spans="1:30" ht="6.65" customHeight="1" x14ac:dyDescent="0.4">
      <c r="A12" s="21">
        <v>12</v>
      </c>
      <c r="B12" s="1" t="s">
        <v>1524</v>
      </c>
      <c r="C12" s="1" t="s">
        <v>1525</v>
      </c>
      <c r="D12" s="1" t="s">
        <v>1313</v>
      </c>
      <c r="E12" s="1" t="s">
        <v>660</v>
      </c>
      <c r="F12" s="23" t="s">
        <v>775</v>
      </c>
      <c r="G12" s="7" t="s">
        <v>9</v>
      </c>
      <c r="H12" s="83" t="s">
        <v>9</v>
      </c>
      <c r="I12" s="83" t="s">
        <v>9</v>
      </c>
      <c r="J12" s="7" t="s">
        <v>9</v>
      </c>
      <c r="K12" s="7" t="s">
        <v>9</v>
      </c>
      <c r="L12" s="24" t="str">
        <f t="shared" si="0"/>
        <v>Arquitetônicos</v>
      </c>
      <c r="M12" s="24" t="str">
        <f t="shared" si="1"/>
        <v>Estudos.de.Arquitetura</v>
      </c>
      <c r="N12" s="24" t="str">
        <f t="shared" si="2"/>
        <v>AnteProjeto</v>
      </c>
      <c r="O12" s="24" t="str">
        <f t="shared" si="3"/>
        <v>200 Porta</v>
      </c>
      <c r="P12" s="30" t="s">
        <v>779</v>
      </c>
      <c r="Q12" s="30" t="s">
        <v>783</v>
      </c>
      <c r="R12" s="19" t="s">
        <v>1618</v>
      </c>
      <c r="S12" s="43" t="s">
        <v>9</v>
      </c>
      <c r="T12" s="25" t="str">
        <f t="shared" si="4"/>
        <v>Arquitetônicos</v>
      </c>
      <c r="U12" s="25" t="str">
        <f t="shared" si="5"/>
        <v>Estudos de Arquitetura</v>
      </c>
      <c r="V12" s="25" t="str">
        <f t="shared" si="6"/>
        <v>AnteProjeto</v>
      </c>
      <c r="W12" s="19" t="s">
        <v>74</v>
      </c>
      <c r="X12" s="57" t="str">
        <f t="shared" si="7"/>
        <v>Key-ARQ-12</v>
      </c>
      <c r="Y12" s="19" t="s">
        <v>1390</v>
      </c>
      <c r="Z12" s="25" t="s">
        <v>9</v>
      </c>
      <c r="AA12" s="25" t="s">
        <v>1322</v>
      </c>
      <c r="AB12" s="25" t="s">
        <v>9</v>
      </c>
      <c r="AC12" s="25" t="s">
        <v>1559</v>
      </c>
      <c r="AD12" s="25" t="s">
        <v>9</v>
      </c>
    </row>
    <row r="13" spans="1:30" ht="6.65" customHeight="1" x14ac:dyDescent="0.4">
      <c r="A13" s="21">
        <v>13</v>
      </c>
      <c r="B13" s="1" t="s">
        <v>1524</v>
      </c>
      <c r="C13" s="1" t="s">
        <v>1525</v>
      </c>
      <c r="D13" s="1" t="s">
        <v>1313</v>
      </c>
      <c r="E13" s="1" t="s">
        <v>660</v>
      </c>
      <c r="F13" s="23" t="s">
        <v>776</v>
      </c>
      <c r="G13" s="7" t="s">
        <v>9</v>
      </c>
      <c r="H13" s="83" t="s">
        <v>9</v>
      </c>
      <c r="I13" s="83" t="s">
        <v>9</v>
      </c>
      <c r="J13" s="7" t="s">
        <v>9</v>
      </c>
      <c r="K13" s="7" t="s">
        <v>9</v>
      </c>
      <c r="L13" s="24" t="str">
        <f t="shared" si="0"/>
        <v>Arquitetônicos</v>
      </c>
      <c r="M13" s="24" t="str">
        <f t="shared" si="1"/>
        <v>Estudos.de.Arquitetura</v>
      </c>
      <c r="N13" s="24" t="str">
        <f t="shared" si="2"/>
        <v>AnteProjeto</v>
      </c>
      <c r="O13" s="24" t="str">
        <f t="shared" si="3"/>
        <v>200 Janela</v>
      </c>
      <c r="P13" s="30" t="s">
        <v>780</v>
      </c>
      <c r="Q13" s="30" t="s">
        <v>784</v>
      </c>
      <c r="R13" s="19" t="s">
        <v>1619</v>
      </c>
      <c r="S13" s="43" t="s">
        <v>9</v>
      </c>
      <c r="T13" s="25" t="str">
        <f t="shared" si="4"/>
        <v>Arquitetônicos</v>
      </c>
      <c r="U13" s="25" t="str">
        <f t="shared" si="5"/>
        <v>Estudos de Arquitetura</v>
      </c>
      <c r="V13" s="25" t="str">
        <f t="shared" si="6"/>
        <v>AnteProjeto</v>
      </c>
      <c r="W13" s="19" t="s">
        <v>74</v>
      </c>
      <c r="X13" s="57" t="str">
        <f t="shared" si="7"/>
        <v>Key-ARQ-13</v>
      </c>
      <c r="Y13" s="19" t="s">
        <v>1391</v>
      </c>
      <c r="Z13" s="25" t="s">
        <v>9</v>
      </c>
      <c r="AA13" s="25" t="s">
        <v>1323</v>
      </c>
      <c r="AB13" s="25" t="s">
        <v>9</v>
      </c>
      <c r="AC13" s="25" t="s">
        <v>1560</v>
      </c>
      <c r="AD13" s="25" t="s">
        <v>9</v>
      </c>
    </row>
    <row r="14" spans="1:30" ht="6.65" customHeight="1" x14ac:dyDescent="0.4">
      <c r="A14" s="21">
        <v>14</v>
      </c>
      <c r="B14" s="1" t="s">
        <v>1524</v>
      </c>
      <c r="C14" s="1" t="s">
        <v>1525</v>
      </c>
      <c r="D14" s="1" t="s">
        <v>1313</v>
      </c>
      <c r="E14" s="1" t="s">
        <v>1268</v>
      </c>
      <c r="F14" s="23" t="s">
        <v>1200</v>
      </c>
      <c r="G14" s="7" t="s">
        <v>9</v>
      </c>
      <c r="H14" s="83" t="s">
        <v>9</v>
      </c>
      <c r="I14" s="83" t="s">
        <v>9</v>
      </c>
      <c r="J14" s="7" t="s">
        <v>9</v>
      </c>
      <c r="K14" s="7" t="s">
        <v>9</v>
      </c>
      <c r="L14" s="24" t="str">
        <f t="shared" si="0"/>
        <v>Arquitetônicos</v>
      </c>
      <c r="M14" s="24" t="str">
        <f t="shared" si="1"/>
        <v>Estudos.de.Arquitetura</v>
      </c>
      <c r="N14" s="24" t="str">
        <f t="shared" si="2"/>
        <v>Volumetrias</v>
      </c>
      <c r="O14" s="24" t="str">
        <f t="shared" si="3"/>
        <v>Bloco Principal</v>
      </c>
      <c r="P14" s="19" t="s">
        <v>1203</v>
      </c>
      <c r="Q14" s="19" t="s">
        <v>1206</v>
      </c>
      <c r="R14" s="19" t="s">
        <v>1624</v>
      </c>
      <c r="S14" s="43" t="s">
        <v>9</v>
      </c>
      <c r="T14" s="25" t="str">
        <f t="shared" si="4"/>
        <v>Arquitetônicos</v>
      </c>
      <c r="U14" s="25" t="str">
        <f t="shared" si="5"/>
        <v>Estudos de Arquitetura</v>
      </c>
      <c r="V14" s="25" t="str">
        <f t="shared" si="6"/>
        <v>Volumetrias</v>
      </c>
      <c r="W14" s="19" t="s">
        <v>74</v>
      </c>
      <c r="X14" s="57" t="str">
        <f t="shared" si="7"/>
        <v>Key-ARQ-14</v>
      </c>
      <c r="Y14" s="19" t="s">
        <v>1392</v>
      </c>
      <c r="Z14" s="25" t="s">
        <v>9</v>
      </c>
      <c r="AA14" s="25" t="s">
        <v>1324</v>
      </c>
      <c r="AB14" s="25" t="s">
        <v>9</v>
      </c>
      <c r="AC14" s="25" t="s">
        <v>9</v>
      </c>
      <c r="AD14" s="25" t="s">
        <v>9</v>
      </c>
    </row>
    <row r="15" spans="1:30" ht="6.65" customHeight="1" x14ac:dyDescent="0.4">
      <c r="A15" s="21">
        <v>15</v>
      </c>
      <c r="B15" s="1" t="s">
        <v>1524</v>
      </c>
      <c r="C15" s="1" t="s">
        <v>1525</v>
      </c>
      <c r="D15" s="1" t="s">
        <v>1313</v>
      </c>
      <c r="E15" s="1" t="s">
        <v>1268</v>
      </c>
      <c r="F15" s="23" t="s">
        <v>1201</v>
      </c>
      <c r="G15" s="7" t="s">
        <v>9</v>
      </c>
      <c r="H15" s="83" t="s">
        <v>9</v>
      </c>
      <c r="I15" s="83" t="s">
        <v>9</v>
      </c>
      <c r="J15" s="7" t="s">
        <v>9</v>
      </c>
      <c r="K15" s="7" t="s">
        <v>9</v>
      </c>
      <c r="L15" s="24" t="str">
        <f t="shared" si="0"/>
        <v>Arquitetônicos</v>
      </c>
      <c r="M15" s="24" t="str">
        <f t="shared" si="1"/>
        <v>Estudos.de.Arquitetura</v>
      </c>
      <c r="N15" s="24" t="str">
        <f t="shared" si="2"/>
        <v>Volumetrias</v>
      </c>
      <c r="O15" s="24" t="str">
        <f t="shared" si="3"/>
        <v>Bloco Secundário</v>
      </c>
      <c r="P15" s="19" t="s">
        <v>1204</v>
      </c>
      <c r="Q15" s="19" t="s">
        <v>1207</v>
      </c>
      <c r="R15" s="19" t="s">
        <v>1625</v>
      </c>
      <c r="S15" s="43" t="s">
        <v>9</v>
      </c>
      <c r="T15" s="25" t="str">
        <f t="shared" si="4"/>
        <v>Arquitetônicos</v>
      </c>
      <c r="U15" s="25" t="str">
        <f t="shared" si="5"/>
        <v>Estudos de Arquitetura</v>
      </c>
      <c r="V15" s="25" t="str">
        <f t="shared" si="6"/>
        <v>Volumetrias</v>
      </c>
      <c r="W15" s="19" t="s">
        <v>74</v>
      </c>
      <c r="X15" s="57" t="str">
        <f t="shared" si="7"/>
        <v>Key-ARQ-15</v>
      </c>
      <c r="Y15" s="19" t="s">
        <v>1392</v>
      </c>
      <c r="Z15" s="25" t="s">
        <v>9</v>
      </c>
      <c r="AA15" s="25" t="s">
        <v>1324</v>
      </c>
      <c r="AB15" s="25" t="s">
        <v>9</v>
      </c>
      <c r="AC15" s="25" t="s">
        <v>9</v>
      </c>
      <c r="AD15" s="25" t="s">
        <v>9</v>
      </c>
    </row>
    <row r="16" spans="1:30" ht="6.65" customHeight="1" x14ac:dyDescent="0.4">
      <c r="A16" s="21">
        <v>16</v>
      </c>
      <c r="B16" s="1" t="s">
        <v>1524</v>
      </c>
      <c r="C16" s="1" t="s">
        <v>1525</v>
      </c>
      <c r="D16" s="1" t="s">
        <v>1313</v>
      </c>
      <c r="E16" s="1" t="s">
        <v>1268</v>
      </c>
      <c r="F16" s="23" t="s">
        <v>1202</v>
      </c>
      <c r="G16" s="7" t="s">
        <v>9</v>
      </c>
      <c r="H16" s="83" t="s">
        <v>9</v>
      </c>
      <c r="I16" s="83" t="s">
        <v>9</v>
      </c>
      <c r="J16" s="7" t="s">
        <v>9</v>
      </c>
      <c r="K16" s="7" t="s">
        <v>9</v>
      </c>
      <c r="L16" s="24" t="str">
        <f t="shared" si="0"/>
        <v>Arquitetônicos</v>
      </c>
      <c r="M16" s="24" t="str">
        <f t="shared" si="1"/>
        <v>Estudos.de.Arquitetura</v>
      </c>
      <c r="N16" s="24" t="str">
        <f t="shared" si="2"/>
        <v>Volumetrias</v>
      </c>
      <c r="O16" s="24" t="str">
        <f t="shared" si="3"/>
        <v>Bloco Excêntrico</v>
      </c>
      <c r="P16" s="19" t="s">
        <v>1205</v>
      </c>
      <c r="Q16" s="19" t="s">
        <v>1208</v>
      </c>
      <c r="R16" s="19" t="s">
        <v>1626</v>
      </c>
      <c r="S16" s="43" t="s">
        <v>9</v>
      </c>
      <c r="T16" s="25" t="str">
        <f t="shared" si="4"/>
        <v>Arquitetônicos</v>
      </c>
      <c r="U16" s="25" t="str">
        <f t="shared" si="5"/>
        <v>Estudos de Arquitetura</v>
      </c>
      <c r="V16" s="25" t="str">
        <f t="shared" si="6"/>
        <v>Volumetrias</v>
      </c>
      <c r="W16" s="19" t="s">
        <v>74</v>
      </c>
      <c r="X16" s="57" t="str">
        <f t="shared" si="7"/>
        <v>Key-ARQ-16</v>
      </c>
      <c r="Y16" s="19" t="s">
        <v>1392</v>
      </c>
      <c r="Z16" s="25" t="s">
        <v>9</v>
      </c>
      <c r="AA16" s="25" t="s">
        <v>1324</v>
      </c>
      <c r="AB16" s="25" t="s">
        <v>9</v>
      </c>
      <c r="AC16" s="25" t="s">
        <v>9</v>
      </c>
      <c r="AD16" s="25" t="s">
        <v>9</v>
      </c>
    </row>
    <row r="17" spans="1:30" ht="6.65" customHeight="1" x14ac:dyDescent="0.4">
      <c r="A17" s="21">
        <v>17</v>
      </c>
      <c r="B17" s="1" t="s">
        <v>1524</v>
      </c>
      <c r="C17" s="1" t="s">
        <v>1525</v>
      </c>
      <c r="D17" s="1" t="s">
        <v>1312</v>
      </c>
      <c r="E17" s="1" t="s">
        <v>1199</v>
      </c>
      <c r="F17" s="33" t="s">
        <v>1249</v>
      </c>
      <c r="G17" s="7" t="s">
        <v>9</v>
      </c>
      <c r="H17" s="7" t="s">
        <v>9</v>
      </c>
      <c r="I17" s="7" t="s">
        <v>9</v>
      </c>
      <c r="J17" s="7" t="s">
        <v>9</v>
      </c>
      <c r="K17" s="7" t="s">
        <v>9</v>
      </c>
      <c r="L17" s="24" t="str">
        <f t="shared" si="0"/>
        <v>Arquitetônicos</v>
      </c>
      <c r="M17" s="24" t="str">
        <f t="shared" si="1"/>
        <v>Elementos.de.Massas</v>
      </c>
      <c r="N17" s="24" t="str">
        <f t="shared" si="2"/>
        <v>Massas</v>
      </c>
      <c r="O17" s="24" t="str">
        <f t="shared" si="3"/>
        <v>Volume Formal</v>
      </c>
      <c r="P17" s="19" t="s">
        <v>1221</v>
      </c>
      <c r="Q17" s="19" t="s">
        <v>1222</v>
      </c>
      <c r="R17" s="19" t="s">
        <v>1627</v>
      </c>
      <c r="S17" s="43" t="s">
        <v>9</v>
      </c>
      <c r="T17" s="25" t="str">
        <f t="shared" si="4"/>
        <v>Arquitetônicos</v>
      </c>
      <c r="U17" s="25" t="str">
        <f t="shared" si="5"/>
        <v>Elementos de Massas</v>
      </c>
      <c r="V17" s="25" t="str">
        <f t="shared" si="6"/>
        <v>Massas</v>
      </c>
      <c r="W17" s="19" t="s">
        <v>74</v>
      </c>
      <c r="X17" s="57" t="str">
        <f t="shared" si="7"/>
        <v>Key-ARQ-17</v>
      </c>
      <c r="Y17" s="19" t="s">
        <v>1393</v>
      </c>
      <c r="Z17" s="25" t="s">
        <v>9</v>
      </c>
      <c r="AA17" s="25" t="s">
        <v>1324</v>
      </c>
      <c r="AB17" s="25" t="s">
        <v>9</v>
      </c>
      <c r="AC17" s="25" t="s">
        <v>9</v>
      </c>
      <c r="AD17" s="25" t="s">
        <v>9</v>
      </c>
    </row>
    <row r="18" spans="1:30" ht="6.65" customHeight="1" x14ac:dyDescent="0.4">
      <c r="A18" s="21">
        <v>18</v>
      </c>
      <c r="B18" s="1" t="s">
        <v>1524</v>
      </c>
      <c r="C18" s="1" t="s">
        <v>1525</v>
      </c>
      <c r="D18" s="1" t="s">
        <v>1312</v>
      </c>
      <c r="E18" s="1" t="s">
        <v>1199</v>
      </c>
      <c r="F18" s="33" t="s">
        <v>1252</v>
      </c>
      <c r="G18" s="7" t="s">
        <v>9</v>
      </c>
      <c r="H18" s="7" t="s">
        <v>9</v>
      </c>
      <c r="I18" s="7" t="s">
        <v>9</v>
      </c>
      <c r="J18" s="7" t="s">
        <v>9</v>
      </c>
      <c r="K18" s="7" t="s">
        <v>9</v>
      </c>
      <c r="L18" s="24" t="str">
        <f t="shared" si="0"/>
        <v>Arquitetônicos</v>
      </c>
      <c r="M18" s="24" t="str">
        <f t="shared" si="1"/>
        <v>Elementos.de.Massas</v>
      </c>
      <c r="N18" s="24" t="str">
        <f t="shared" si="2"/>
        <v>Massas</v>
      </c>
      <c r="O18" s="24" t="str">
        <f t="shared" si="3"/>
        <v>Volume Massas</v>
      </c>
      <c r="P18" s="19" t="s">
        <v>1227</v>
      </c>
      <c r="Q18" s="19" t="s">
        <v>1228</v>
      </c>
      <c r="R18" s="19" t="s">
        <v>1628</v>
      </c>
      <c r="S18" s="43" t="s">
        <v>9</v>
      </c>
      <c r="T18" s="25" t="str">
        <f t="shared" si="4"/>
        <v>Arquitetônicos</v>
      </c>
      <c r="U18" s="25" t="str">
        <f t="shared" si="5"/>
        <v>Elementos de Massas</v>
      </c>
      <c r="V18" s="25" t="str">
        <f t="shared" si="6"/>
        <v>Massas</v>
      </c>
      <c r="W18" s="19" t="s">
        <v>74</v>
      </c>
      <c r="X18" s="57" t="str">
        <f t="shared" si="7"/>
        <v>Key-ARQ-18</v>
      </c>
      <c r="Y18" s="19" t="s">
        <v>1394</v>
      </c>
      <c r="Z18" s="25" t="s">
        <v>9</v>
      </c>
      <c r="AA18" s="25" t="s">
        <v>1324</v>
      </c>
      <c r="AB18" s="25" t="s">
        <v>9</v>
      </c>
      <c r="AC18" s="25" t="s">
        <v>9</v>
      </c>
      <c r="AD18" s="25" t="s">
        <v>9</v>
      </c>
    </row>
    <row r="19" spans="1:30" ht="6.65" customHeight="1" x14ac:dyDescent="0.4">
      <c r="A19" s="21">
        <v>19</v>
      </c>
      <c r="B19" s="1" t="s">
        <v>1524</v>
      </c>
      <c r="C19" s="1" t="s">
        <v>1525</v>
      </c>
      <c r="D19" s="1" t="s">
        <v>1312</v>
      </c>
      <c r="E19" s="1" t="s">
        <v>1199</v>
      </c>
      <c r="F19" s="33" t="s">
        <v>1260</v>
      </c>
      <c r="G19" s="7" t="s">
        <v>9</v>
      </c>
      <c r="H19" s="7" t="s">
        <v>9</v>
      </c>
      <c r="I19" s="7" t="s">
        <v>9</v>
      </c>
      <c r="J19" s="7" t="s">
        <v>9</v>
      </c>
      <c r="K19" s="7" t="s">
        <v>9</v>
      </c>
      <c r="L19" s="24" t="str">
        <f t="shared" si="0"/>
        <v>Arquitetônicos</v>
      </c>
      <c r="M19" s="24" t="str">
        <f t="shared" si="1"/>
        <v>Elementos.de.Massas</v>
      </c>
      <c r="N19" s="24" t="str">
        <f t="shared" si="2"/>
        <v>Massas</v>
      </c>
      <c r="O19" s="24" t="str">
        <f t="shared" si="3"/>
        <v>Massas Zonas</v>
      </c>
      <c r="P19" s="19" t="s">
        <v>1243</v>
      </c>
      <c r="Q19" s="19" t="s">
        <v>1244</v>
      </c>
      <c r="R19" s="19" t="s">
        <v>1629</v>
      </c>
      <c r="S19" s="43" t="s">
        <v>9</v>
      </c>
      <c r="T19" s="25" t="str">
        <f t="shared" si="4"/>
        <v>Arquitetônicos</v>
      </c>
      <c r="U19" s="25" t="str">
        <f t="shared" si="5"/>
        <v>Elementos de Massas</v>
      </c>
      <c r="V19" s="25" t="str">
        <f t="shared" si="6"/>
        <v>Massas</v>
      </c>
      <c r="W19" s="19" t="s">
        <v>74</v>
      </c>
      <c r="X19" s="57" t="str">
        <f t="shared" si="7"/>
        <v>Key-ARQ-19</v>
      </c>
      <c r="Y19" s="19" t="s">
        <v>1395</v>
      </c>
      <c r="Z19" s="25" t="s">
        <v>9</v>
      </c>
      <c r="AA19" s="25" t="s">
        <v>1324</v>
      </c>
      <c r="AB19" s="25" t="s">
        <v>9</v>
      </c>
      <c r="AC19" s="25" t="s">
        <v>9</v>
      </c>
      <c r="AD19" s="25" t="s">
        <v>9</v>
      </c>
    </row>
    <row r="20" spans="1:30" ht="6.65" customHeight="1" x14ac:dyDescent="0.4">
      <c r="A20" s="21">
        <v>20</v>
      </c>
      <c r="B20" s="1" t="s">
        <v>1524</v>
      </c>
      <c r="C20" s="1" t="s">
        <v>1525</v>
      </c>
      <c r="D20" s="1" t="s">
        <v>1312</v>
      </c>
      <c r="E20" s="1" t="s">
        <v>1199</v>
      </c>
      <c r="F20" s="33" t="s">
        <v>1263</v>
      </c>
      <c r="G20" s="7" t="s">
        <v>9</v>
      </c>
      <c r="H20" s="7" t="s">
        <v>9</v>
      </c>
      <c r="I20" s="7" t="s">
        <v>9</v>
      </c>
      <c r="J20" s="7" t="s">
        <v>9</v>
      </c>
      <c r="K20" s="7" t="s">
        <v>9</v>
      </c>
      <c r="L20" s="24" t="str">
        <f t="shared" si="0"/>
        <v>Arquitetônicos</v>
      </c>
      <c r="M20" s="24" t="str">
        <f t="shared" si="1"/>
        <v>Elementos.de.Massas</v>
      </c>
      <c r="N20" s="24" t="str">
        <f t="shared" si="2"/>
        <v>Massas</v>
      </c>
      <c r="O20" s="24" t="str">
        <f t="shared" si="3"/>
        <v>Massa Void</v>
      </c>
      <c r="P20" s="19" t="s">
        <v>1209</v>
      </c>
      <c r="Q20" s="19" t="s">
        <v>1210</v>
      </c>
      <c r="R20" s="19" t="s">
        <v>1630</v>
      </c>
      <c r="S20" s="43" t="s">
        <v>9</v>
      </c>
      <c r="T20" s="25" t="str">
        <f t="shared" si="4"/>
        <v>Arquitetônicos</v>
      </c>
      <c r="U20" s="25" t="str">
        <f t="shared" si="5"/>
        <v>Elementos de Massas</v>
      </c>
      <c r="V20" s="25" t="str">
        <f t="shared" si="6"/>
        <v>Massas</v>
      </c>
      <c r="W20" s="19" t="s">
        <v>74</v>
      </c>
      <c r="X20" s="57" t="str">
        <f t="shared" si="7"/>
        <v>Key-ARQ-20</v>
      </c>
      <c r="Y20" s="19" t="s">
        <v>1396</v>
      </c>
      <c r="Z20" s="25" t="s">
        <v>9</v>
      </c>
      <c r="AA20" s="25" t="s">
        <v>1324</v>
      </c>
      <c r="AB20" s="25" t="s">
        <v>9</v>
      </c>
      <c r="AC20" s="25" t="s">
        <v>9</v>
      </c>
      <c r="AD20" s="25" t="s">
        <v>9</v>
      </c>
    </row>
    <row r="21" spans="1:30" ht="6.65" customHeight="1" x14ac:dyDescent="0.4">
      <c r="A21" s="21">
        <v>21</v>
      </c>
      <c r="B21" s="1" t="s">
        <v>1524</v>
      </c>
      <c r="C21" s="1" t="s">
        <v>1525</v>
      </c>
      <c r="D21" s="1" t="s">
        <v>1312</v>
      </c>
      <c r="E21" s="1" t="s">
        <v>1199</v>
      </c>
      <c r="F21" s="33" t="s">
        <v>1264</v>
      </c>
      <c r="G21" s="7" t="s">
        <v>9</v>
      </c>
      <c r="H21" s="7" t="s">
        <v>9</v>
      </c>
      <c r="I21" s="7" t="s">
        <v>9</v>
      </c>
      <c r="J21" s="7" t="s">
        <v>9</v>
      </c>
      <c r="K21" s="7" t="s">
        <v>9</v>
      </c>
      <c r="L21" s="24" t="str">
        <f t="shared" si="0"/>
        <v>Arquitetônicos</v>
      </c>
      <c r="M21" s="24" t="str">
        <f t="shared" si="1"/>
        <v>Elementos.de.Massas</v>
      </c>
      <c r="N21" s="24" t="str">
        <f t="shared" si="2"/>
        <v>Massas</v>
      </c>
      <c r="O21" s="24" t="str">
        <f t="shared" si="3"/>
        <v>Massa Divisor de Face</v>
      </c>
      <c r="P21" s="19" t="s">
        <v>1215</v>
      </c>
      <c r="Q21" s="19" t="s">
        <v>1216</v>
      </c>
      <c r="R21" s="19" t="s">
        <v>1631</v>
      </c>
      <c r="S21" s="43" t="s">
        <v>9</v>
      </c>
      <c r="T21" s="25" t="str">
        <f t="shared" si="4"/>
        <v>Arquitetônicos</v>
      </c>
      <c r="U21" s="25" t="str">
        <f t="shared" si="5"/>
        <v>Elementos de Massas</v>
      </c>
      <c r="V21" s="25" t="str">
        <f t="shared" si="6"/>
        <v>Massas</v>
      </c>
      <c r="W21" s="19" t="s">
        <v>74</v>
      </c>
      <c r="X21" s="57" t="str">
        <f t="shared" si="7"/>
        <v>Key-ARQ-21</v>
      </c>
      <c r="Y21" s="19" t="s">
        <v>1397</v>
      </c>
      <c r="Z21" s="25" t="s">
        <v>9</v>
      </c>
      <c r="AA21" s="25" t="s">
        <v>1324</v>
      </c>
      <c r="AB21" s="25" t="s">
        <v>9</v>
      </c>
      <c r="AC21" s="25" t="s">
        <v>9</v>
      </c>
      <c r="AD21" s="25" t="s">
        <v>9</v>
      </c>
    </row>
    <row r="22" spans="1:30" ht="6.65" customHeight="1" x14ac:dyDescent="0.4">
      <c r="A22" s="21">
        <v>22</v>
      </c>
      <c r="B22" s="1" t="s">
        <v>1524</v>
      </c>
      <c r="C22" s="1" t="s">
        <v>1525</v>
      </c>
      <c r="D22" s="1" t="s">
        <v>1312</v>
      </c>
      <c r="E22" s="1" t="s">
        <v>1199</v>
      </c>
      <c r="F22" s="33" t="s">
        <v>1265</v>
      </c>
      <c r="G22" s="7" t="s">
        <v>9</v>
      </c>
      <c r="H22" s="7" t="s">
        <v>9</v>
      </c>
      <c r="I22" s="7" t="s">
        <v>9</v>
      </c>
      <c r="J22" s="7" t="s">
        <v>9</v>
      </c>
      <c r="K22" s="7" t="s">
        <v>9</v>
      </c>
      <c r="L22" s="24" t="str">
        <f t="shared" si="0"/>
        <v>Arquitetônicos</v>
      </c>
      <c r="M22" s="24" t="str">
        <f t="shared" si="1"/>
        <v>Elementos.de.Massas</v>
      </c>
      <c r="N22" s="24" t="str">
        <f t="shared" si="2"/>
        <v>Massas</v>
      </c>
      <c r="O22" s="24" t="str">
        <f t="shared" si="3"/>
        <v>Massa Contorno</v>
      </c>
      <c r="P22" s="19" t="s">
        <v>1229</v>
      </c>
      <c r="Q22" s="19" t="s">
        <v>1230</v>
      </c>
      <c r="R22" s="19" t="s">
        <v>1632</v>
      </c>
      <c r="S22" s="43" t="s">
        <v>9</v>
      </c>
      <c r="T22" s="25" t="str">
        <f t="shared" si="4"/>
        <v>Arquitetônicos</v>
      </c>
      <c r="U22" s="25" t="str">
        <f t="shared" si="5"/>
        <v>Elementos de Massas</v>
      </c>
      <c r="V22" s="25" t="str">
        <f t="shared" si="6"/>
        <v>Massas</v>
      </c>
      <c r="W22" s="19" t="s">
        <v>74</v>
      </c>
      <c r="X22" s="57" t="str">
        <f t="shared" si="7"/>
        <v>Key-ARQ-22</v>
      </c>
      <c r="Y22" s="19" t="s">
        <v>1398</v>
      </c>
      <c r="Z22" s="25" t="s">
        <v>9</v>
      </c>
      <c r="AA22" s="25" t="s">
        <v>1324</v>
      </c>
      <c r="AB22" s="25" t="s">
        <v>9</v>
      </c>
      <c r="AC22" s="25" t="s">
        <v>9</v>
      </c>
      <c r="AD22" s="25" t="s">
        <v>9</v>
      </c>
    </row>
    <row r="23" spans="1:30" ht="6.65" customHeight="1" x14ac:dyDescent="0.4">
      <c r="A23" s="21">
        <v>23</v>
      </c>
      <c r="B23" s="1" t="s">
        <v>1524</v>
      </c>
      <c r="C23" s="1" t="s">
        <v>1525</v>
      </c>
      <c r="D23" s="1" t="s">
        <v>1312</v>
      </c>
      <c r="E23" s="1" t="s">
        <v>1199</v>
      </c>
      <c r="F23" s="33" t="s">
        <v>1266</v>
      </c>
      <c r="G23" s="7" t="s">
        <v>9</v>
      </c>
      <c r="H23" s="7" t="s">
        <v>9</v>
      </c>
      <c r="I23" s="7" t="s">
        <v>9</v>
      </c>
      <c r="J23" s="7" t="s">
        <v>9</v>
      </c>
      <c r="K23" s="7" t="s">
        <v>9</v>
      </c>
      <c r="L23" s="24" t="str">
        <f t="shared" si="0"/>
        <v>Arquitetônicos</v>
      </c>
      <c r="M23" s="24" t="str">
        <f t="shared" si="1"/>
        <v>Elementos.de.Massas</v>
      </c>
      <c r="N23" s="24" t="str">
        <f t="shared" si="2"/>
        <v>Massas</v>
      </c>
      <c r="O23" s="24" t="str">
        <f t="shared" si="3"/>
        <v>Massa Projeção</v>
      </c>
      <c r="P23" s="19" t="s">
        <v>1229</v>
      </c>
      <c r="Q23" s="19" t="s">
        <v>1230</v>
      </c>
      <c r="R23" s="19" t="s">
        <v>1632</v>
      </c>
      <c r="S23" s="43" t="s">
        <v>9</v>
      </c>
      <c r="T23" s="25" t="str">
        <f t="shared" si="4"/>
        <v>Arquitetônicos</v>
      </c>
      <c r="U23" s="25" t="str">
        <f t="shared" si="5"/>
        <v>Elementos de Massas</v>
      </c>
      <c r="V23" s="25" t="str">
        <f t="shared" si="6"/>
        <v>Massas</v>
      </c>
      <c r="W23" s="19" t="s">
        <v>74</v>
      </c>
      <c r="X23" s="57" t="str">
        <f t="shared" si="7"/>
        <v>Key-ARQ-23</v>
      </c>
      <c r="Y23" s="19" t="s">
        <v>1399</v>
      </c>
      <c r="Z23" s="25" t="s">
        <v>9</v>
      </c>
      <c r="AA23" s="25" t="s">
        <v>1324</v>
      </c>
      <c r="AB23" s="25" t="s">
        <v>9</v>
      </c>
      <c r="AC23" s="25" t="s">
        <v>9</v>
      </c>
      <c r="AD23" s="25" t="s">
        <v>9</v>
      </c>
    </row>
    <row r="24" spans="1:30" ht="6.65" customHeight="1" x14ac:dyDescent="0.4">
      <c r="A24" s="21">
        <v>24</v>
      </c>
      <c r="B24" s="1" t="s">
        <v>1524</v>
      </c>
      <c r="C24" s="1" t="s">
        <v>1525</v>
      </c>
      <c r="D24" s="1" t="s">
        <v>1312</v>
      </c>
      <c r="E24" s="1" t="s">
        <v>1267</v>
      </c>
      <c r="F24" s="33" t="s">
        <v>1247</v>
      </c>
      <c r="G24" s="7" t="s">
        <v>9</v>
      </c>
      <c r="H24" s="7" t="s">
        <v>9</v>
      </c>
      <c r="I24" s="7" t="s">
        <v>9</v>
      </c>
      <c r="J24" s="7" t="s">
        <v>9</v>
      </c>
      <c r="K24" s="7" t="s">
        <v>9</v>
      </c>
      <c r="L24" s="24" t="str">
        <f t="shared" si="0"/>
        <v>Arquitetônicos</v>
      </c>
      <c r="M24" s="24" t="str">
        <f t="shared" si="1"/>
        <v>Elementos.de.Massas</v>
      </c>
      <c r="N24" s="24" t="str">
        <f t="shared" si="2"/>
        <v>Superfícies</v>
      </c>
      <c r="O24" s="24" t="str">
        <f t="shared" si="3"/>
        <v>Plano de Laje</v>
      </c>
      <c r="P24" s="19" t="s">
        <v>1217</v>
      </c>
      <c r="Q24" s="19" t="s">
        <v>1218</v>
      </c>
      <c r="R24" s="19" t="s">
        <v>1633</v>
      </c>
      <c r="S24" s="43" t="s">
        <v>9</v>
      </c>
      <c r="T24" s="25" t="str">
        <f t="shared" si="4"/>
        <v>Arquitetônicos</v>
      </c>
      <c r="U24" s="25" t="str">
        <f t="shared" si="5"/>
        <v>Elementos de Massas</v>
      </c>
      <c r="V24" s="25" t="str">
        <f t="shared" si="6"/>
        <v>Superfícies</v>
      </c>
      <c r="W24" s="19" t="s">
        <v>74</v>
      </c>
      <c r="X24" s="57" t="str">
        <f t="shared" si="7"/>
        <v>Key-ARQ-24</v>
      </c>
      <c r="Y24" s="19" t="s">
        <v>1400</v>
      </c>
      <c r="Z24" s="25" t="s">
        <v>9</v>
      </c>
      <c r="AA24" s="25" t="s">
        <v>1324</v>
      </c>
      <c r="AB24" s="25" t="s">
        <v>9</v>
      </c>
      <c r="AC24" s="25" t="s">
        <v>9</v>
      </c>
      <c r="AD24" s="25" t="s">
        <v>9</v>
      </c>
    </row>
    <row r="25" spans="1:30" ht="6.65" customHeight="1" x14ac:dyDescent="0.4">
      <c r="A25" s="21">
        <v>25</v>
      </c>
      <c r="B25" s="1" t="s">
        <v>1524</v>
      </c>
      <c r="C25" s="1" t="s">
        <v>1525</v>
      </c>
      <c r="D25" s="1" t="s">
        <v>1312</v>
      </c>
      <c r="E25" s="1" t="s">
        <v>1267</v>
      </c>
      <c r="F25" s="33" t="s">
        <v>1248</v>
      </c>
      <c r="G25" s="7" t="s">
        <v>9</v>
      </c>
      <c r="H25" s="7" t="s">
        <v>9</v>
      </c>
      <c r="I25" s="7" t="s">
        <v>9</v>
      </c>
      <c r="J25" s="7" t="s">
        <v>9</v>
      </c>
      <c r="K25" s="7" t="s">
        <v>9</v>
      </c>
      <c r="L25" s="24" t="str">
        <f t="shared" si="0"/>
        <v>Arquitetônicos</v>
      </c>
      <c r="M25" s="24" t="str">
        <f t="shared" si="1"/>
        <v>Elementos.de.Massas</v>
      </c>
      <c r="N25" s="24" t="str">
        <f t="shared" si="2"/>
        <v>Superfícies</v>
      </c>
      <c r="O25" s="24" t="str">
        <f t="shared" si="3"/>
        <v>Planos das Lajes</v>
      </c>
      <c r="P25" s="19" t="s">
        <v>1219</v>
      </c>
      <c r="Q25" s="19" t="s">
        <v>1220</v>
      </c>
      <c r="R25" s="19" t="s">
        <v>1634</v>
      </c>
      <c r="S25" s="43" t="s">
        <v>9</v>
      </c>
      <c r="T25" s="25" t="str">
        <f t="shared" si="4"/>
        <v>Arquitetônicos</v>
      </c>
      <c r="U25" s="25" t="str">
        <f t="shared" si="5"/>
        <v>Elementos de Massas</v>
      </c>
      <c r="V25" s="25" t="str">
        <f t="shared" si="6"/>
        <v>Superfícies</v>
      </c>
      <c r="W25" s="19" t="s">
        <v>74</v>
      </c>
      <c r="X25" s="57" t="str">
        <f t="shared" si="7"/>
        <v>Key-ARQ-25</v>
      </c>
      <c r="Y25" s="19" t="s">
        <v>1401</v>
      </c>
      <c r="Z25" s="25" t="s">
        <v>9</v>
      </c>
      <c r="AA25" s="25" t="s">
        <v>1324</v>
      </c>
      <c r="AB25" s="25" t="s">
        <v>9</v>
      </c>
      <c r="AC25" s="25" t="s">
        <v>9</v>
      </c>
      <c r="AD25" s="25" t="s">
        <v>9</v>
      </c>
    </row>
    <row r="26" spans="1:30" ht="6.65" customHeight="1" x14ac:dyDescent="0.4">
      <c r="A26" s="21">
        <v>26</v>
      </c>
      <c r="B26" s="1" t="s">
        <v>1524</v>
      </c>
      <c r="C26" s="1" t="s">
        <v>1525</v>
      </c>
      <c r="D26" s="1" t="s">
        <v>1312</v>
      </c>
      <c r="E26" s="1" t="s">
        <v>1267</v>
      </c>
      <c r="F26" s="33" t="s">
        <v>1246</v>
      </c>
      <c r="G26" s="7" t="s">
        <v>9</v>
      </c>
      <c r="H26" s="7" t="s">
        <v>9</v>
      </c>
      <c r="I26" s="7" t="s">
        <v>9</v>
      </c>
      <c r="J26" s="7" t="s">
        <v>9</v>
      </c>
      <c r="K26" s="7" t="s">
        <v>9</v>
      </c>
      <c r="L26" s="24" t="str">
        <f t="shared" si="0"/>
        <v>Arquitetônicos</v>
      </c>
      <c r="M26" s="24" t="str">
        <f t="shared" si="1"/>
        <v>Elementos.de.Massas</v>
      </c>
      <c r="N26" s="24" t="str">
        <f t="shared" si="2"/>
        <v>Superfícies</v>
      </c>
      <c r="O26" s="24" t="str">
        <f t="shared" si="3"/>
        <v>Envoltória</v>
      </c>
      <c r="P26" s="19" t="s">
        <v>1211</v>
      </c>
      <c r="Q26" s="19" t="s">
        <v>1212</v>
      </c>
      <c r="R26" s="19" t="s">
        <v>1635</v>
      </c>
      <c r="S26" s="43" t="s">
        <v>9</v>
      </c>
      <c r="T26" s="25" t="str">
        <f t="shared" si="4"/>
        <v>Arquitetônicos</v>
      </c>
      <c r="U26" s="25" t="str">
        <f t="shared" si="5"/>
        <v>Elementos de Massas</v>
      </c>
      <c r="V26" s="25" t="str">
        <f t="shared" si="6"/>
        <v>Superfícies</v>
      </c>
      <c r="W26" s="19" t="s">
        <v>74</v>
      </c>
      <c r="X26" s="57" t="str">
        <f t="shared" si="7"/>
        <v>Key-ARQ-26</v>
      </c>
      <c r="Y26" s="19" t="s">
        <v>1402</v>
      </c>
      <c r="Z26" s="25" t="s">
        <v>9</v>
      </c>
      <c r="AA26" s="25" t="s">
        <v>1324</v>
      </c>
      <c r="AB26" s="25" t="s">
        <v>9</v>
      </c>
      <c r="AC26" s="25" t="s">
        <v>9</v>
      </c>
      <c r="AD26" s="25" t="s">
        <v>9</v>
      </c>
    </row>
    <row r="27" spans="1:30" ht="6.65" customHeight="1" x14ac:dyDescent="0.4">
      <c r="A27" s="21">
        <v>27</v>
      </c>
      <c r="B27" s="1" t="s">
        <v>1524</v>
      </c>
      <c r="C27" s="1" t="s">
        <v>1525</v>
      </c>
      <c r="D27" s="1" t="s">
        <v>1312</v>
      </c>
      <c r="E27" s="1" t="s">
        <v>1267</v>
      </c>
      <c r="F27" s="33" t="s">
        <v>1245</v>
      </c>
      <c r="G27" s="7" t="s">
        <v>9</v>
      </c>
      <c r="H27" s="7" t="s">
        <v>9</v>
      </c>
      <c r="I27" s="7" t="s">
        <v>9</v>
      </c>
      <c r="J27" s="7" t="s">
        <v>9</v>
      </c>
      <c r="K27" s="7" t="s">
        <v>9</v>
      </c>
      <c r="L27" s="24" t="str">
        <f t="shared" si="0"/>
        <v>Arquitetônicos</v>
      </c>
      <c r="M27" s="24" t="str">
        <f t="shared" si="1"/>
        <v>Elementos.de.Massas</v>
      </c>
      <c r="N27" s="24" t="str">
        <f t="shared" si="2"/>
        <v>Superfícies</v>
      </c>
      <c r="O27" s="24" t="str">
        <f t="shared" si="3"/>
        <v>Envoltória Subsolos</v>
      </c>
      <c r="P27" s="19" t="s">
        <v>1213</v>
      </c>
      <c r="Q27" s="19" t="s">
        <v>1214</v>
      </c>
      <c r="R27" s="19" t="s">
        <v>1636</v>
      </c>
      <c r="S27" s="43" t="s">
        <v>9</v>
      </c>
      <c r="T27" s="25" t="str">
        <f t="shared" si="4"/>
        <v>Arquitetônicos</v>
      </c>
      <c r="U27" s="25" t="str">
        <f t="shared" si="5"/>
        <v>Elementos de Massas</v>
      </c>
      <c r="V27" s="25" t="str">
        <f t="shared" si="6"/>
        <v>Superfícies</v>
      </c>
      <c r="W27" s="19" t="s">
        <v>74</v>
      </c>
      <c r="X27" s="57" t="str">
        <f t="shared" si="7"/>
        <v>Key-ARQ-27</v>
      </c>
      <c r="Y27" s="19" t="s">
        <v>1403</v>
      </c>
      <c r="Z27" s="25" t="s">
        <v>9</v>
      </c>
      <c r="AA27" s="25" t="s">
        <v>1324</v>
      </c>
      <c r="AB27" s="25" t="s">
        <v>9</v>
      </c>
      <c r="AC27" s="25" t="s">
        <v>9</v>
      </c>
      <c r="AD27" s="25" t="s">
        <v>9</v>
      </c>
    </row>
    <row r="28" spans="1:30" ht="6.65" customHeight="1" x14ac:dyDescent="0.4">
      <c r="A28" s="21">
        <v>28</v>
      </c>
      <c r="B28" s="1" t="s">
        <v>1524</v>
      </c>
      <c r="C28" s="1" t="s">
        <v>1525</v>
      </c>
      <c r="D28" s="1" t="s">
        <v>1312</v>
      </c>
      <c r="E28" s="1" t="s">
        <v>1267</v>
      </c>
      <c r="F28" s="33" t="s">
        <v>1250</v>
      </c>
      <c r="G28" s="7" t="s">
        <v>9</v>
      </c>
      <c r="H28" s="7" t="s">
        <v>9</v>
      </c>
      <c r="I28" s="7" t="s">
        <v>9</v>
      </c>
      <c r="J28" s="7" t="s">
        <v>9</v>
      </c>
      <c r="K28" s="7" t="s">
        <v>9</v>
      </c>
      <c r="L28" s="24" t="str">
        <f t="shared" si="0"/>
        <v>Arquitetônicos</v>
      </c>
      <c r="M28" s="24" t="str">
        <f t="shared" si="1"/>
        <v>Elementos.de.Massas</v>
      </c>
      <c r="N28" s="24" t="str">
        <f t="shared" si="2"/>
        <v>Superfícies</v>
      </c>
      <c r="O28" s="24" t="str">
        <f t="shared" si="3"/>
        <v>Fachada Envidraçada</v>
      </c>
      <c r="P28" s="19" t="s">
        <v>1223</v>
      </c>
      <c r="Q28" s="19" t="s">
        <v>1224</v>
      </c>
      <c r="R28" s="19" t="s">
        <v>1637</v>
      </c>
      <c r="S28" s="43" t="s">
        <v>9</v>
      </c>
      <c r="T28" s="25" t="str">
        <f t="shared" si="4"/>
        <v>Arquitetônicos</v>
      </c>
      <c r="U28" s="25" t="str">
        <f t="shared" si="5"/>
        <v>Elementos de Massas</v>
      </c>
      <c r="V28" s="25" t="str">
        <f t="shared" si="6"/>
        <v>Superfícies</v>
      </c>
      <c r="W28" s="19" t="s">
        <v>74</v>
      </c>
      <c r="X28" s="57" t="str">
        <f t="shared" si="7"/>
        <v>Key-ARQ-28</v>
      </c>
      <c r="Y28" s="19" t="s">
        <v>1404</v>
      </c>
      <c r="Z28" s="25" t="s">
        <v>9</v>
      </c>
      <c r="AA28" s="25" t="s">
        <v>1324</v>
      </c>
      <c r="AB28" s="25" t="s">
        <v>9</v>
      </c>
      <c r="AC28" s="25" t="s">
        <v>9</v>
      </c>
      <c r="AD28" s="25" t="s">
        <v>9</v>
      </c>
    </row>
    <row r="29" spans="1:30" ht="6.65" customHeight="1" x14ac:dyDescent="0.4">
      <c r="A29" s="21">
        <v>29</v>
      </c>
      <c r="B29" s="1" t="s">
        <v>1524</v>
      </c>
      <c r="C29" s="1" t="s">
        <v>1525</v>
      </c>
      <c r="D29" s="1" t="s">
        <v>1312</v>
      </c>
      <c r="E29" s="1" t="s">
        <v>1267</v>
      </c>
      <c r="F29" s="33" t="s">
        <v>1251</v>
      </c>
      <c r="G29" s="7" t="s">
        <v>9</v>
      </c>
      <c r="H29" s="7" t="s">
        <v>9</v>
      </c>
      <c r="I29" s="7" t="s">
        <v>9</v>
      </c>
      <c r="J29" s="7" t="s">
        <v>9</v>
      </c>
      <c r="K29" s="7" t="s">
        <v>9</v>
      </c>
      <c r="L29" s="24" t="str">
        <f t="shared" si="0"/>
        <v>Arquitetônicos</v>
      </c>
      <c r="M29" s="24" t="str">
        <f t="shared" si="1"/>
        <v>Elementos.de.Massas</v>
      </c>
      <c r="N29" s="24" t="str">
        <f t="shared" si="2"/>
        <v>Superfícies</v>
      </c>
      <c r="O29" s="24" t="str">
        <f t="shared" si="3"/>
        <v>Fachadas Envidraçadas</v>
      </c>
      <c r="P29" s="19" t="s">
        <v>1225</v>
      </c>
      <c r="Q29" s="19" t="s">
        <v>1226</v>
      </c>
      <c r="R29" s="19" t="s">
        <v>1638</v>
      </c>
      <c r="S29" s="43" t="s">
        <v>9</v>
      </c>
      <c r="T29" s="25" t="str">
        <f t="shared" si="4"/>
        <v>Arquitetônicos</v>
      </c>
      <c r="U29" s="25" t="str">
        <f t="shared" si="5"/>
        <v>Elementos de Massas</v>
      </c>
      <c r="V29" s="25" t="str">
        <f t="shared" si="6"/>
        <v>Superfícies</v>
      </c>
      <c r="W29" s="19" t="s">
        <v>74</v>
      </c>
      <c r="X29" s="57" t="str">
        <f t="shared" si="7"/>
        <v>Key-ARQ-29</v>
      </c>
      <c r="Y29" s="19" t="s">
        <v>1405</v>
      </c>
      <c r="Z29" s="25" t="s">
        <v>9</v>
      </c>
      <c r="AA29" s="25" t="s">
        <v>1324</v>
      </c>
      <c r="AB29" s="25" t="s">
        <v>9</v>
      </c>
      <c r="AC29" s="25" t="s">
        <v>9</v>
      </c>
      <c r="AD29" s="25" t="s">
        <v>9</v>
      </c>
    </row>
    <row r="30" spans="1:30" ht="6.65" customHeight="1" x14ac:dyDescent="0.4">
      <c r="A30" s="21">
        <v>30</v>
      </c>
      <c r="B30" s="1" t="s">
        <v>1524</v>
      </c>
      <c r="C30" s="1" t="s">
        <v>1525</v>
      </c>
      <c r="D30" s="1" t="s">
        <v>1312</v>
      </c>
      <c r="E30" s="1" t="s">
        <v>1267</v>
      </c>
      <c r="F30" s="33" t="s">
        <v>1254</v>
      </c>
      <c r="G30" s="7" t="s">
        <v>9</v>
      </c>
      <c r="H30" s="7" t="s">
        <v>9</v>
      </c>
      <c r="I30" s="7" t="s">
        <v>9</v>
      </c>
      <c r="J30" s="7" t="s">
        <v>9</v>
      </c>
      <c r="K30" s="7" t="s">
        <v>9</v>
      </c>
      <c r="L30" s="24" t="str">
        <f t="shared" si="0"/>
        <v>Arquitetônicos</v>
      </c>
      <c r="M30" s="24" t="str">
        <f t="shared" si="1"/>
        <v>Elementos.de.Massas</v>
      </c>
      <c r="N30" s="24" t="str">
        <f t="shared" si="2"/>
        <v>Superfícies</v>
      </c>
      <c r="O30" s="24" t="str">
        <f t="shared" si="3"/>
        <v>Massas Paredes Internas</v>
      </c>
      <c r="P30" s="19" t="s">
        <v>1262</v>
      </c>
      <c r="Q30" s="19" t="s">
        <v>1231</v>
      </c>
      <c r="R30" s="19" t="s">
        <v>1639</v>
      </c>
      <c r="S30" s="43" t="s">
        <v>9</v>
      </c>
      <c r="T30" s="25" t="str">
        <f t="shared" si="4"/>
        <v>Arquitetônicos</v>
      </c>
      <c r="U30" s="25" t="str">
        <f t="shared" si="5"/>
        <v>Elementos de Massas</v>
      </c>
      <c r="V30" s="25" t="str">
        <f t="shared" si="6"/>
        <v>Superfícies</v>
      </c>
      <c r="W30" s="19" t="s">
        <v>74</v>
      </c>
      <c r="X30" s="57" t="str">
        <f t="shared" si="7"/>
        <v>Key-ARQ-30</v>
      </c>
      <c r="Y30" s="19" t="s">
        <v>1406</v>
      </c>
      <c r="Z30" s="25" t="s">
        <v>9</v>
      </c>
      <c r="AA30" s="25" t="s">
        <v>1324</v>
      </c>
      <c r="AB30" s="25" t="s">
        <v>9</v>
      </c>
      <c r="AC30" s="25" t="s">
        <v>9</v>
      </c>
      <c r="AD30" s="25" t="s">
        <v>9</v>
      </c>
    </row>
    <row r="31" spans="1:30" ht="6.65" customHeight="1" x14ac:dyDescent="0.4">
      <c r="A31" s="21">
        <v>31</v>
      </c>
      <c r="B31" s="1" t="s">
        <v>1524</v>
      </c>
      <c r="C31" s="1" t="s">
        <v>1525</v>
      </c>
      <c r="D31" s="1" t="s">
        <v>1312</v>
      </c>
      <c r="E31" s="1" t="s">
        <v>1267</v>
      </c>
      <c r="F31" s="33" t="s">
        <v>1259</v>
      </c>
      <c r="G31" s="7" t="s">
        <v>9</v>
      </c>
      <c r="H31" s="7" t="s">
        <v>9</v>
      </c>
      <c r="I31" s="7" t="s">
        <v>9</v>
      </c>
      <c r="J31" s="7" t="s">
        <v>9</v>
      </c>
      <c r="K31" s="7" t="s">
        <v>9</v>
      </c>
      <c r="L31" s="24" t="str">
        <f t="shared" si="0"/>
        <v>Arquitetônicos</v>
      </c>
      <c r="M31" s="24" t="str">
        <f t="shared" si="1"/>
        <v>Elementos.de.Massas</v>
      </c>
      <c r="N31" s="24" t="str">
        <f t="shared" si="2"/>
        <v>Superfícies</v>
      </c>
      <c r="O31" s="24" t="str">
        <f t="shared" si="3"/>
        <v>Massas Paredes</v>
      </c>
      <c r="P31" s="19" t="s">
        <v>1261</v>
      </c>
      <c r="Q31" s="19" t="s">
        <v>1242</v>
      </c>
      <c r="R31" s="19" t="s">
        <v>1640</v>
      </c>
      <c r="S31" s="43" t="s">
        <v>9</v>
      </c>
      <c r="T31" s="25" t="str">
        <f t="shared" si="4"/>
        <v>Arquitetônicos</v>
      </c>
      <c r="U31" s="25" t="str">
        <f t="shared" si="5"/>
        <v>Elementos de Massas</v>
      </c>
      <c r="V31" s="25" t="str">
        <f t="shared" si="6"/>
        <v>Superfícies</v>
      </c>
      <c r="W31" s="19" t="s">
        <v>74</v>
      </c>
      <c r="X31" s="57" t="str">
        <f t="shared" si="7"/>
        <v>Key-ARQ-31</v>
      </c>
      <c r="Y31" s="19" t="s">
        <v>1407</v>
      </c>
      <c r="Z31" s="25" t="s">
        <v>9</v>
      </c>
      <c r="AA31" s="25" t="s">
        <v>1324</v>
      </c>
      <c r="AB31" s="25" t="s">
        <v>9</v>
      </c>
      <c r="AC31" s="25" t="s">
        <v>9</v>
      </c>
      <c r="AD31" s="25" t="s">
        <v>9</v>
      </c>
    </row>
    <row r="32" spans="1:30" ht="6.65" customHeight="1" x14ac:dyDescent="0.4">
      <c r="A32" s="21">
        <v>32</v>
      </c>
      <c r="B32" s="1" t="s">
        <v>1524</v>
      </c>
      <c r="C32" s="1" t="s">
        <v>1525</v>
      </c>
      <c r="D32" s="1" t="s">
        <v>1312</v>
      </c>
      <c r="E32" s="1" t="s">
        <v>1267</v>
      </c>
      <c r="F32" s="33" t="s">
        <v>1253</v>
      </c>
      <c r="G32" s="7" t="s">
        <v>9</v>
      </c>
      <c r="H32" s="7" t="s">
        <v>9</v>
      </c>
      <c r="I32" s="7" t="s">
        <v>9</v>
      </c>
      <c r="J32" s="7" t="s">
        <v>9</v>
      </c>
      <c r="K32" s="7" t="s">
        <v>9</v>
      </c>
      <c r="L32" s="24" t="str">
        <f t="shared" si="0"/>
        <v>Arquitetônicos</v>
      </c>
      <c r="M32" s="24" t="str">
        <f t="shared" si="1"/>
        <v>Elementos.de.Massas</v>
      </c>
      <c r="N32" s="24" t="str">
        <f t="shared" si="2"/>
        <v>Superfícies</v>
      </c>
      <c r="O32" s="24" t="str">
        <f t="shared" si="3"/>
        <v>Massas Aberturas</v>
      </c>
      <c r="P32" s="19" t="s">
        <v>1232</v>
      </c>
      <c r="Q32" s="19" t="s">
        <v>1233</v>
      </c>
      <c r="R32" s="19" t="s">
        <v>1641</v>
      </c>
      <c r="S32" s="43" t="s">
        <v>9</v>
      </c>
      <c r="T32" s="25" t="str">
        <f t="shared" si="4"/>
        <v>Arquitetônicos</v>
      </c>
      <c r="U32" s="25" t="str">
        <f t="shared" si="5"/>
        <v>Elementos de Massas</v>
      </c>
      <c r="V32" s="25" t="str">
        <f t="shared" si="6"/>
        <v>Superfícies</v>
      </c>
      <c r="W32" s="19" t="s">
        <v>74</v>
      </c>
      <c r="X32" s="57" t="str">
        <f t="shared" si="7"/>
        <v>Key-ARQ-32</v>
      </c>
      <c r="Y32" s="19" t="s">
        <v>1408</v>
      </c>
      <c r="Z32" s="25" t="s">
        <v>9</v>
      </c>
      <c r="AA32" s="25" t="s">
        <v>1324</v>
      </c>
      <c r="AB32" s="25" t="s">
        <v>9</v>
      </c>
      <c r="AC32" s="25" t="s">
        <v>9</v>
      </c>
      <c r="AD32" s="25" t="s">
        <v>9</v>
      </c>
    </row>
    <row r="33" spans="1:30" ht="6.65" customHeight="1" x14ac:dyDescent="0.4">
      <c r="A33" s="21">
        <v>33</v>
      </c>
      <c r="B33" s="1" t="s">
        <v>1524</v>
      </c>
      <c r="C33" s="1" t="s">
        <v>1525</v>
      </c>
      <c r="D33" s="1" t="s">
        <v>1312</v>
      </c>
      <c r="E33" s="1" t="s">
        <v>1267</v>
      </c>
      <c r="F33" s="33" t="s">
        <v>1258</v>
      </c>
      <c r="G33" s="7" t="s">
        <v>9</v>
      </c>
      <c r="H33" s="7" t="s">
        <v>9</v>
      </c>
      <c r="I33" s="7" t="s">
        <v>9</v>
      </c>
      <c r="J33" s="7" t="s">
        <v>9</v>
      </c>
      <c r="K33" s="7" t="s">
        <v>9</v>
      </c>
      <c r="L33" s="24" t="str">
        <f t="shared" si="0"/>
        <v>Arquitetônicos</v>
      </c>
      <c r="M33" s="24" t="str">
        <f t="shared" si="1"/>
        <v>Elementos.de.Massas</v>
      </c>
      <c r="N33" s="24" t="str">
        <f t="shared" si="2"/>
        <v>Superfícies</v>
      </c>
      <c r="O33" s="24" t="str">
        <f t="shared" si="3"/>
        <v>Massas Lajes</v>
      </c>
      <c r="P33" s="19" t="s">
        <v>1240</v>
      </c>
      <c r="Q33" s="19" t="s">
        <v>1241</v>
      </c>
      <c r="R33" s="19" t="s">
        <v>1642</v>
      </c>
      <c r="S33" s="43" t="s">
        <v>9</v>
      </c>
      <c r="T33" s="25" t="str">
        <f t="shared" si="4"/>
        <v>Arquitetônicos</v>
      </c>
      <c r="U33" s="25" t="str">
        <f t="shared" si="5"/>
        <v>Elementos de Massas</v>
      </c>
      <c r="V33" s="25" t="str">
        <f t="shared" si="6"/>
        <v>Superfícies</v>
      </c>
      <c r="W33" s="19" t="s">
        <v>74</v>
      </c>
      <c r="X33" s="57" t="str">
        <f t="shared" si="7"/>
        <v>Key-ARQ-33</v>
      </c>
      <c r="Y33" s="19" t="s">
        <v>1409</v>
      </c>
      <c r="Z33" s="25" t="s">
        <v>9</v>
      </c>
      <c r="AA33" s="25" t="s">
        <v>1324</v>
      </c>
      <c r="AB33" s="25" t="s">
        <v>9</v>
      </c>
      <c r="AC33" s="25" t="s">
        <v>9</v>
      </c>
      <c r="AD33" s="25" t="s">
        <v>9</v>
      </c>
    </row>
    <row r="34" spans="1:30" ht="6.65" customHeight="1" x14ac:dyDescent="0.4">
      <c r="A34" s="21">
        <v>34</v>
      </c>
      <c r="B34" s="1" t="s">
        <v>1524</v>
      </c>
      <c r="C34" s="1" t="s">
        <v>1525</v>
      </c>
      <c r="D34" s="1" t="s">
        <v>1312</v>
      </c>
      <c r="E34" s="1" t="s">
        <v>1267</v>
      </c>
      <c r="F34" s="33" t="s">
        <v>1255</v>
      </c>
      <c r="G34" s="7" t="s">
        <v>9</v>
      </c>
      <c r="H34" s="7" t="s">
        <v>9</v>
      </c>
      <c r="I34" s="7" t="s">
        <v>9</v>
      </c>
      <c r="J34" s="7" t="s">
        <v>9</v>
      </c>
      <c r="K34" s="7" t="s">
        <v>9</v>
      </c>
      <c r="L34" s="24" t="str">
        <f t="shared" si="0"/>
        <v>Arquitetônicos</v>
      </c>
      <c r="M34" s="24" t="str">
        <f t="shared" si="1"/>
        <v>Elementos.de.Massas</v>
      </c>
      <c r="N34" s="24" t="str">
        <f t="shared" si="2"/>
        <v>Superfícies</v>
      </c>
      <c r="O34" s="24" t="str">
        <f t="shared" si="3"/>
        <v>Massas Telhados</v>
      </c>
      <c r="P34" s="19" t="s">
        <v>1234</v>
      </c>
      <c r="Q34" s="19" t="s">
        <v>1235</v>
      </c>
      <c r="R34" s="19" t="s">
        <v>1643</v>
      </c>
      <c r="S34" s="43" t="s">
        <v>9</v>
      </c>
      <c r="T34" s="25" t="str">
        <f t="shared" si="4"/>
        <v>Arquitetônicos</v>
      </c>
      <c r="U34" s="25" t="str">
        <f t="shared" si="5"/>
        <v>Elementos de Massas</v>
      </c>
      <c r="V34" s="25" t="str">
        <f t="shared" si="6"/>
        <v>Superfícies</v>
      </c>
      <c r="W34" s="19" t="s">
        <v>74</v>
      </c>
      <c r="X34" s="57" t="str">
        <f t="shared" si="7"/>
        <v>Key-ARQ-34</v>
      </c>
      <c r="Y34" s="19" t="s">
        <v>1410</v>
      </c>
      <c r="Z34" s="25" t="s">
        <v>9</v>
      </c>
      <c r="AA34" s="25" t="s">
        <v>1324</v>
      </c>
      <c r="AB34" s="25" t="s">
        <v>9</v>
      </c>
      <c r="AC34" s="25" t="s">
        <v>9</v>
      </c>
      <c r="AD34" s="25" t="s">
        <v>9</v>
      </c>
    </row>
    <row r="35" spans="1:30" ht="6.65" customHeight="1" x14ac:dyDescent="0.4">
      <c r="A35" s="21">
        <v>35</v>
      </c>
      <c r="B35" s="1" t="s">
        <v>1524</v>
      </c>
      <c r="C35" s="1" t="s">
        <v>1525</v>
      </c>
      <c r="D35" s="1" t="s">
        <v>1312</v>
      </c>
      <c r="E35" s="1" t="s">
        <v>1267</v>
      </c>
      <c r="F35" s="33" t="s">
        <v>1256</v>
      </c>
      <c r="G35" s="7" t="s">
        <v>9</v>
      </c>
      <c r="H35" s="7" t="s">
        <v>9</v>
      </c>
      <c r="I35" s="7" t="s">
        <v>9</v>
      </c>
      <c r="J35" s="7" t="s">
        <v>9</v>
      </c>
      <c r="K35" s="7" t="s">
        <v>9</v>
      </c>
      <c r="L35" s="24" t="str">
        <f t="shared" si="0"/>
        <v>Arquitetônicos</v>
      </c>
      <c r="M35" s="24" t="str">
        <f t="shared" si="1"/>
        <v>Elementos.de.Massas</v>
      </c>
      <c r="N35" s="24" t="str">
        <f t="shared" si="2"/>
        <v>Superfícies</v>
      </c>
      <c r="O35" s="24" t="str">
        <f t="shared" si="3"/>
        <v>Massas Brises</v>
      </c>
      <c r="P35" s="19" t="s">
        <v>1236</v>
      </c>
      <c r="Q35" s="19" t="s">
        <v>1237</v>
      </c>
      <c r="R35" s="19" t="s">
        <v>1644</v>
      </c>
      <c r="S35" s="43" t="s">
        <v>9</v>
      </c>
      <c r="T35" s="25" t="str">
        <f t="shared" si="4"/>
        <v>Arquitetônicos</v>
      </c>
      <c r="U35" s="25" t="str">
        <f t="shared" si="5"/>
        <v>Elementos de Massas</v>
      </c>
      <c r="V35" s="25" t="str">
        <f t="shared" si="6"/>
        <v>Superfícies</v>
      </c>
      <c r="W35" s="19" t="s">
        <v>74</v>
      </c>
      <c r="X35" s="57" t="str">
        <f t="shared" si="7"/>
        <v>Key-ARQ-35</v>
      </c>
      <c r="Y35" s="19" t="s">
        <v>1411</v>
      </c>
      <c r="Z35" s="25" t="s">
        <v>9</v>
      </c>
      <c r="AA35" s="25" t="s">
        <v>1324</v>
      </c>
      <c r="AB35" s="25" t="s">
        <v>9</v>
      </c>
      <c r="AC35" s="25" t="s">
        <v>9</v>
      </c>
      <c r="AD35" s="25" t="s">
        <v>9</v>
      </c>
    </row>
    <row r="36" spans="1:30" ht="6.65" customHeight="1" x14ac:dyDescent="0.4">
      <c r="A36" s="21">
        <v>36</v>
      </c>
      <c r="B36" s="1" t="s">
        <v>1524</v>
      </c>
      <c r="C36" s="1" t="s">
        <v>1525</v>
      </c>
      <c r="D36" s="1" t="s">
        <v>1312</v>
      </c>
      <c r="E36" s="1" t="s">
        <v>1267</v>
      </c>
      <c r="F36" s="33" t="s">
        <v>1257</v>
      </c>
      <c r="G36" s="7" t="s">
        <v>9</v>
      </c>
      <c r="H36" s="7" t="s">
        <v>9</v>
      </c>
      <c r="I36" s="7" t="s">
        <v>9</v>
      </c>
      <c r="J36" s="7" t="s">
        <v>9</v>
      </c>
      <c r="K36" s="7" t="s">
        <v>9</v>
      </c>
      <c r="L36" s="24" t="str">
        <f t="shared" si="0"/>
        <v>Arquitetônicos</v>
      </c>
      <c r="M36" s="24" t="str">
        <f t="shared" si="1"/>
        <v>Elementos.de.Massas</v>
      </c>
      <c r="N36" s="24" t="str">
        <f t="shared" si="2"/>
        <v>Superfícies</v>
      </c>
      <c r="O36" s="24" t="str">
        <f t="shared" si="3"/>
        <v>Massas Claraboias</v>
      </c>
      <c r="P36" s="19" t="s">
        <v>1238</v>
      </c>
      <c r="Q36" s="19" t="s">
        <v>1239</v>
      </c>
      <c r="R36" s="19" t="s">
        <v>1645</v>
      </c>
      <c r="S36" s="43" t="s">
        <v>9</v>
      </c>
      <c r="T36" s="25" t="str">
        <f t="shared" si="4"/>
        <v>Arquitetônicos</v>
      </c>
      <c r="U36" s="25" t="str">
        <f t="shared" si="5"/>
        <v>Elementos de Massas</v>
      </c>
      <c r="V36" s="25" t="str">
        <f t="shared" si="6"/>
        <v>Superfícies</v>
      </c>
      <c r="W36" s="19" t="s">
        <v>74</v>
      </c>
      <c r="X36" s="57" t="str">
        <f t="shared" si="7"/>
        <v>Key-ARQ-36</v>
      </c>
      <c r="Y36" s="19" t="s">
        <v>1412</v>
      </c>
      <c r="Z36" s="25" t="s">
        <v>9</v>
      </c>
      <c r="AA36" s="25" t="s">
        <v>1324</v>
      </c>
      <c r="AB36" s="25" t="s">
        <v>9</v>
      </c>
      <c r="AC36" s="25" t="s">
        <v>9</v>
      </c>
      <c r="AD36" s="25" t="s">
        <v>9</v>
      </c>
    </row>
    <row r="37" spans="1:30" ht="6.65" customHeight="1" x14ac:dyDescent="0.4">
      <c r="A37" s="21">
        <v>37</v>
      </c>
      <c r="B37" s="1" t="s">
        <v>1524</v>
      </c>
      <c r="C37" s="1" t="s">
        <v>1525</v>
      </c>
      <c r="D37" s="1" t="s">
        <v>1606</v>
      </c>
      <c r="E37" s="1" t="s">
        <v>961</v>
      </c>
      <c r="F37" s="23" t="s">
        <v>873</v>
      </c>
      <c r="G37" s="7" t="s">
        <v>9</v>
      </c>
      <c r="H37" s="83" t="s">
        <v>9</v>
      </c>
      <c r="I37" s="83" t="s">
        <v>9</v>
      </c>
      <c r="J37" s="7" t="s">
        <v>9</v>
      </c>
      <c r="K37" s="7" t="s">
        <v>9</v>
      </c>
      <c r="L37" s="24" t="str">
        <f t="shared" si="0"/>
        <v>Arquitetônicos</v>
      </c>
      <c r="M37" s="24" t="str">
        <f t="shared" si="1"/>
        <v>Elementos.de.Coberturas</v>
      </c>
      <c r="N37" s="24" t="str">
        <f t="shared" si="2"/>
        <v>Telhados</v>
      </c>
      <c r="O37" s="24" t="str">
        <f t="shared" si="3"/>
        <v>Telhado</v>
      </c>
      <c r="P37" s="19" t="s">
        <v>1512</v>
      </c>
      <c r="Q37" s="19" t="s">
        <v>1513</v>
      </c>
      <c r="R37" s="19" t="s">
        <v>1646</v>
      </c>
      <c r="S37" s="43" t="s">
        <v>9</v>
      </c>
      <c r="T37" s="25" t="str">
        <f t="shared" si="4"/>
        <v>Arquitetônicos</v>
      </c>
      <c r="U37" s="25" t="str">
        <f t="shared" si="5"/>
        <v>Elementos de Coberturas</v>
      </c>
      <c r="V37" s="25" t="str">
        <f t="shared" si="6"/>
        <v>Telhados</v>
      </c>
      <c r="W37" s="19" t="s">
        <v>74</v>
      </c>
      <c r="X37" s="57" t="str">
        <f t="shared" si="7"/>
        <v>Key-ARQ-37</v>
      </c>
      <c r="Y37" s="19" t="s">
        <v>1417</v>
      </c>
      <c r="Z37" s="25" t="s">
        <v>9</v>
      </c>
      <c r="AA37" s="25" t="s">
        <v>1328</v>
      </c>
      <c r="AB37" s="25" t="s">
        <v>9</v>
      </c>
      <c r="AC37" s="25" t="s">
        <v>1567</v>
      </c>
      <c r="AD37" s="25" t="s">
        <v>9</v>
      </c>
    </row>
    <row r="38" spans="1:30" ht="6.65" customHeight="1" x14ac:dyDescent="0.4">
      <c r="A38" s="21">
        <v>38</v>
      </c>
      <c r="B38" s="1" t="s">
        <v>1524</v>
      </c>
      <c r="C38" s="1" t="s">
        <v>1525</v>
      </c>
      <c r="D38" s="1" t="s">
        <v>1606</v>
      </c>
      <c r="E38" s="1" t="s">
        <v>961</v>
      </c>
      <c r="F38" s="23" t="s">
        <v>947</v>
      </c>
      <c r="G38" s="7" t="s">
        <v>9</v>
      </c>
      <c r="H38" s="83" t="s">
        <v>9</v>
      </c>
      <c r="I38" s="83" t="s">
        <v>9</v>
      </c>
      <c r="J38" s="7" t="s">
        <v>9</v>
      </c>
      <c r="K38" s="7" t="s">
        <v>9</v>
      </c>
      <c r="L38" s="24" t="str">
        <f t="shared" si="0"/>
        <v>Arquitetônicos</v>
      </c>
      <c r="M38" s="24" t="str">
        <f t="shared" si="1"/>
        <v>Elementos.de.Coberturas</v>
      </c>
      <c r="N38" s="24" t="str">
        <f t="shared" si="2"/>
        <v>Telhados</v>
      </c>
      <c r="O38" s="24" t="str">
        <f t="shared" si="3"/>
        <v>Telhado Verde</v>
      </c>
      <c r="P38" s="19" t="s">
        <v>962</v>
      </c>
      <c r="Q38" s="19" t="s">
        <v>963</v>
      </c>
      <c r="R38" s="19" t="s">
        <v>1647</v>
      </c>
      <c r="S38" s="43" t="s">
        <v>9</v>
      </c>
      <c r="T38" s="25" t="str">
        <f t="shared" si="4"/>
        <v>Arquitetônicos</v>
      </c>
      <c r="U38" s="25" t="str">
        <f t="shared" si="5"/>
        <v>Elementos de Coberturas</v>
      </c>
      <c r="V38" s="25" t="str">
        <f t="shared" si="6"/>
        <v>Telhados</v>
      </c>
      <c r="W38" s="19" t="s">
        <v>74</v>
      </c>
      <c r="X38" s="57" t="str">
        <f t="shared" si="7"/>
        <v>Key-ARQ-38</v>
      </c>
      <c r="Y38" s="19" t="s">
        <v>1417</v>
      </c>
      <c r="Z38" s="25" t="s">
        <v>9</v>
      </c>
      <c r="AA38" s="25" t="s">
        <v>1328</v>
      </c>
      <c r="AB38" s="25" t="s">
        <v>9</v>
      </c>
      <c r="AC38" s="25" t="s">
        <v>1567</v>
      </c>
      <c r="AD38" s="25" t="s">
        <v>9</v>
      </c>
    </row>
    <row r="39" spans="1:30" ht="6.65" customHeight="1" x14ac:dyDescent="0.4">
      <c r="A39" s="21">
        <v>39</v>
      </c>
      <c r="B39" s="1" t="s">
        <v>1524</v>
      </c>
      <c r="C39" s="1" t="s">
        <v>1525</v>
      </c>
      <c r="D39" s="1" t="s">
        <v>1606</v>
      </c>
      <c r="E39" s="1" t="s">
        <v>961</v>
      </c>
      <c r="F39" s="23" t="s">
        <v>899</v>
      </c>
      <c r="G39" s="7" t="s">
        <v>9</v>
      </c>
      <c r="H39" s="83" t="s">
        <v>9</v>
      </c>
      <c r="I39" s="83" t="s">
        <v>9</v>
      </c>
      <c r="J39" s="7" t="s">
        <v>9</v>
      </c>
      <c r="K39" s="7" t="s">
        <v>9</v>
      </c>
      <c r="L39" s="24" t="str">
        <f t="shared" ref="L39:L137" si="8">CONCATENATE("", C39)</f>
        <v>Arquitetônicos</v>
      </c>
      <c r="M39" s="24" t="str">
        <f t="shared" ref="M39:M137" si="9">CONCATENATE("", D39)</f>
        <v>Elementos.de.Coberturas</v>
      </c>
      <c r="N39" s="24" t="str">
        <f t="shared" ref="N39:N137" si="10">(SUBSTITUTE(SUBSTITUTE(CONCATENATE("",E39),"."," ")," De "," de "))</f>
        <v>Telhados</v>
      </c>
      <c r="O39" s="24" t="str">
        <f t="shared" ref="O39:O137" si="11">(SUBSTITUTE(SUBSTITUTE(CONCATENATE("",F39),"."," ")," De "," de "))</f>
        <v>Telhado Barril</v>
      </c>
      <c r="P39" s="19" t="s">
        <v>874</v>
      </c>
      <c r="Q39" s="19" t="s">
        <v>976</v>
      </c>
      <c r="R39" s="19" t="s">
        <v>1648</v>
      </c>
      <c r="S39" s="43" t="s">
        <v>9</v>
      </c>
      <c r="T39" s="25" t="str">
        <f t="shared" ref="T39:T137" si="12">SUBSTITUTE(C39, ".", " ")</f>
        <v>Arquitetônicos</v>
      </c>
      <c r="U39" s="25" t="str">
        <f t="shared" ref="U39:U137" si="13">SUBSTITUTE(D39, ".", " ")</f>
        <v>Elementos de Coberturas</v>
      </c>
      <c r="V39" s="25" t="str">
        <f t="shared" ref="V39:V137" si="14">SUBSTITUTE(E39, ".", " ")</f>
        <v>Telhados</v>
      </c>
      <c r="W39" s="19" t="s">
        <v>74</v>
      </c>
      <c r="X39" s="57" t="str">
        <f t="shared" ref="X39:X137" si="15">CONCATENATE("Key-ARQ-",A39)</f>
        <v>Key-ARQ-39</v>
      </c>
      <c r="Y39" s="19" t="s">
        <v>1417</v>
      </c>
      <c r="Z39" s="25" t="s">
        <v>9</v>
      </c>
      <c r="AA39" s="25" t="s">
        <v>1329</v>
      </c>
      <c r="AB39" s="25" t="s">
        <v>9</v>
      </c>
      <c r="AC39" s="25" t="s">
        <v>1567</v>
      </c>
      <c r="AD39" s="25" t="s">
        <v>9</v>
      </c>
    </row>
    <row r="40" spans="1:30" ht="6.65" customHeight="1" x14ac:dyDescent="0.4">
      <c r="A40" s="21">
        <v>40</v>
      </c>
      <c r="B40" s="1" t="s">
        <v>1524</v>
      </c>
      <c r="C40" s="1" t="s">
        <v>1525</v>
      </c>
      <c r="D40" s="1" t="s">
        <v>1606</v>
      </c>
      <c r="E40" s="1" t="s">
        <v>961</v>
      </c>
      <c r="F40" s="23" t="s">
        <v>900</v>
      </c>
      <c r="G40" s="7" t="s">
        <v>9</v>
      </c>
      <c r="H40" s="83" t="s">
        <v>9</v>
      </c>
      <c r="I40" s="83" t="s">
        <v>9</v>
      </c>
      <c r="J40" s="7" t="s">
        <v>9</v>
      </c>
      <c r="K40" s="7" t="s">
        <v>9</v>
      </c>
      <c r="L40" s="24" t="str">
        <f t="shared" si="8"/>
        <v>Arquitetônicos</v>
      </c>
      <c r="M40" s="24" t="str">
        <f t="shared" si="9"/>
        <v>Elementos.de.Coberturas</v>
      </c>
      <c r="N40" s="24" t="str">
        <f t="shared" si="10"/>
        <v>Telhados</v>
      </c>
      <c r="O40" s="24" t="str">
        <f t="shared" si="11"/>
        <v>Telhado Borboleta</v>
      </c>
      <c r="P40" s="19" t="s">
        <v>864</v>
      </c>
      <c r="Q40" s="19" t="s">
        <v>964</v>
      </c>
      <c r="R40" s="19" t="s">
        <v>1649</v>
      </c>
      <c r="S40" s="43" t="s">
        <v>9</v>
      </c>
      <c r="T40" s="25" t="str">
        <f t="shared" si="12"/>
        <v>Arquitetônicos</v>
      </c>
      <c r="U40" s="25" t="str">
        <f t="shared" si="13"/>
        <v>Elementos de Coberturas</v>
      </c>
      <c r="V40" s="25" t="str">
        <f t="shared" si="14"/>
        <v>Telhados</v>
      </c>
      <c r="W40" s="19" t="s">
        <v>74</v>
      </c>
      <c r="X40" s="57" t="str">
        <f t="shared" si="15"/>
        <v>Key-ARQ-40</v>
      </c>
      <c r="Y40" s="19" t="s">
        <v>1417</v>
      </c>
      <c r="Z40" s="25" t="s">
        <v>9</v>
      </c>
      <c r="AA40" s="25" t="s">
        <v>1330</v>
      </c>
      <c r="AB40" s="25" t="s">
        <v>9</v>
      </c>
      <c r="AC40" s="25" t="s">
        <v>1567</v>
      </c>
      <c r="AD40" s="25" t="s">
        <v>9</v>
      </c>
    </row>
    <row r="41" spans="1:30" ht="6.65" customHeight="1" x14ac:dyDescent="0.4">
      <c r="A41" s="21">
        <v>41</v>
      </c>
      <c r="B41" s="1" t="s">
        <v>1524</v>
      </c>
      <c r="C41" s="1" t="s">
        <v>1525</v>
      </c>
      <c r="D41" s="1" t="s">
        <v>1606</v>
      </c>
      <c r="E41" s="1" t="s">
        <v>961</v>
      </c>
      <c r="F41" s="23" t="s">
        <v>901</v>
      </c>
      <c r="G41" s="7" t="s">
        <v>9</v>
      </c>
      <c r="H41" s="83" t="s">
        <v>9</v>
      </c>
      <c r="I41" s="83" t="s">
        <v>9</v>
      </c>
      <c r="J41" s="7" t="s">
        <v>9</v>
      </c>
      <c r="K41" s="7" t="s">
        <v>9</v>
      </c>
      <c r="L41" s="24" t="str">
        <f t="shared" si="8"/>
        <v>Arquitetônicos</v>
      </c>
      <c r="M41" s="24" t="str">
        <f t="shared" si="9"/>
        <v>Elementos.de.Coberturas</v>
      </c>
      <c r="N41" s="24" t="str">
        <f t="shared" si="10"/>
        <v>Telhados</v>
      </c>
      <c r="O41" s="24" t="str">
        <f t="shared" si="11"/>
        <v>Telhado Cúpula</v>
      </c>
      <c r="P41" s="19" t="s">
        <v>875</v>
      </c>
      <c r="Q41" s="19" t="s">
        <v>965</v>
      </c>
      <c r="R41" s="19" t="s">
        <v>1650</v>
      </c>
      <c r="S41" s="43" t="s">
        <v>9</v>
      </c>
      <c r="T41" s="25" t="str">
        <f t="shared" si="12"/>
        <v>Arquitetônicos</v>
      </c>
      <c r="U41" s="25" t="str">
        <f t="shared" si="13"/>
        <v>Elementos de Coberturas</v>
      </c>
      <c r="V41" s="25" t="str">
        <f t="shared" si="14"/>
        <v>Telhados</v>
      </c>
      <c r="W41" s="19" t="s">
        <v>74</v>
      </c>
      <c r="X41" s="57" t="str">
        <f t="shared" si="15"/>
        <v>Key-ARQ-41</v>
      </c>
      <c r="Y41" s="19" t="s">
        <v>1417</v>
      </c>
      <c r="Z41" s="25" t="s">
        <v>9</v>
      </c>
      <c r="AA41" s="25" t="s">
        <v>1331</v>
      </c>
      <c r="AB41" s="25" t="s">
        <v>9</v>
      </c>
      <c r="AC41" s="25" t="s">
        <v>1567</v>
      </c>
      <c r="AD41" s="25" t="s">
        <v>9</v>
      </c>
    </row>
    <row r="42" spans="1:30" ht="6.65" customHeight="1" x14ac:dyDescent="0.4">
      <c r="A42" s="21">
        <v>42</v>
      </c>
      <c r="B42" s="1" t="s">
        <v>1524</v>
      </c>
      <c r="C42" s="1" t="s">
        <v>1525</v>
      </c>
      <c r="D42" s="1" t="s">
        <v>1606</v>
      </c>
      <c r="E42" s="1" t="s">
        <v>961</v>
      </c>
      <c r="F42" s="23" t="s">
        <v>902</v>
      </c>
      <c r="G42" s="7" t="s">
        <v>9</v>
      </c>
      <c r="H42" s="83" t="s">
        <v>9</v>
      </c>
      <c r="I42" s="83" t="s">
        <v>9</v>
      </c>
      <c r="J42" s="7" t="s">
        <v>9</v>
      </c>
      <c r="K42" s="7" t="s">
        <v>9</v>
      </c>
      <c r="L42" s="24" t="str">
        <f t="shared" si="8"/>
        <v>Arquitetônicos</v>
      </c>
      <c r="M42" s="24" t="str">
        <f t="shared" si="9"/>
        <v>Elementos.de.Coberturas</v>
      </c>
      <c r="N42" s="24" t="str">
        <f t="shared" si="10"/>
        <v>Telhados</v>
      </c>
      <c r="O42" s="24" t="str">
        <f t="shared" si="11"/>
        <v>Telhado Plano</v>
      </c>
      <c r="P42" s="19" t="s">
        <v>876</v>
      </c>
      <c r="Q42" s="19" t="s">
        <v>966</v>
      </c>
      <c r="R42" s="19" t="s">
        <v>1651</v>
      </c>
      <c r="S42" s="43" t="s">
        <v>9</v>
      </c>
      <c r="T42" s="25" t="str">
        <f t="shared" si="12"/>
        <v>Arquitetônicos</v>
      </c>
      <c r="U42" s="25" t="str">
        <f t="shared" si="13"/>
        <v>Elementos de Coberturas</v>
      </c>
      <c r="V42" s="25" t="str">
        <f t="shared" si="14"/>
        <v>Telhados</v>
      </c>
      <c r="W42" s="19" t="s">
        <v>74</v>
      </c>
      <c r="X42" s="57" t="str">
        <f t="shared" si="15"/>
        <v>Key-ARQ-42</v>
      </c>
      <c r="Y42" s="19" t="s">
        <v>1417</v>
      </c>
      <c r="Z42" s="25" t="s">
        <v>9</v>
      </c>
      <c r="AA42" s="25" t="s">
        <v>1332</v>
      </c>
      <c r="AB42" s="25" t="s">
        <v>9</v>
      </c>
      <c r="AC42" s="25" t="s">
        <v>1567</v>
      </c>
      <c r="AD42" s="25" t="s">
        <v>9</v>
      </c>
    </row>
    <row r="43" spans="1:30" ht="6.65" customHeight="1" x14ac:dyDescent="0.4">
      <c r="A43" s="21">
        <v>43</v>
      </c>
      <c r="B43" s="1" t="s">
        <v>1524</v>
      </c>
      <c r="C43" s="1" t="s">
        <v>1525</v>
      </c>
      <c r="D43" s="1" t="s">
        <v>1606</v>
      </c>
      <c r="E43" s="1" t="s">
        <v>961</v>
      </c>
      <c r="F43" s="23" t="s">
        <v>944</v>
      </c>
      <c r="G43" s="7" t="s">
        <v>9</v>
      </c>
      <c r="H43" s="83" t="s">
        <v>9</v>
      </c>
      <c r="I43" s="83" t="s">
        <v>9</v>
      </c>
      <c r="J43" s="7" t="s">
        <v>9</v>
      </c>
      <c r="K43" s="7" t="s">
        <v>9</v>
      </c>
      <c r="L43" s="24" t="str">
        <f t="shared" si="8"/>
        <v>Arquitetônicos</v>
      </c>
      <c r="M43" s="24" t="str">
        <f t="shared" si="9"/>
        <v>Elementos.de.Coberturas</v>
      </c>
      <c r="N43" s="24" t="str">
        <f t="shared" si="10"/>
        <v>Telhados</v>
      </c>
      <c r="O43" s="24" t="str">
        <f t="shared" si="11"/>
        <v>Telhado Livre</v>
      </c>
      <c r="P43" s="19" t="s">
        <v>877</v>
      </c>
      <c r="Q43" s="19" t="s">
        <v>967</v>
      </c>
      <c r="R43" s="19" t="s">
        <v>1652</v>
      </c>
      <c r="S43" s="43" t="s">
        <v>9</v>
      </c>
      <c r="T43" s="25" t="str">
        <f t="shared" si="12"/>
        <v>Arquitetônicos</v>
      </c>
      <c r="U43" s="25" t="str">
        <f t="shared" si="13"/>
        <v>Elementos de Coberturas</v>
      </c>
      <c r="V43" s="25" t="str">
        <f t="shared" si="14"/>
        <v>Telhados</v>
      </c>
      <c r="W43" s="19" t="s">
        <v>74</v>
      </c>
      <c r="X43" s="57" t="str">
        <f t="shared" si="15"/>
        <v>Key-ARQ-43</v>
      </c>
      <c r="Y43" s="19" t="s">
        <v>1417</v>
      </c>
      <c r="Z43" s="25" t="s">
        <v>9</v>
      </c>
      <c r="AA43" s="25" t="s">
        <v>1333</v>
      </c>
      <c r="AB43" s="25" t="s">
        <v>9</v>
      </c>
      <c r="AC43" s="25" t="s">
        <v>1567</v>
      </c>
      <c r="AD43" s="25" t="s">
        <v>9</v>
      </c>
    </row>
    <row r="44" spans="1:30" ht="6.65" customHeight="1" x14ac:dyDescent="0.4">
      <c r="A44" s="21">
        <v>44</v>
      </c>
      <c r="B44" s="1" t="s">
        <v>1524</v>
      </c>
      <c r="C44" s="1" t="s">
        <v>1525</v>
      </c>
      <c r="D44" s="1" t="s">
        <v>1606</v>
      </c>
      <c r="E44" s="1" t="s">
        <v>961</v>
      </c>
      <c r="F44" s="23" t="s">
        <v>909</v>
      </c>
      <c r="G44" s="7" t="s">
        <v>9</v>
      </c>
      <c r="H44" s="83" t="s">
        <v>9</v>
      </c>
      <c r="I44" s="83" t="s">
        <v>9</v>
      </c>
      <c r="J44" s="7" t="s">
        <v>9</v>
      </c>
      <c r="K44" s="7" t="s">
        <v>9</v>
      </c>
      <c r="L44" s="24" t="str">
        <f t="shared" si="8"/>
        <v>Arquitetônicos</v>
      </c>
      <c r="M44" s="24" t="str">
        <f t="shared" si="9"/>
        <v>Elementos.de.Coberturas</v>
      </c>
      <c r="N44" s="24" t="str">
        <f t="shared" si="10"/>
        <v>Telhados</v>
      </c>
      <c r="O44" s="24" t="str">
        <f t="shared" si="11"/>
        <v>Telhado Inclinado</v>
      </c>
      <c r="P44" s="19" t="s">
        <v>884</v>
      </c>
      <c r="Q44" s="19" t="s">
        <v>968</v>
      </c>
      <c r="R44" s="19" t="s">
        <v>1653</v>
      </c>
      <c r="S44" s="43" t="s">
        <v>9</v>
      </c>
      <c r="T44" s="25" t="str">
        <f t="shared" si="12"/>
        <v>Arquitetônicos</v>
      </c>
      <c r="U44" s="25" t="str">
        <f t="shared" si="13"/>
        <v>Elementos de Coberturas</v>
      </c>
      <c r="V44" s="25" t="str">
        <f t="shared" si="14"/>
        <v>Telhados</v>
      </c>
      <c r="W44" s="19" t="s">
        <v>74</v>
      </c>
      <c r="X44" s="57" t="str">
        <f t="shared" si="15"/>
        <v>Key-ARQ-44</v>
      </c>
      <c r="Y44" s="19" t="s">
        <v>1417</v>
      </c>
      <c r="Z44" s="25" t="s">
        <v>9</v>
      </c>
      <c r="AA44" s="25" t="s">
        <v>1334</v>
      </c>
      <c r="AB44" s="25" t="s">
        <v>9</v>
      </c>
      <c r="AC44" s="25" t="s">
        <v>1567</v>
      </c>
      <c r="AD44" s="25" t="s">
        <v>9</v>
      </c>
    </row>
    <row r="45" spans="1:30" ht="6.65" customHeight="1" x14ac:dyDescent="0.4">
      <c r="A45" s="21">
        <v>45</v>
      </c>
      <c r="B45" s="1" t="s">
        <v>1524</v>
      </c>
      <c r="C45" s="1" t="s">
        <v>1525</v>
      </c>
      <c r="D45" s="1" t="s">
        <v>1606</v>
      </c>
      <c r="E45" s="1" t="s">
        <v>961</v>
      </c>
      <c r="F45" s="23" t="s">
        <v>903</v>
      </c>
      <c r="G45" s="7" t="s">
        <v>9</v>
      </c>
      <c r="H45" s="83" t="s">
        <v>9</v>
      </c>
      <c r="I45" s="83" t="s">
        <v>9</v>
      </c>
      <c r="J45" s="7" t="s">
        <v>9</v>
      </c>
      <c r="K45" s="7" t="s">
        <v>9</v>
      </c>
      <c r="L45" s="24" t="str">
        <f t="shared" si="8"/>
        <v>Arquitetônicos</v>
      </c>
      <c r="M45" s="24" t="str">
        <f t="shared" si="9"/>
        <v>Elementos.de.Coberturas</v>
      </c>
      <c r="N45" s="24" t="str">
        <f t="shared" si="10"/>
        <v>Telhados</v>
      </c>
      <c r="O45" s="24" t="str">
        <f t="shared" si="11"/>
        <v>Telhado 2 Aguas</v>
      </c>
      <c r="P45" s="19" t="s">
        <v>878</v>
      </c>
      <c r="Q45" s="19" t="s">
        <v>969</v>
      </c>
      <c r="R45" s="19" t="s">
        <v>1654</v>
      </c>
      <c r="S45" s="43" t="s">
        <v>9</v>
      </c>
      <c r="T45" s="25" t="str">
        <f t="shared" si="12"/>
        <v>Arquitetônicos</v>
      </c>
      <c r="U45" s="25" t="str">
        <f t="shared" si="13"/>
        <v>Elementos de Coberturas</v>
      </c>
      <c r="V45" s="25" t="str">
        <f t="shared" si="14"/>
        <v>Telhados</v>
      </c>
      <c r="W45" s="19" t="s">
        <v>74</v>
      </c>
      <c r="X45" s="57" t="str">
        <f t="shared" si="15"/>
        <v>Key-ARQ-45</v>
      </c>
      <c r="Y45" s="19" t="s">
        <v>1417</v>
      </c>
      <c r="Z45" s="25" t="s">
        <v>9</v>
      </c>
      <c r="AA45" s="25" t="s">
        <v>1335</v>
      </c>
      <c r="AB45" s="25" t="s">
        <v>9</v>
      </c>
      <c r="AC45" s="25" t="s">
        <v>1567</v>
      </c>
      <c r="AD45" s="25" t="s">
        <v>9</v>
      </c>
    </row>
    <row r="46" spans="1:30" ht="6.65" customHeight="1" x14ac:dyDescent="0.4">
      <c r="A46" s="21">
        <v>46</v>
      </c>
      <c r="B46" s="1" t="s">
        <v>1524</v>
      </c>
      <c r="C46" s="1" t="s">
        <v>1525</v>
      </c>
      <c r="D46" s="1" t="s">
        <v>1606</v>
      </c>
      <c r="E46" s="1" t="s">
        <v>961</v>
      </c>
      <c r="F46" s="23" t="s">
        <v>905</v>
      </c>
      <c r="G46" s="7" t="s">
        <v>9</v>
      </c>
      <c r="H46" s="83" t="s">
        <v>9</v>
      </c>
      <c r="I46" s="83" t="s">
        <v>9</v>
      </c>
      <c r="J46" s="7" t="s">
        <v>9</v>
      </c>
      <c r="K46" s="7" t="s">
        <v>9</v>
      </c>
      <c r="L46" s="24" t="str">
        <f t="shared" si="8"/>
        <v>Arquitetônicos</v>
      </c>
      <c r="M46" s="24" t="str">
        <f t="shared" si="9"/>
        <v>Elementos.de.Coberturas</v>
      </c>
      <c r="N46" s="24" t="str">
        <f t="shared" si="10"/>
        <v>Telhados</v>
      </c>
      <c r="O46" s="24" t="str">
        <f t="shared" si="11"/>
        <v>Telhado 4 Aguas</v>
      </c>
      <c r="P46" s="19" t="s">
        <v>879</v>
      </c>
      <c r="Q46" s="19" t="s">
        <v>970</v>
      </c>
      <c r="R46" s="19" t="s">
        <v>1655</v>
      </c>
      <c r="S46" s="43" t="s">
        <v>9</v>
      </c>
      <c r="T46" s="25" t="str">
        <f t="shared" si="12"/>
        <v>Arquitetônicos</v>
      </c>
      <c r="U46" s="25" t="str">
        <f t="shared" si="13"/>
        <v>Elementos de Coberturas</v>
      </c>
      <c r="V46" s="25" t="str">
        <f t="shared" si="14"/>
        <v>Telhados</v>
      </c>
      <c r="W46" s="19" t="s">
        <v>74</v>
      </c>
      <c r="X46" s="57" t="str">
        <f t="shared" si="15"/>
        <v>Key-ARQ-46</v>
      </c>
      <c r="Y46" s="19" t="s">
        <v>1417</v>
      </c>
      <c r="Z46" s="25" t="s">
        <v>9</v>
      </c>
      <c r="AA46" s="25" t="s">
        <v>1336</v>
      </c>
      <c r="AB46" s="25" t="s">
        <v>9</v>
      </c>
      <c r="AC46" s="25" t="s">
        <v>1567</v>
      </c>
      <c r="AD46" s="25" t="s">
        <v>9</v>
      </c>
    </row>
    <row r="47" spans="1:30" ht="6.65" customHeight="1" x14ac:dyDescent="0.4">
      <c r="A47" s="21">
        <v>47</v>
      </c>
      <c r="B47" s="1" t="s">
        <v>1524</v>
      </c>
      <c r="C47" s="1" t="s">
        <v>1525</v>
      </c>
      <c r="D47" s="1" t="s">
        <v>1606</v>
      </c>
      <c r="E47" s="1" t="s">
        <v>961</v>
      </c>
      <c r="F47" s="23" t="s">
        <v>1160</v>
      </c>
      <c r="G47" s="7" t="s">
        <v>9</v>
      </c>
      <c r="H47" s="83" t="s">
        <v>9</v>
      </c>
      <c r="I47" s="83" t="s">
        <v>9</v>
      </c>
      <c r="J47" s="7" t="s">
        <v>9</v>
      </c>
      <c r="K47" s="7" t="s">
        <v>9</v>
      </c>
      <c r="L47" s="24" t="str">
        <f t="shared" si="8"/>
        <v>Arquitetônicos</v>
      </c>
      <c r="M47" s="24" t="str">
        <f t="shared" si="9"/>
        <v>Elementos.de.Coberturas</v>
      </c>
      <c r="N47" s="24" t="str">
        <f t="shared" si="10"/>
        <v>Telhados</v>
      </c>
      <c r="O47" s="24" t="str">
        <f t="shared" si="11"/>
        <v>Telhado Agua Furtada</v>
      </c>
      <c r="P47" s="19" t="s">
        <v>880</v>
      </c>
      <c r="Q47" s="19" t="s">
        <v>971</v>
      </c>
      <c r="R47" s="19" t="s">
        <v>1656</v>
      </c>
      <c r="S47" s="43" t="s">
        <v>9</v>
      </c>
      <c r="T47" s="25" t="str">
        <f t="shared" si="12"/>
        <v>Arquitetônicos</v>
      </c>
      <c r="U47" s="25" t="str">
        <f t="shared" si="13"/>
        <v>Elementos de Coberturas</v>
      </c>
      <c r="V47" s="25" t="str">
        <f t="shared" si="14"/>
        <v>Telhados</v>
      </c>
      <c r="W47" s="19" t="s">
        <v>74</v>
      </c>
      <c r="X47" s="57" t="str">
        <f t="shared" si="15"/>
        <v>Key-ARQ-47</v>
      </c>
      <c r="Y47" s="19" t="s">
        <v>1417</v>
      </c>
      <c r="Z47" s="25" t="s">
        <v>9</v>
      </c>
      <c r="AA47" s="25" t="s">
        <v>1337</v>
      </c>
      <c r="AB47" s="25" t="s">
        <v>9</v>
      </c>
      <c r="AC47" s="25" t="s">
        <v>1567</v>
      </c>
      <c r="AD47" s="25" t="s">
        <v>9</v>
      </c>
    </row>
    <row r="48" spans="1:30" ht="6.65" customHeight="1" x14ac:dyDescent="0.4">
      <c r="A48" s="21">
        <v>48</v>
      </c>
      <c r="B48" s="1" t="s">
        <v>1524</v>
      </c>
      <c r="C48" s="1" t="s">
        <v>1525</v>
      </c>
      <c r="D48" s="1" t="s">
        <v>1606</v>
      </c>
      <c r="E48" s="1" t="s">
        <v>961</v>
      </c>
      <c r="F48" s="23" t="s">
        <v>906</v>
      </c>
      <c r="G48" s="7" t="s">
        <v>9</v>
      </c>
      <c r="H48" s="83" t="s">
        <v>9</v>
      </c>
      <c r="I48" s="83" t="s">
        <v>9</v>
      </c>
      <c r="J48" s="7" t="s">
        <v>9</v>
      </c>
      <c r="K48" s="7" t="s">
        <v>9</v>
      </c>
      <c r="L48" s="24" t="str">
        <f t="shared" si="8"/>
        <v>Arquitetônicos</v>
      </c>
      <c r="M48" s="24" t="str">
        <f t="shared" si="9"/>
        <v>Elementos.de.Coberturas</v>
      </c>
      <c r="N48" s="24" t="str">
        <f t="shared" si="10"/>
        <v>Telhados</v>
      </c>
      <c r="O48" s="24" t="str">
        <f t="shared" si="11"/>
        <v>Telhado Mansarda</v>
      </c>
      <c r="P48" s="19" t="s">
        <v>881</v>
      </c>
      <c r="Q48" s="19" t="s">
        <v>972</v>
      </c>
      <c r="R48" s="19" t="s">
        <v>1657</v>
      </c>
      <c r="S48" s="43" t="s">
        <v>9</v>
      </c>
      <c r="T48" s="25" t="str">
        <f t="shared" si="12"/>
        <v>Arquitetônicos</v>
      </c>
      <c r="U48" s="25" t="str">
        <f t="shared" si="13"/>
        <v>Elementos de Coberturas</v>
      </c>
      <c r="V48" s="25" t="str">
        <f t="shared" si="14"/>
        <v>Telhados</v>
      </c>
      <c r="W48" s="19" t="s">
        <v>74</v>
      </c>
      <c r="X48" s="57" t="str">
        <f t="shared" si="15"/>
        <v>Key-ARQ-48</v>
      </c>
      <c r="Y48" s="19" t="s">
        <v>1417</v>
      </c>
      <c r="Z48" s="25" t="s">
        <v>9</v>
      </c>
      <c r="AA48" s="25" t="s">
        <v>1338</v>
      </c>
      <c r="AB48" s="25" t="s">
        <v>9</v>
      </c>
      <c r="AC48" s="25" t="s">
        <v>1567</v>
      </c>
      <c r="AD48" s="25" t="s">
        <v>9</v>
      </c>
    </row>
    <row r="49" spans="1:30" ht="6.65" customHeight="1" x14ac:dyDescent="0.4">
      <c r="A49" s="21">
        <v>49</v>
      </c>
      <c r="B49" s="1" t="s">
        <v>1524</v>
      </c>
      <c r="C49" s="1" t="s">
        <v>1525</v>
      </c>
      <c r="D49" s="1" t="s">
        <v>1606</v>
      </c>
      <c r="E49" s="1" t="s">
        <v>961</v>
      </c>
      <c r="F49" s="23" t="s">
        <v>904</v>
      </c>
      <c r="G49" s="7" t="s">
        <v>9</v>
      </c>
      <c r="H49" s="83" t="s">
        <v>9</v>
      </c>
      <c r="I49" s="83" t="s">
        <v>9</v>
      </c>
      <c r="J49" s="7" t="s">
        <v>9</v>
      </c>
      <c r="K49" s="7" t="s">
        <v>9</v>
      </c>
      <c r="L49" s="24" t="str">
        <f t="shared" si="8"/>
        <v>Arquitetônicos</v>
      </c>
      <c r="M49" s="24" t="str">
        <f t="shared" si="9"/>
        <v>Elementos.de.Coberturas</v>
      </c>
      <c r="N49" s="24" t="str">
        <f t="shared" si="10"/>
        <v>Telhados</v>
      </c>
      <c r="O49" s="24" t="str">
        <f t="shared" si="11"/>
        <v>Telhado Mansarda Americana</v>
      </c>
      <c r="P49" s="19" t="s">
        <v>878</v>
      </c>
      <c r="Q49" s="19" t="s">
        <v>973</v>
      </c>
      <c r="R49" s="19" t="s">
        <v>1654</v>
      </c>
      <c r="S49" s="43" t="s">
        <v>9</v>
      </c>
      <c r="T49" s="25" t="str">
        <f t="shared" si="12"/>
        <v>Arquitetônicos</v>
      </c>
      <c r="U49" s="25" t="str">
        <f t="shared" si="13"/>
        <v>Elementos de Coberturas</v>
      </c>
      <c r="V49" s="25" t="str">
        <f t="shared" si="14"/>
        <v>Telhados</v>
      </c>
      <c r="W49" s="19" t="s">
        <v>74</v>
      </c>
      <c r="X49" s="57" t="str">
        <f t="shared" si="15"/>
        <v>Key-ARQ-49</v>
      </c>
      <c r="Y49" s="19" t="s">
        <v>1417</v>
      </c>
      <c r="Z49" s="25" t="s">
        <v>9</v>
      </c>
      <c r="AA49" s="25" t="s">
        <v>1339</v>
      </c>
      <c r="AB49" s="25" t="s">
        <v>9</v>
      </c>
      <c r="AC49" s="25" t="s">
        <v>1567</v>
      </c>
      <c r="AD49" s="25" t="s">
        <v>9</v>
      </c>
    </row>
    <row r="50" spans="1:30" ht="6.65" customHeight="1" x14ac:dyDescent="0.4">
      <c r="A50" s="21">
        <v>50</v>
      </c>
      <c r="B50" s="1" t="s">
        <v>1524</v>
      </c>
      <c r="C50" s="1" t="s">
        <v>1525</v>
      </c>
      <c r="D50" s="1" t="s">
        <v>1606</v>
      </c>
      <c r="E50" s="1" t="s">
        <v>961</v>
      </c>
      <c r="F50" s="23" t="s">
        <v>907</v>
      </c>
      <c r="G50" s="7" t="s">
        <v>9</v>
      </c>
      <c r="H50" s="83" t="s">
        <v>9</v>
      </c>
      <c r="I50" s="83" t="s">
        <v>9</v>
      </c>
      <c r="J50" s="7" t="s">
        <v>9</v>
      </c>
      <c r="K50" s="7" t="s">
        <v>9</v>
      </c>
      <c r="L50" s="24" t="str">
        <f t="shared" si="8"/>
        <v>Arquitetônicos</v>
      </c>
      <c r="M50" s="24" t="str">
        <f t="shared" si="9"/>
        <v>Elementos.de.Coberturas</v>
      </c>
      <c r="N50" s="24" t="str">
        <f t="shared" si="10"/>
        <v>Telhados</v>
      </c>
      <c r="O50" s="24" t="str">
        <f t="shared" si="11"/>
        <v>Telhado Pavilhão</v>
      </c>
      <c r="P50" s="19" t="s">
        <v>882</v>
      </c>
      <c r="Q50" s="19" t="s">
        <v>974</v>
      </c>
      <c r="R50" s="19" t="s">
        <v>1658</v>
      </c>
      <c r="S50" s="43" t="s">
        <v>9</v>
      </c>
      <c r="T50" s="25" t="str">
        <f t="shared" si="12"/>
        <v>Arquitetônicos</v>
      </c>
      <c r="U50" s="25" t="str">
        <f t="shared" si="13"/>
        <v>Elementos de Coberturas</v>
      </c>
      <c r="V50" s="25" t="str">
        <f t="shared" si="14"/>
        <v>Telhados</v>
      </c>
      <c r="W50" s="19" t="s">
        <v>74</v>
      </c>
      <c r="X50" s="57" t="str">
        <f t="shared" si="15"/>
        <v>Key-ARQ-50</v>
      </c>
      <c r="Y50" s="19" t="s">
        <v>1417</v>
      </c>
      <c r="Z50" s="25" t="s">
        <v>9</v>
      </c>
      <c r="AA50" s="25" t="s">
        <v>1340</v>
      </c>
      <c r="AB50" s="25" t="s">
        <v>9</v>
      </c>
      <c r="AC50" s="25" t="s">
        <v>1567</v>
      </c>
      <c r="AD50" s="25" t="s">
        <v>9</v>
      </c>
    </row>
    <row r="51" spans="1:30" ht="6.65" customHeight="1" x14ac:dyDescent="0.4">
      <c r="A51" s="21">
        <v>51</v>
      </c>
      <c r="B51" s="1" t="s">
        <v>1524</v>
      </c>
      <c r="C51" s="1" t="s">
        <v>1525</v>
      </c>
      <c r="D51" s="1" t="s">
        <v>1606</v>
      </c>
      <c r="E51" s="1" t="s">
        <v>961</v>
      </c>
      <c r="F51" s="23" t="s">
        <v>908</v>
      </c>
      <c r="G51" s="7" t="s">
        <v>9</v>
      </c>
      <c r="H51" s="83" t="s">
        <v>9</v>
      </c>
      <c r="I51" s="83" t="s">
        <v>9</v>
      </c>
      <c r="J51" s="7" t="s">
        <v>9</v>
      </c>
      <c r="K51" s="7" t="s">
        <v>9</v>
      </c>
      <c r="L51" s="24" t="str">
        <f t="shared" si="8"/>
        <v>Arquitetônicos</v>
      </c>
      <c r="M51" s="24" t="str">
        <f t="shared" si="9"/>
        <v>Elementos.de.Coberturas</v>
      </c>
      <c r="N51" s="24" t="str">
        <f t="shared" si="10"/>
        <v>Telhados</v>
      </c>
      <c r="O51" s="24" t="str">
        <f t="shared" si="11"/>
        <v>Telhado Arco Iris</v>
      </c>
      <c r="P51" s="19" t="s">
        <v>883</v>
      </c>
      <c r="Q51" s="19" t="s">
        <v>975</v>
      </c>
      <c r="R51" s="19" t="s">
        <v>1659</v>
      </c>
      <c r="S51" s="43" t="s">
        <v>9</v>
      </c>
      <c r="T51" s="25" t="str">
        <f t="shared" si="12"/>
        <v>Arquitetônicos</v>
      </c>
      <c r="U51" s="25" t="str">
        <f t="shared" si="13"/>
        <v>Elementos de Coberturas</v>
      </c>
      <c r="V51" s="25" t="str">
        <f t="shared" si="14"/>
        <v>Telhados</v>
      </c>
      <c r="W51" s="19" t="s">
        <v>74</v>
      </c>
      <c r="X51" s="57" t="str">
        <f t="shared" si="15"/>
        <v>Key-ARQ-51</v>
      </c>
      <c r="Y51" s="19" t="s">
        <v>1417</v>
      </c>
      <c r="Z51" s="25" t="s">
        <v>9</v>
      </c>
      <c r="AA51" s="25" t="s">
        <v>1341</v>
      </c>
      <c r="AB51" s="25" t="s">
        <v>9</v>
      </c>
      <c r="AC51" s="25" t="s">
        <v>1567</v>
      </c>
      <c r="AD51" s="25" t="s">
        <v>9</v>
      </c>
    </row>
    <row r="52" spans="1:30" ht="6.65" customHeight="1" x14ac:dyDescent="0.4">
      <c r="A52" s="21">
        <v>52</v>
      </c>
      <c r="B52" s="1" t="s">
        <v>1524</v>
      </c>
      <c r="C52" s="1" t="s">
        <v>1525</v>
      </c>
      <c r="D52" s="1" t="s">
        <v>1606</v>
      </c>
      <c r="E52" s="1" t="s">
        <v>961</v>
      </c>
      <c r="F52" s="33" t="s">
        <v>910</v>
      </c>
      <c r="G52" s="7" t="s">
        <v>9</v>
      </c>
      <c r="H52" s="83" t="s">
        <v>9</v>
      </c>
      <c r="I52" s="83" t="s">
        <v>9</v>
      </c>
      <c r="J52" s="7" t="s">
        <v>9</v>
      </c>
      <c r="K52" s="7" t="s">
        <v>9</v>
      </c>
      <c r="L52" s="24" t="str">
        <f t="shared" si="8"/>
        <v>Arquitetônicos</v>
      </c>
      <c r="M52" s="24" t="str">
        <f t="shared" si="9"/>
        <v>Elementos.de.Coberturas</v>
      </c>
      <c r="N52" s="24" t="str">
        <f t="shared" si="10"/>
        <v>Telhados</v>
      </c>
      <c r="O52" s="24" t="str">
        <f t="shared" si="11"/>
        <v>Telhado Abertura</v>
      </c>
      <c r="P52" s="19" t="s">
        <v>887</v>
      </c>
      <c r="Q52" s="19" t="s">
        <v>888</v>
      </c>
      <c r="R52" s="19" t="s">
        <v>1660</v>
      </c>
      <c r="S52" s="43" t="s">
        <v>9</v>
      </c>
      <c r="T52" s="25" t="str">
        <f t="shared" si="12"/>
        <v>Arquitetônicos</v>
      </c>
      <c r="U52" s="25" t="str">
        <f t="shared" si="13"/>
        <v>Elementos de Coberturas</v>
      </c>
      <c r="V52" s="25" t="str">
        <f t="shared" si="14"/>
        <v>Telhados</v>
      </c>
      <c r="W52" s="19" t="s">
        <v>74</v>
      </c>
      <c r="X52" s="57" t="str">
        <f t="shared" si="15"/>
        <v>Key-ARQ-52</v>
      </c>
      <c r="Y52" s="19" t="s">
        <v>1418</v>
      </c>
      <c r="Z52" s="25" t="s">
        <v>9</v>
      </c>
      <c r="AA52" s="25" t="s">
        <v>1328</v>
      </c>
      <c r="AB52" s="25" t="s">
        <v>9</v>
      </c>
      <c r="AC52" s="25" t="s">
        <v>1567</v>
      </c>
      <c r="AD52" s="25" t="s">
        <v>9</v>
      </c>
    </row>
    <row r="53" spans="1:30" ht="6.65" customHeight="1" x14ac:dyDescent="0.4">
      <c r="A53" s="21">
        <v>53</v>
      </c>
      <c r="B53" s="1" t="s">
        <v>1524</v>
      </c>
      <c r="C53" s="1" t="s">
        <v>1525</v>
      </c>
      <c r="D53" s="1" t="s">
        <v>1606</v>
      </c>
      <c r="E53" s="1" t="s">
        <v>961</v>
      </c>
      <c r="F53" s="33" t="s">
        <v>911</v>
      </c>
      <c r="G53" s="7" t="s">
        <v>9</v>
      </c>
      <c r="H53" s="83" t="s">
        <v>9</v>
      </c>
      <c r="I53" s="83" t="s">
        <v>9</v>
      </c>
      <c r="J53" s="7" t="s">
        <v>9</v>
      </c>
      <c r="K53" s="7" t="s">
        <v>9</v>
      </c>
      <c r="L53" s="24" t="str">
        <f t="shared" si="8"/>
        <v>Arquitetônicos</v>
      </c>
      <c r="M53" s="24" t="str">
        <f t="shared" si="9"/>
        <v>Elementos.de.Coberturas</v>
      </c>
      <c r="N53" s="24" t="str">
        <f t="shared" si="10"/>
        <v>Telhados</v>
      </c>
      <c r="O53" s="24" t="str">
        <f t="shared" si="11"/>
        <v>Telhado Perímetro</v>
      </c>
      <c r="P53" s="19" t="s">
        <v>889</v>
      </c>
      <c r="Q53" s="19" t="s">
        <v>890</v>
      </c>
      <c r="R53" s="19" t="s">
        <v>1661</v>
      </c>
      <c r="S53" s="43" t="s">
        <v>9</v>
      </c>
      <c r="T53" s="25" t="str">
        <f t="shared" si="12"/>
        <v>Arquitetônicos</v>
      </c>
      <c r="U53" s="25" t="str">
        <f t="shared" si="13"/>
        <v>Elementos de Coberturas</v>
      </c>
      <c r="V53" s="25" t="str">
        <f t="shared" si="14"/>
        <v>Telhados</v>
      </c>
      <c r="W53" s="19" t="s">
        <v>74</v>
      </c>
      <c r="X53" s="57" t="str">
        <f t="shared" si="15"/>
        <v>Key-ARQ-53</v>
      </c>
      <c r="Y53" s="19" t="s">
        <v>1419</v>
      </c>
      <c r="Z53" s="25" t="s">
        <v>9</v>
      </c>
      <c r="AA53" s="25" t="s">
        <v>1328</v>
      </c>
      <c r="AB53" s="25" t="s">
        <v>9</v>
      </c>
      <c r="AC53" s="25" t="s">
        <v>1567</v>
      </c>
      <c r="AD53" s="25" t="s">
        <v>9</v>
      </c>
    </row>
    <row r="54" spans="1:30" ht="6.65" customHeight="1" x14ac:dyDescent="0.4">
      <c r="A54" s="21">
        <v>54</v>
      </c>
      <c r="B54" s="1" t="s">
        <v>1524</v>
      </c>
      <c r="C54" s="1" t="s">
        <v>1525</v>
      </c>
      <c r="D54" s="1" t="s">
        <v>1606</v>
      </c>
      <c r="E54" s="1" t="s">
        <v>1607</v>
      </c>
      <c r="F54" s="33" t="s">
        <v>946</v>
      </c>
      <c r="G54" s="7" t="s">
        <v>9</v>
      </c>
      <c r="H54" s="83" t="s">
        <v>9</v>
      </c>
      <c r="I54" s="83" t="s">
        <v>9</v>
      </c>
      <c r="J54" s="7" t="s">
        <v>9</v>
      </c>
      <c r="K54" s="7" t="s">
        <v>9</v>
      </c>
      <c r="L54" s="24" t="str">
        <f t="shared" si="8"/>
        <v>Arquitetônicos</v>
      </c>
      <c r="M54" s="24" t="str">
        <f t="shared" si="9"/>
        <v>Elementos.de.Coberturas</v>
      </c>
      <c r="N54" s="24" t="str">
        <f t="shared" si="10"/>
        <v>Telhados Beirais</v>
      </c>
      <c r="O54" s="24" t="str">
        <f t="shared" si="11"/>
        <v>Beiral Frente</v>
      </c>
      <c r="P54" s="19" t="s">
        <v>885</v>
      </c>
      <c r="Q54" s="19" t="s">
        <v>886</v>
      </c>
      <c r="R54" s="19" t="s">
        <v>1662</v>
      </c>
      <c r="S54" s="43" t="s">
        <v>9</v>
      </c>
      <c r="T54" s="25" t="str">
        <f t="shared" si="12"/>
        <v>Arquitetônicos</v>
      </c>
      <c r="U54" s="25" t="str">
        <f t="shared" si="13"/>
        <v>Elementos de Coberturas</v>
      </c>
      <c r="V54" s="25" t="str">
        <f t="shared" si="14"/>
        <v>Telhados Beirais</v>
      </c>
      <c r="W54" s="19" t="s">
        <v>74</v>
      </c>
      <c r="X54" s="57" t="str">
        <f t="shared" si="15"/>
        <v>Key-ARQ-54</v>
      </c>
      <c r="Y54" s="19" t="s">
        <v>1420</v>
      </c>
      <c r="Z54" s="25" t="s">
        <v>9</v>
      </c>
      <c r="AA54" s="25" t="s">
        <v>1328</v>
      </c>
      <c r="AB54" s="25" t="s">
        <v>9</v>
      </c>
      <c r="AC54" s="25" t="s">
        <v>1567</v>
      </c>
      <c r="AD54" s="25" t="s">
        <v>9</v>
      </c>
    </row>
    <row r="55" spans="1:30" ht="6.65" customHeight="1" x14ac:dyDescent="0.4">
      <c r="A55" s="21">
        <v>55</v>
      </c>
      <c r="B55" s="1" t="s">
        <v>1524</v>
      </c>
      <c r="C55" s="1" t="s">
        <v>1525</v>
      </c>
      <c r="D55" s="1" t="s">
        <v>1606</v>
      </c>
      <c r="E55" s="1" t="s">
        <v>1607</v>
      </c>
      <c r="F55" s="33" t="s">
        <v>945</v>
      </c>
      <c r="G55" s="7" t="s">
        <v>9</v>
      </c>
      <c r="H55" s="83" t="s">
        <v>9</v>
      </c>
      <c r="I55" s="83" t="s">
        <v>9</v>
      </c>
      <c r="J55" s="7" t="s">
        <v>9</v>
      </c>
      <c r="K55" s="7" t="s">
        <v>9</v>
      </c>
      <c r="L55" s="24" t="str">
        <f t="shared" si="8"/>
        <v>Arquitetônicos</v>
      </c>
      <c r="M55" s="24" t="str">
        <f t="shared" si="9"/>
        <v>Elementos.de.Coberturas</v>
      </c>
      <c r="N55" s="24" t="str">
        <f t="shared" si="10"/>
        <v>Telhados Beirais</v>
      </c>
      <c r="O55" s="24" t="str">
        <f t="shared" si="11"/>
        <v>Beiral Forro</v>
      </c>
      <c r="P55" s="19" t="s">
        <v>891</v>
      </c>
      <c r="Q55" s="19" t="s">
        <v>892</v>
      </c>
      <c r="R55" s="19" t="s">
        <v>1663</v>
      </c>
      <c r="S55" s="43" t="s">
        <v>9</v>
      </c>
      <c r="T55" s="25" t="str">
        <f t="shared" si="12"/>
        <v>Arquitetônicos</v>
      </c>
      <c r="U55" s="25" t="str">
        <f t="shared" si="13"/>
        <v>Elementos de Coberturas</v>
      </c>
      <c r="V55" s="25" t="str">
        <f t="shared" si="14"/>
        <v>Telhados Beirais</v>
      </c>
      <c r="W55" s="19" t="s">
        <v>74</v>
      </c>
      <c r="X55" s="57" t="str">
        <f t="shared" si="15"/>
        <v>Key-ARQ-55</v>
      </c>
      <c r="Y55" s="19" t="s">
        <v>1421</v>
      </c>
      <c r="Z55" s="25" t="s">
        <v>9</v>
      </c>
      <c r="AA55" s="25" t="s">
        <v>1328</v>
      </c>
      <c r="AB55" s="25" t="s">
        <v>9</v>
      </c>
      <c r="AC55" s="25" t="s">
        <v>1567</v>
      </c>
      <c r="AD55" s="25" t="s">
        <v>9</v>
      </c>
    </row>
    <row r="56" spans="1:30" ht="6.65" customHeight="1" x14ac:dyDescent="0.4">
      <c r="A56" s="21">
        <v>56</v>
      </c>
      <c r="B56" s="1" t="s">
        <v>1524</v>
      </c>
      <c r="C56" s="1" t="s">
        <v>1525</v>
      </c>
      <c r="D56" s="1" t="s">
        <v>1606</v>
      </c>
      <c r="E56" s="1" t="s">
        <v>1608</v>
      </c>
      <c r="F56" s="33" t="s">
        <v>1161</v>
      </c>
      <c r="G56" s="7" t="s">
        <v>9</v>
      </c>
      <c r="H56" s="83" t="s">
        <v>9</v>
      </c>
      <c r="I56" s="83" t="s">
        <v>9</v>
      </c>
      <c r="J56" s="7" t="s">
        <v>9</v>
      </c>
      <c r="K56" s="7" t="s">
        <v>9</v>
      </c>
      <c r="L56" s="24" t="str">
        <f t="shared" si="8"/>
        <v>Arquitetônicos</v>
      </c>
      <c r="M56" s="24" t="str">
        <f t="shared" si="9"/>
        <v>Elementos.de.Coberturas</v>
      </c>
      <c r="N56" s="24" t="str">
        <f t="shared" si="10"/>
        <v>Telhados Calhas</v>
      </c>
      <c r="O56" s="24" t="str">
        <f t="shared" si="11"/>
        <v>Calha Moldura</v>
      </c>
      <c r="P56" s="19" t="s">
        <v>1164</v>
      </c>
      <c r="Q56" s="19" t="s">
        <v>1167</v>
      </c>
      <c r="R56" s="19" t="s">
        <v>1664</v>
      </c>
      <c r="S56" s="43" t="s">
        <v>9</v>
      </c>
      <c r="T56" s="25" t="str">
        <f t="shared" si="12"/>
        <v>Arquitetônicos</v>
      </c>
      <c r="U56" s="25" t="str">
        <f t="shared" si="13"/>
        <v>Elementos de Coberturas</v>
      </c>
      <c r="V56" s="25" t="str">
        <f t="shared" si="14"/>
        <v>Telhados Calhas</v>
      </c>
      <c r="W56" s="19" t="s">
        <v>74</v>
      </c>
      <c r="X56" s="57" t="str">
        <f t="shared" si="15"/>
        <v>Key-ARQ-56</v>
      </c>
      <c r="Y56" s="19" t="s">
        <v>1422</v>
      </c>
      <c r="Z56" s="25" t="s">
        <v>9</v>
      </c>
      <c r="AA56" s="25" t="s">
        <v>1328</v>
      </c>
      <c r="AB56" s="25" t="s">
        <v>9</v>
      </c>
      <c r="AC56" s="25" t="s">
        <v>1567</v>
      </c>
      <c r="AD56" s="25" t="s">
        <v>9</v>
      </c>
    </row>
    <row r="57" spans="1:30" ht="6.65" customHeight="1" x14ac:dyDescent="0.4">
      <c r="A57" s="21">
        <v>57</v>
      </c>
      <c r="B57" s="1" t="s">
        <v>1524</v>
      </c>
      <c r="C57" s="1" t="s">
        <v>1525</v>
      </c>
      <c r="D57" s="1" t="s">
        <v>1606</v>
      </c>
      <c r="E57" s="1" t="s">
        <v>1608</v>
      </c>
      <c r="F57" s="33" t="s">
        <v>1163</v>
      </c>
      <c r="G57" s="7" t="s">
        <v>9</v>
      </c>
      <c r="H57" s="83" t="s">
        <v>9</v>
      </c>
      <c r="I57" s="83" t="s">
        <v>9</v>
      </c>
      <c r="J57" s="7" t="s">
        <v>9</v>
      </c>
      <c r="K57" s="7" t="s">
        <v>9</v>
      </c>
      <c r="L57" s="24" t="str">
        <f t="shared" si="8"/>
        <v>Arquitetônicos</v>
      </c>
      <c r="M57" s="24" t="str">
        <f t="shared" si="9"/>
        <v>Elementos.de.Coberturas</v>
      </c>
      <c r="N57" s="24" t="str">
        <f t="shared" si="10"/>
        <v>Telhados Calhas</v>
      </c>
      <c r="O57" s="24" t="str">
        <f t="shared" si="11"/>
        <v>Calha Americana</v>
      </c>
      <c r="P57" s="19" t="s">
        <v>1165</v>
      </c>
      <c r="Q57" s="19" t="s">
        <v>1169</v>
      </c>
      <c r="R57" s="19" t="s">
        <v>1665</v>
      </c>
      <c r="S57" s="43" t="s">
        <v>9</v>
      </c>
      <c r="T57" s="25" t="str">
        <f t="shared" si="12"/>
        <v>Arquitetônicos</v>
      </c>
      <c r="U57" s="25" t="str">
        <f t="shared" si="13"/>
        <v>Elementos de Coberturas</v>
      </c>
      <c r="V57" s="25" t="str">
        <f t="shared" si="14"/>
        <v>Telhados Calhas</v>
      </c>
      <c r="W57" s="19" t="s">
        <v>74</v>
      </c>
      <c r="X57" s="57" t="str">
        <f t="shared" si="15"/>
        <v>Key-ARQ-57</v>
      </c>
      <c r="Y57" s="19" t="s">
        <v>1422</v>
      </c>
      <c r="Z57" s="25" t="s">
        <v>9</v>
      </c>
      <c r="AA57" s="25" t="s">
        <v>1328</v>
      </c>
      <c r="AB57" s="25" t="s">
        <v>9</v>
      </c>
      <c r="AC57" s="25" t="s">
        <v>1567</v>
      </c>
      <c r="AD57" s="25" t="s">
        <v>9</v>
      </c>
    </row>
    <row r="58" spans="1:30" ht="6.65" customHeight="1" x14ac:dyDescent="0.4">
      <c r="A58" s="21">
        <v>58</v>
      </c>
      <c r="B58" s="1" t="s">
        <v>1524</v>
      </c>
      <c r="C58" s="1" t="s">
        <v>1525</v>
      </c>
      <c r="D58" s="1" t="s">
        <v>1606</v>
      </c>
      <c r="E58" s="1" t="s">
        <v>1608</v>
      </c>
      <c r="F58" s="33" t="s">
        <v>1162</v>
      </c>
      <c r="G58" s="7" t="s">
        <v>9</v>
      </c>
      <c r="H58" s="83" t="s">
        <v>9</v>
      </c>
      <c r="I58" s="83" t="s">
        <v>9</v>
      </c>
      <c r="J58" s="7" t="s">
        <v>9</v>
      </c>
      <c r="K58" s="7" t="s">
        <v>9</v>
      </c>
      <c r="L58" s="24" t="str">
        <f t="shared" si="8"/>
        <v>Arquitetônicos</v>
      </c>
      <c r="M58" s="24" t="str">
        <f t="shared" si="9"/>
        <v>Elementos.de.Coberturas</v>
      </c>
      <c r="N58" s="24" t="str">
        <f t="shared" si="10"/>
        <v>Telhados Calhas</v>
      </c>
      <c r="O58" s="24" t="str">
        <f t="shared" si="11"/>
        <v>Calha Quadrada</v>
      </c>
      <c r="P58" s="19" t="s">
        <v>1166</v>
      </c>
      <c r="Q58" s="19" t="s">
        <v>1168</v>
      </c>
      <c r="R58" s="19" t="s">
        <v>1666</v>
      </c>
      <c r="S58" s="43" t="s">
        <v>9</v>
      </c>
      <c r="T58" s="25" t="str">
        <f t="shared" si="12"/>
        <v>Arquitetônicos</v>
      </c>
      <c r="U58" s="25" t="str">
        <f t="shared" si="13"/>
        <v>Elementos de Coberturas</v>
      </c>
      <c r="V58" s="25" t="str">
        <f t="shared" si="14"/>
        <v>Telhados Calhas</v>
      </c>
      <c r="W58" s="19" t="s">
        <v>74</v>
      </c>
      <c r="X58" s="57" t="str">
        <f t="shared" si="15"/>
        <v>Key-ARQ-58</v>
      </c>
      <c r="Y58" s="19" t="s">
        <v>1422</v>
      </c>
      <c r="Z58" s="25" t="s">
        <v>9</v>
      </c>
      <c r="AA58" s="25" t="s">
        <v>1328</v>
      </c>
      <c r="AB58" s="25" t="s">
        <v>9</v>
      </c>
      <c r="AC58" s="25" t="s">
        <v>1567</v>
      </c>
      <c r="AD58" s="25" t="s">
        <v>9</v>
      </c>
    </row>
    <row r="59" spans="1:30" ht="6.65" customHeight="1" x14ac:dyDescent="0.4">
      <c r="A59" s="21">
        <v>59</v>
      </c>
      <c r="B59" s="1" t="s">
        <v>1524</v>
      </c>
      <c r="C59" s="1" t="s">
        <v>1525</v>
      </c>
      <c r="D59" s="1" t="s">
        <v>1606</v>
      </c>
      <c r="E59" s="1" t="s">
        <v>1608</v>
      </c>
      <c r="F59" s="33" t="s">
        <v>1172</v>
      </c>
      <c r="G59" s="7" t="s">
        <v>9</v>
      </c>
      <c r="H59" s="83" t="s">
        <v>9</v>
      </c>
      <c r="I59" s="83" t="s">
        <v>9</v>
      </c>
      <c r="J59" s="7" t="s">
        <v>9</v>
      </c>
      <c r="K59" s="7" t="s">
        <v>9</v>
      </c>
      <c r="L59" s="24" t="str">
        <f t="shared" si="8"/>
        <v>Arquitetônicos</v>
      </c>
      <c r="M59" s="24" t="str">
        <f t="shared" si="9"/>
        <v>Elementos.de.Coberturas</v>
      </c>
      <c r="N59" s="24" t="str">
        <f t="shared" si="10"/>
        <v>Telhados Calhas</v>
      </c>
      <c r="O59" s="24" t="str">
        <f t="shared" si="11"/>
        <v>Calha Rincão</v>
      </c>
      <c r="P59" s="19" t="s">
        <v>1170</v>
      </c>
      <c r="Q59" s="19" t="s">
        <v>1171</v>
      </c>
      <c r="R59" s="19" t="s">
        <v>1667</v>
      </c>
      <c r="S59" s="43" t="s">
        <v>9</v>
      </c>
      <c r="T59" s="25" t="str">
        <f t="shared" si="12"/>
        <v>Arquitetônicos</v>
      </c>
      <c r="U59" s="25" t="str">
        <f t="shared" si="13"/>
        <v>Elementos de Coberturas</v>
      </c>
      <c r="V59" s="25" t="str">
        <f t="shared" si="14"/>
        <v>Telhados Calhas</v>
      </c>
      <c r="W59" s="19" t="s">
        <v>74</v>
      </c>
      <c r="X59" s="57" t="str">
        <f t="shared" si="15"/>
        <v>Key-ARQ-59</v>
      </c>
      <c r="Y59" s="19" t="s">
        <v>1422</v>
      </c>
      <c r="Z59" s="25" t="s">
        <v>9</v>
      </c>
      <c r="AA59" s="25" t="s">
        <v>1328</v>
      </c>
      <c r="AB59" s="25" t="s">
        <v>9</v>
      </c>
      <c r="AC59" s="25" t="s">
        <v>1567</v>
      </c>
      <c r="AD59" s="25" t="s">
        <v>9</v>
      </c>
    </row>
    <row r="60" spans="1:30" ht="6.65" customHeight="1" x14ac:dyDescent="0.4">
      <c r="A60" s="21">
        <v>60</v>
      </c>
      <c r="B60" s="1" t="s">
        <v>1524</v>
      </c>
      <c r="C60" s="1" t="s">
        <v>1525</v>
      </c>
      <c r="D60" s="1" t="s">
        <v>1606</v>
      </c>
      <c r="E60" s="1" t="s">
        <v>1609</v>
      </c>
      <c r="F60" s="33" t="s">
        <v>914</v>
      </c>
      <c r="G60" s="7" t="s">
        <v>9</v>
      </c>
      <c r="H60" s="83" t="s">
        <v>9</v>
      </c>
      <c r="I60" s="83" t="s">
        <v>9</v>
      </c>
      <c r="J60" s="7" t="s">
        <v>9</v>
      </c>
      <c r="K60" s="7" t="s">
        <v>9</v>
      </c>
      <c r="L60" s="24" t="str">
        <f t="shared" si="8"/>
        <v>Arquitetônicos</v>
      </c>
      <c r="M60" s="24" t="str">
        <f t="shared" si="9"/>
        <v>Elementos.de.Coberturas</v>
      </c>
      <c r="N60" s="24" t="str">
        <f t="shared" si="10"/>
        <v>Telhados Camadas</v>
      </c>
      <c r="O60" s="24" t="str">
        <f t="shared" si="11"/>
        <v>Telhado Projeção</v>
      </c>
      <c r="P60" s="19" t="s">
        <v>893</v>
      </c>
      <c r="Q60" s="19" t="s">
        <v>894</v>
      </c>
      <c r="R60" s="19" t="s">
        <v>1668</v>
      </c>
      <c r="S60" s="43" t="s">
        <v>9</v>
      </c>
      <c r="T60" s="25" t="str">
        <f t="shared" si="12"/>
        <v>Arquitetônicos</v>
      </c>
      <c r="U60" s="25" t="str">
        <f t="shared" si="13"/>
        <v>Elementos de Coberturas</v>
      </c>
      <c r="V60" s="25" t="str">
        <f t="shared" si="14"/>
        <v>Telhados Camadas</v>
      </c>
      <c r="W60" s="19" t="s">
        <v>74</v>
      </c>
      <c r="X60" s="57" t="str">
        <f t="shared" si="15"/>
        <v>Key-ARQ-60</v>
      </c>
      <c r="Y60" s="19" t="s">
        <v>1423</v>
      </c>
      <c r="Z60" s="25" t="s">
        <v>9</v>
      </c>
      <c r="AA60" s="25" t="s">
        <v>1328</v>
      </c>
      <c r="AB60" s="25" t="s">
        <v>9</v>
      </c>
      <c r="AC60" s="25" t="s">
        <v>1567</v>
      </c>
      <c r="AD60" s="25" t="s">
        <v>9</v>
      </c>
    </row>
    <row r="61" spans="1:30" ht="6.65" customHeight="1" x14ac:dyDescent="0.4">
      <c r="A61" s="21">
        <v>61</v>
      </c>
      <c r="B61" s="1" t="s">
        <v>1524</v>
      </c>
      <c r="C61" s="1" t="s">
        <v>1525</v>
      </c>
      <c r="D61" s="1" t="s">
        <v>1606</v>
      </c>
      <c r="E61" s="1" t="s">
        <v>1609</v>
      </c>
      <c r="F61" s="1" t="s">
        <v>915</v>
      </c>
      <c r="G61" s="7" t="s">
        <v>9</v>
      </c>
      <c r="H61" s="83" t="s">
        <v>9</v>
      </c>
      <c r="I61" s="83" t="s">
        <v>9</v>
      </c>
      <c r="J61" s="7" t="s">
        <v>9</v>
      </c>
      <c r="K61" s="7" t="s">
        <v>9</v>
      </c>
      <c r="L61" s="24" t="str">
        <f t="shared" si="8"/>
        <v>Arquitetônicos</v>
      </c>
      <c r="M61" s="24" t="str">
        <f t="shared" si="9"/>
        <v>Elementos.de.Coberturas</v>
      </c>
      <c r="N61" s="24" t="str">
        <f t="shared" si="10"/>
        <v>Telhados Camadas</v>
      </c>
      <c r="O61" s="24" t="str">
        <f t="shared" si="11"/>
        <v>Telhado Núcleo</v>
      </c>
      <c r="P61" s="19" t="s">
        <v>895</v>
      </c>
      <c r="Q61" s="19" t="s">
        <v>896</v>
      </c>
      <c r="R61" s="19" t="s">
        <v>1669</v>
      </c>
      <c r="S61" s="43" t="s">
        <v>9</v>
      </c>
      <c r="T61" s="25" t="str">
        <f t="shared" si="12"/>
        <v>Arquitetônicos</v>
      </c>
      <c r="U61" s="25" t="str">
        <f t="shared" si="13"/>
        <v>Elementos de Coberturas</v>
      </c>
      <c r="V61" s="25" t="str">
        <f t="shared" si="14"/>
        <v>Telhados Camadas</v>
      </c>
      <c r="W61" s="19" t="s">
        <v>74</v>
      </c>
      <c r="X61" s="57" t="str">
        <f t="shared" si="15"/>
        <v>Key-ARQ-61</v>
      </c>
      <c r="Y61" s="19" t="s">
        <v>1424</v>
      </c>
      <c r="Z61" s="25" t="s">
        <v>9</v>
      </c>
      <c r="AA61" s="25" t="s">
        <v>1328</v>
      </c>
      <c r="AB61" s="25" t="s">
        <v>9</v>
      </c>
      <c r="AC61" s="25" t="s">
        <v>1567</v>
      </c>
      <c r="AD61" s="25" t="s">
        <v>9</v>
      </c>
    </row>
    <row r="62" spans="1:30" ht="6.65" customHeight="1" x14ac:dyDescent="0.4">
      <c r="A62" s="21">
        <v>62</v>
      </c>
      <c r="B62" s="1" t="s">
        <v>1524</v>
      </c>
      <c r="C62" s="1" t="s">
        <v>1525</v>
      </c>
      <c r="D62" s="1" t="s">
        <v>1606</v>
      </c>
      <c r="E62" s="1" t="s">
        <v>1609</v>
      </c>
      <c r="F62" s="1" t="s">
        <v>916</v>
      </c>
      <c r="G62" s="7" t="s">
        <v>9</v>
      </c>
      <c r="H62" s="83" t="s">
        <v>9</v>
      </c>
      <c r="I62" s="83" t="s">
        <v>9</v>
      </c>
      <c r="J62" s="7" t="s">
        <v>9</v>
      </c>
      <c r="K62" s="7" t="s">
        <v>9</v>
      </c>
      <c r="L62" s="24" t="str">
        <f t="shared" si="8"/>
        <v>Arquitetônicos</v>
      </c>
      <c r="M62" s="24" t="str">
        <f t="shared" si="9"/>
        <v>Elementos.de.Coberturas</v>
      </c>
      <c r="N62" s="24" t="str">
        <f t="shared" si="10"/>
        <v>Telhados Camadas</v>
      </c>
      <c r="O62" s="24" t="str">
        <f t="shared" si="11"/>
        <v>Telhado Substrato</v>
      </c>
      <c r="P62" s="19" t="s">
        <v>897</v>
      </c>
      <c r="Q62" s="19" t="s">
        <v>898</v>
      </c>
      <c r="R62" s="19" t="s">
        <v>1670</v>
      </c>
      <c r="S62" s="43" t="s">
        <v>9</v>
      </c>
      <c r="T62" s="25" t="str">
        <f t="shared" si="12"/>
        <v>Arquitetônicos</v>
      </c>
      <c r="U62" s="25" t="str">
        <f t="shared" si="13"/>
        <v>Elementos de Coberturas</v>
      </c>
      <c r="V62" s="25" t="str">
        <f t="shared" si="14"/>
        <v>Telhados Camadas</v>
      </c>
      <c r="W62" s="19" t="s">
        <v>74</v>
      </c>
      <c r="X62" s="57" t="str">
        <f t="shared" si="15"/>
        <v>Key-ARQ-62</v>
      </c>
      <c r="Y62" s="19" t="s">
        <v>1425</v>
      </c>
      <c r="Z62" s="25" t="s">
        <v>9</v>
      </c>
      <c r="AA62" s="25" t="s">
        <v>1328</v>
      </c>
      <c r="AB62" s="25" t="s">
        <v>9</v>
      </c>
      <c r="AC62" s="25" t="s">
        <v>1567</v>
      </c>
      <c r="AD62" s="25" t="s">
        <v>9</v>
      </c>
    </row>
    <row r="63" spans="1:30" ht="6.65" customHeight="1" x14ac:dyDescent="0.4">
      <c r="A63" s="21">
        <v>63</v>
      </c>
      <c r="B63" s="1" t="s">
        <v>1524</v>
      </c>
      <c r="C63" s="1" t="s">
        <v>1525</v>
      </c>
      <c r="D63" s="22" t="s">
        <v>1307</v>
      </c>
      <c r="E63" s="1" t="s">
        <v>1308</v>
      </c>
      <c r="F63" s="1" t="s">
        <v>628</v>
      </c>
      <c r="G63" s="7" t="s">
        <v>9</v>
      </c>
      <c r="H63" s="83" t="s">
        <v>9</v>
      </c>
      <c r="I63" s="83" t="s">
        <v>9</v>
      </c>
      <c r="J63" s="7" t="s">
        <v>9</v>
      </c>
      <c r="K63" s="7" t="s">
        <v>9</v>
      </c>
      <c r="L63" s="24" t="str">
        <f t="shared" ref="L63:L89" si="16">CONCATENATE("", C63)</f>
        <v>Arquitetônicos</v>
      </c>
      <c r="M63" s="24" t="str">
        <f t="shared" ref="M63:M89" si="17">CONCATENATE("", D63)</f>
        <v>Elementos.de.Vedação</v>
      </c>
      <c r="N63" s="24" t="str">
        <f t="shared" ref="N63:N89" si="18">(SUBSTITUTE(SUBSTITUTE(CONCATENATE("",E63),"."," ")," De "," de "))</f>
        <v>Divisórias Fixas</v>
      </c>
      <c r="O63" s="24" t="str">
        <f t="shared" ref="O63:O89" si="19">(SUBSTITUTE(SUBSTITUTE(CONCATENATE("",F63),"."," ")," De "," de "))</f>
        <v>Drywall</v>
      </c>
      <c r="P63" s="19" t="s">
        <v>241</v>
      </c>
      <c r="Q63" s="29" t="s">
        <v>242</v>
      </c>
      <c r="R63" s="19" t="s">
        <v>1675</v>
      </c>
      <c r="S63" s="43" t="s">
        <v>9</v>
      </c>
      <c r="T63" s="25" t="str">
        <f t="shared" ref="T63:T89" si="20">SUBSTITUTE(C63, ".", " ")</f>
        <v>Arquitetônicos</v>
      </c>
      <c r="U63" s="25" t="str">
        <f t="shared" ref="U63:U89" si="21">SUBSTITUTE(D63, ".", " ")</f>
        <v>Elementos de Vedação</v>
      </c>
      <c r="V63" s="25" t="str">
        <f t="shared" ref="V63:V89" si="22">SUBSTITUTE(E63, ".", " ")</f>
        <v>Divisórias Fixas</v>
      </c>
      <c r="W63" s="19" t="s">
        <v>74</v>
      </c>
      <c r="X63" s="57" t="str">
        <f t="shared" ref="X63:X89" si="23">CONCATENATE("Key-ARQ-",A63)</f>
        <v>Key-ARQ-63</v>
      </c>
      <c r="Y63" s="19" t="s">
        <v>1388</v>
      </c>
      <c r="Z63" s="25" t="s">
        <v>9</v>
      </c>
      <c r="AA63" s="25" t="s">
        <v>1325</v>
      </c>
      <c r="AB63" s="25" t="s">
        <v>9</v>
      </c>
      <c r="AC63" s="25" t="s">
        <v>1562</v>
      </c>
      <c r="AD63" s="25" t="s">
        <v>9</v>
      </c>
    </row>
    <row r="64" spans="1:30" ht="6.65" customHeight="1" x14ac:dyDescent="0.4">
      <c r="A64" s="21">
        <v>64</v>
      </c>
      <c r="B64" s="1" t="s">
        <v>1524</v>
      </c>
      <c r="C64" s="1" t="s">
        <v>1525</v>
      </c>
      <c r="D64" s="22" t="s">
        <v>1307</v>
      </c>
      <c r="E64" s="1" t="s">
        <v>1308</v>
      </c>
      <c r="F64" s="1" t="s">
        <v>629</v>
      </c>
      <c r="G64" s="7" t="s">
        <v>9</v>
      </c>
      <c r="H64" s="83" t="s">
        <v>9</v>
      </c>
      <c r="I64" s="83" t="s">
        <v>9</v>
      </c>
      <c r="J64" s="7" t="s">
        <v>9</v>
      </c>
      <c r="K64" s="7" t="s">
        <v>9</v>
      </c>
      <c r="L64" s="24" t="str">
        <f t="shared" si="16"/>
        <v>Arquitetônicos</v>
      </c>
      <c r="M64" s="24" t="str">
        <f t="shared" si="17"/>
        <v>Elementos.de.Vedação</v>
      </c>
      <c r="N64" s="24" t="str">
        <f t="shared" si="18"/>
        <v>Divisórias Fixas</v>
      </c>
      <c r="O64" s="24" t="str">
        <f t="shared" si="19"/>
        <v>Drywall Acústico</v>
      </c>
      <c r="P64" s="19" t="s">
        <v>243</v>
      </c>
      <c r="Q64" s="29" t="s">
        <v>244</v>
      </c>
      <c r="R64" s="19" t="s">
        <v>1676</v>
      </c>
      <c r="S64" s="43" t="s">
        <v>9</v>
      </c>
      <c r="T64" s="25" t="str">
        <f t="shared" si="20"/>
        <v>Arquitetônicos</v>
      </c>
      <c r="U64" s="25" t="str">
        <f t="shared" si="21"/>
        <v>Elementos de Vedação</v>
      </c>
      <c r="V64" s="25" t="str">
        <f t="shared" si="22"/>
        <v>Divisórias Fixas</v>
      </c>
      <c r="W64" s="19" t="s">
        <v>74</v>
      </c>
      <c r="X64" s="57" t="str">
        <f t="shared" si="23"/>
        <v>Key-ARQ-64</v>
      </c>
      <c r="Y64" s="19" t="s">
        <v>1388</v>
      </c>
      <c r="Z64" s="25" t="s">
        <v>9</v>
      </c>
      <c r="AA64" s="25" t="s">
        <v>1325</v>
      </c>
      <c r="AB64" s="25" t="s">
        <v>9</v>
      </c>
      <c r="AC64" s="25" t="s">
        <v>1562</v>
      </c>
      <c r="AD64" s="25" t="s">
        <v>9</v>
      </c>
    </row>
    <row r="65" spans="1:30" ht="6.65" customHeight="1" x14ac:dyDescent="0.4">
      <c r="A65" s="21">
        <v>65</v>
      </c>
      <c r="B65" s="1" t="s">
        <v>1524</v>
      </c>
      <c r="C65" s="1" t="s">
        <v>1525</v>
      </c>
      <c r="D65" s="22" t="s">
        <v>1307</v>
      </c>
      <c r="E65" s="1" t="s">
        <v>1308</v>
      </c>
      <c r="F65" s="1" t="s">
        <v>632</v>
      </c>
      <c r="G65" s="7" t="s">
        <v>9</v>
      </c>
      <c r="H65" s="83" t="s">
        <v>9</v>
      </c>
      <c r="I65" s="83" t="s">
        <v>9</v>
      </c>
      <c r="J65" s="7" t="s">
        <v>9</v>
      </c>
      <c r="K65" s="7" t="s">
        <v>9</v>
      </c>
      <c r="L65" s="24" t="str">
        <f t="shared" si="16"/>
        <v>Arquitetônicos</v>
      </c>
      <c r="M65" s="24" t="str">
        <f t="shared" si="17"/>
        <v>Elementos.de.Vedação</v>
      </c>
      <c r="N65" s="24" t="str">
        <f t="shared" si="18"/>
        <v>Divisórias Fixas</v>
      </c>
      <c r="O65" s="24" t="str">
        <f t="shared" si="19"/>
        <v>Divisória Vidro</v>
      </c>
      <c r="P65" s="19" t="s">
        <v>245</v>
      </c>
      <c r="Q65" s="29" t="s">
        <v>246</v>
      </c>
      <c r="R65" s="19" t="s">
        <v>1677</v>
      </c>
      <c r="S65" s="43" t="s">
        <v>9</v>
      </c>
      <c r="T65" s="25" t="str">
        <f t="shared" si="20"/>
        <v>Arquitetônicos</v>
      </c>
      <c r="U65" s="25" t="str">
        <f t="shared" si="21"/>
        <v>Elementos de Vedação</v>
      </c>
      <c r="V65" s="25" t="str">
        <f t="shared" si="22"/>
        <v>Divisórias Fixas</v>
      </c>
      <c r="W65" s="19" t="s">
        <v>74</v>
      </c>
      <c r="X65" s="57" t="str">
        <f t="shared" si="23"/>
        <v>Key-ARQ-65</v>
      </c>
      <c r="Y65" s="19" t="s">
        <v>1388</v>
      </c>
      <c r="Z65" s="25" t="s">
        <v>9</v>
      </c>
      <c r="AA65" s="25" t="s">
        <v>1325</v>
      </c>
      <c r="AB65" s="25" t="s">
        <v>9</v>
      </c>
      <c r="AC65" s="25" t="s">
        <v>1562</v>
      </c>
      <c r="AD65" s="25" t="s">
        <v>9</v>
      </c>
    </row>
    <row r="66" spans="1:30" ht="6.65" customHeight="1" x14ac:dyDescent="0.4">
      <c r="A66" s="21">
        <v>66</v>
      </c>
      <c r="B66" s="1" t="s">
        <v>1524</v>
      </c>
      <c r="C66" s="1" t="s">
        <v>1525</v>
      </c>
      <c r="D66" s="22" t="s">
        <v>1307</v>
      </c>
      <c r="E66" s="1" t="s">
        <v>1308</v>
      </c>
      <c r="F66" s="1" t="s">
        <v>631</v>
      </c>
      <c r="G66" s="7" t="s">
        <v>9</v>
      </c>
      <c r="H66" s="83" t="s">
        <v>9</v>
      </c>
      <c r="I66" s="83" t="s">
        <v>9</v>
      </c>
      <c r="J66" s="7" t="s">
        <v>9</v>
      </c>
      <c r="K66" s="7" t="s">
        <v>9</v>
      </c>
      <c r="L66" s="24" t="str">
        <f t="shared" si="16"/>
        <v>Arquitetônicos</v>
      </c>
      <c r="M66" s="24" t="str">
        <f t="shared" si="17"/>
        <v>Elementos.de.Vedação</v>
      </c>
      <c r="N66" s="24" t="str">
        <f t="shared" si="18"/>
        <v>Divisórias Fixas</v>
      </c>
      <c r="O66" s="24" t="str">
        <f t="shared" si="19"/>
        <v>Divisória Gesso</v>
      </c>
      <c r="P66" s="19" t="s">
        <v>247</v>
      </c>
      <c r="Q66" s="29" t="s">
        <v>248</v>
      </c>
      <c r="R66" s="19" t="s">
        <v>1678</v>
      </c>
      <c r="S66" s="43" t="s">
        <v>9</v>
      </c>
      <c r="T66" s="25" t="str">
        <f t="shared" si="20"/>
        <v>Arquitetônicos</v>
      </c>
      <c r="U66" s="25" t="str">
        <f t="shared" si="21"/>
        <v>Elementos de Vedação</v>
      </c>
      <c r="V66" s="25" t="str">
        <f t="shared" si="22"/>
        <v>Divisórias Fixas</v>
      </c>
      <c r="W66" s="19" t="s">
        <v>74</v>
      </c>
      <c r="X66" s="57" t="str">
        <f t="shared" si="23"/>
        <v>Key-ARQ-66</v>
      </c>
      <c r="Y66" s="19" t="s">
        <v>1388</v>
      </c>
      <c r="Z66" s="25" t="s">
        <v>9</v>
      </c>
      <c r="AA66" s="25" t="s">
        <v>1325</v>
      </c>
      <c r="AB66" s="25" t="s">
        <v>9</v>
      </c>
      <c r="AC66" s="25" t="s">
        <v>1562</v>
      </c>
      <c r="AD66" s="25" t="s">
        <v>9</v>
      </c>
    </row>
    <row r="67" spans="1:30" ht="6.65" customHeight="1" x14ac:dyDescent="0.4">
      <c r="A67" s="21">
        <v>67</v>
      </c>
      <c r="B67" s="1" t="s">
        <v>1524</v>
      </c>
      <c r="C67" s="1" t="s">
        <v>1525</v>
      </c>
      <c r="D67" s="22" t="s">
        <v>1307</v>
      </c>
      <c r="E67" s="1" t="s">
        <v>1308</v>
      </c>
      <c r="F67" s="1" t="s">
        <v>679</v>
      </c>
      <c r="G67" s="7" t="s">
        <v>9</v>
      </c>
      <c r="H67" s="83" t="s">
        <v>9</v>
      </c>
      <c r="I67" s="83" t="s">
        <v>9</v>
      </c>
      <c r="J67" s="7" t="s">
        <v>9</v>
      </c>
      <c r="K67" s="7" t="s">
        <v>9</v>
      </c>
      <c r="L67" s="24" t="str">
        <f t="shared" si="16"/>
        <v>Arquitetônicos</v>
      </c>
      <c r="M67" s="24" t="str">
        <f t="shared" si="17"/>
        <v>Elementos.de.Vedação</v>
      </c>
      <c r="N67" s="24" t="str">
        <f t="shared" si="18"/>
        <v>Divisórias Fixas</v>
      </c>
      <c r="O67" s="24" t="str">
        <f t="shared" si="19"/>
        <v>Divisória Naval</v>
      </c>
      <c r="P67" s="19" t="s">
        <v>680</v>
      </c>
      <c r="Q67" s="29" t="s">
        <v>681</v>
      </c>
      <c r="R67" s="19" t="s">
        <v>1679</v>
      </c>
      <c r="S67" s="43" t="s">
        <v>9</v>
      </c>
      <c r="T67" s="25" t="str">
        <f t="shared" si="20"/>
        <v>Arquitetônicos</v>
      </c>
      <c r="U67" s="25" t="str">
        <f t="shared" si="21"/>
        <v>Elementos de Vedação</v>
      </c>
      <c r="V67" s="25" t="str">
        <f t="shared" si="22"/>
        <v>Divisórias Fixas</v>
      </c>
      <c r="W67" s="19" t="s">
        <v>74</v>
      </c>
      <c r="X67" s="57" t="str">
        <f t="shared" si="23"/>
        <v>Key-ARQ-67</v>
      </c>
      <c r="Y67" s="19" t="s">
        <v>1388</v>
      </c>
      <c r="Z67" s="25" t="s">
        <v>9</v>
      </c>
      <c r="AA67" s="25" t="s">
        <v>1325</v>
      </c>
      <c r="AB67" s="25" t="s">
        <v>9</v>
      </c>
      <c r="AC67" s="25" t="s">
        <v>1562</v>
      </c>
      <c r="AD67" s="25" t="s">
        <v>9</v>
      </c>
    </row>
    <row r="68" spans="1:30" ht="6.65" customHeight="1" x14ac:dyDescent="0.4">
      <c r="A68" s="21">
        <v>68</v>
      </c>
      <c r="B68" s="1" t="s">
        <v>1524</v>
      </c>
      <c r="C68" s="1" t="s">
        <v>1525</v>
      </c>
      <c r="D68" s="22" t="s">
        <v>1307</v>
      </c>
      <c r="E68" s="1" t="s">
        <v>1308</v>
      </c>
      <c r="F68" s="1" t="s">
        <v>684</v>
      </c>
      <c r="G68" s="7" t="s">
        <v>9</v>
      </c>
      <c r="H68" s="83" t="s">
        <v>9</v>
      </c>
      <c r="I68" s="83" t="s">
        <v>9</v>
      </c>
      <c r="J68" s="7" t="s">
        <v>9</v>
      </c>
      <c r="K68" s="7" t="s">
        <v>9</v>
      </c>
      <c r="L68" s="24" t="str">
        <f t="shared" si="16"/>
        <v>Arquitetônicos</v>
      </c>
      <c r="M68" s="24" t="str">
        <f t="shared" si="17"/>
        <v>Elementos.de.Vedação</v>
      </c>
      <c r="N68" s="24" t="str">
        <f t="shared" si="18"/>
        <v>Divisórias Fixas</v>
      </c>
      <c r="O68" s="24" t="str">
        <f t="shared" si="19"/>
        <v>Divisória Laminada</v>
      </c>
      <c r="P68" s="19" t="s">
        <v>685</v>
      </c>
      <c r="Q68" s="29" t="s">
        <v>686</v>
      </c>
      <c r="R68" s="19" t="s">
        <v>1680</v>
      </c>
      <c r="S68" s="43" t="s">
        <v>9</v>
      </c>
      <c r="T68" s="25" t="str">
        <f t="shared" si="20"/>
        <v>Arquitetônicos</v>
      </c>
      <c r="U68" s="25" t="str">
        <f t="shared" si="21"/>
        <v>Elementos de Vedação</v>
      </c>
      <c r="V68" s="25" t="str">
        <f t="shared" si="22"/>
        <v>Divisórias Fixas</v>
      </c>
      <c r="W68" s="19" t="s">
        <v>74</v>
      </c>
      <c r="X68" s="57" t="str">
        <f t="shared" si="23"/>
        <v>Key-ARQ-68</v>
      </c>
      <c r="Y68" s="19" t="s">
        <v>1388</v>
      </c>
      <c r="Z68" s="25" t="s">
        <v>9</v>
      </c>
      <c r="AA68" s="25" t="s">
        <v>1325</v>
      </c>
      <c r="AB68" s="25" t="s">
        <v>9</v>
      </c>
      <c r="AC68" s="25" t="s">
        <v>1562</v>
      </c>
      <c r="AD68" s="25" t="s">
        <v>9</v>
      </c>
    </row>
    <row r="69" spans="1:30" ht="6.65" customHeight="1" x14ac:dyDescent="0.4">
      <c r="A69" s="21">
        <v>69</v>
      </c>
      <c r="B69" s="1" t="s">
        <v>1524</v>
      </c>
      <c r="C69" s="1" t="s">
        <v>1525</v>
      </c>
      <c r="D69" s="22" t="s">
        <v>1307</v>
      </c>
      <c r="E69" s="1" t="s">
        <v>1308</v>
      </c>
      <c r="F69" s="1" t="s">
        <v>630</v>
      </c>
      <c r="G69" s="7" t="s">
        <v>9</v>
      </c>
      <c r="H69" s="83" t="s">
        <v>9</v>
      </c>
      <c r="I69" s="83" t="s">
        <v>9</v>
      </c>
      <c r="J69" s="7" t="s">
        <v>9</v>
      </c>
      <c r="K69" s="7" t="s">
        <v>9</v>
      </c>
      <c r="L69" s="24" t="str">
        <f t="shared" si="16"/>
        <v>Arquitetônicos</v>
      </c>
      <c r="M69" s="24" t="str">
        <f t="shared" si="17"/>
        <v>Elementos.de.Vedação</v>
      </c>
      <c r="N69" s="24" t="str">
        <f t="shared" si="18"/>
        <v>Divisórias Fixas</v>
      </c>
      <c r="O69" s="24" t="str">
        <f t="shared" si="19"/>
        <v>Divisória Pedra</v>
      </c>
      <c r="P69" s="19" t="s">
        <v>682</v>
      </c>
      <c r="Q69" s="29" t="s">
        <v>683</v>
      </c>
      <c r="R69" s="19" t="s">
        <v>1681</v>
      </c>
      <c r="S69" s="43" t="s">
        <v>9</v>
      </c>
      <c r="T69" s="25" t="str">
        <f t="shared" si="20"/>
        <v>Arquitetônicos</v>
      </c>
      <c r="U69" s="25" t="str">
        <f t="shared" si="21"/>
        <v>Elementos de Vedação</v>
      </c>
      <c r="V69" s="25" t="str">
        <f t="shared" si="22"/>
        <v>Divisórias Fixas</v>
      </c>
      <c r="W69" s="19" t="s">
        <v>74</v>
      </c>
      <c r="X69" s="57" t="str">
        <f t="shared" si="23"/>
        <v>Key-ARQ-69</v>
      </c>
      <c r="Y69" s="19" t="s">
        <v>1388</v>
      </c>
      <c r="Z69" s="25" t="s">
        <v>9</v>
      </c>
      <c r="AA69" s="25" t="s">
        <v>1325</v>
      </c>
      <c r="AB69" s="25" t="s">
        <v>9</v>
      </c>
      <c r="AC69" s="25" t="s">
        <v>1562</v>
      </c>
      <c r="AD69" s="25" t="s">
        <v>9</v>
      </c>
    </row>
    <row r="70" spans="1:30" ht="6.65" customHeight="1" x14ac:dyDescent="0.4">
      <c r="A70" s="21">
        <v>70</v>
      </c>
      <c r="B70" s="1" t="s">
        <v>1524</v>
      </c>
      <c r="C70" s="1" t="s">
        <v>1525</v>
      </c>
      <c r="D70" s="22" t="s">
        <v>1307</v>
      </c>
      <c r="E70" s="1" t="s">
        <v>1308</v>
      </c>
      <c r="F70" s="1" t="s">
        <v>249</v>
      </c>
      <c r="G70" s="7" t="s">
        <v>9</v>
      </c>
      <c r="H70" s="83" t="s">
        <v>9</v>
      </c>
      <c r="I70" s="83" t="s">
        <v>9</v>
      </c>
      <c r="J70" s="7" t="s">
        <v>9</v>
      </c>
      <c r="K70" s="7" t="s">
        <v>9</v>
      </c>
      <c r="L70" s="24" t="str">
        <f t="shared" si="16"/>
        <v>Arquitetônicos</v>
      </c>
      <c r="M70" s="24" t="str">
        <f t="shared" si="17"/>
        <v>Elementos.de.Vedação</v>
      </c>
      <c r="N70" s="24" t="str">
        <f t="shared" si="18"/>
        <v>Divisórias Fixas</v>
      </c>
      <c r="O70" s="24" t="str">
        <f t="shared" si="19"/>
        <v>Divisória Acústica</v>
      </c>
      <c r="P70" s="30" t="s">
        <v>250</v>
      </c>
      <c r="Q70" s="29" t="s">
        <v>251</v>
      </c>
      <c r="R70" s="19" t="s">
        <v>1682</v>
      </c>
      <c r="S70" s="43" t="s">
        <v>9</v>
      </c>
      <c r="T70" s="25" t="str">
        <f t="shared" si="20"/>
        <v>Arquitetônicos</v>
      </c>
      <c r="U70" s="25" t="str">
        <f t="shared" si="21"/>
        <v>Elementos de Vedação</v>
      </c>
      <c r="V70" s="25" t="str">
        <f t="shared" si="22"/>
        <v>Divisórias Fixas</v>
      </c>
      <c r="W70" s="19" t="s">
        <v>74</v>
      </c>
      <c r="X70" s="57" t="str">
        <f t="shared" si="23"/>
        <v>Key-ARQ-70</v>
      </c>
      <c r="Y70" s="19" t="s">
        <v>1388</v>
      </c>
      <c r="Z70" s="25" t="s">
        <v>9</v>
      </c>
      <c r="AA70" s="25" t="s">
        <v>1325</v>
      </c>
      <c r="AB70" s="25" t="s">
        <v>9</v>
      </c>
      <c r="AC70" s="25" t="s">
        <v>1562</v>
      </c>
      <c r="AD70" s="25" t="s">
        <v>9</v>
      </c>
    </row>
    <row r="71" spans="1:30" ht="6.65" customHeight="1" x14ac:dyDescent="0.4">
      <c r="A71" s="21">
        <v>71</v>
      </c>
      <c r="B71" s="1" t="s">
        <v>1524</v>
      </c>
      <c r="C71" s="1" t="s">
        <v>1525</v>
      </c>
      <c r="D71" s="22" t="s">
        <v>1307</v>
      </c>
      <c r="E71" s="1" t="s">
        <v>1308</v>
      </c>
      <c r="F71" s="1" t="s">
        <v>252</v>
      </c>
      <c r="G71" s="7" t="s">
        <v>9</v>
      </c>
      <c r="H71" s="83" t="s">
        <v>9</v>
      </c>
      <c r="I71" s="83" t="s">
        <v>9</v>
      </c>
      <c r="J71" s="7" t="s">
        <v>9</v>
      </c>
      <c r="K71" s="7" t="s">
        <v>9</v>
      </c>
      <c r="L71" s="24" t="str">
        <f t="shared" si="16"/>
        <v>Arquitetônicos</v>
      </c>
      <c r="M71" s="24" t="str">
        <f t="shared" si="17"/>
        <v>Elementos.de.Vedação</v>
      </c>
      <c r="N71" s="24" t="str">
        <f t="shared" si="18"/>
        <v>Divisórias Fixas</v>
      </c>
      <c r="O71" s="24" t="str">
        <f t="shared" si="19"/>
        <v>Divisória Cega</v>
      </c>
      <c r="P71" s="30" t="s">
        <v>253</v>
      </c>
      <c r="Q71" s="29" t="s">
        <v>254</v>
      </c>
      <c r="R71" s="19" t="s">
        <v>1683</v>
      </c>
      <c r="S71" s="43" t="s">
        <v>9</v>
      </c>
      <c r="T71" s="25" t="str">
        <f t="shared" si="20"/>
        <v>Arquitetônicos</v>
      </c>
      <c r="U71" s="25" t="str">
        <f t="shared" si="21"/>
        <v>Elementos de Vedação</v>
      </c>
      <c r="V71" s="25" t="str">
        <f t="shared" si="22"/>
        <v>Divisórias Fixas</v>
      </c>
      <c r="W71" s="19" t="s">
        <v>74</v>
      </c>
      <c r="X71" s="57" t="str">
        <f t="shared" si="23"/>
        <v>Key-ARQ-71</v>
      </c>
      <c r="Y71" s="19" t="s">
        <v>1388</v>
      </c>
      <c r="Z71" s="25" t="s">
        <v>9</v>
      </c>
      <c r="AA71" s="25" t="s">
        <v>1325</v>
      </c>
      <c r="AB71" s="25" t="s">
        <v>9</v>
      </c>
      <c r="AC71" s="25" t="s">
        <v>1562</v>
      </c>
      <c r="AD71" s="25" t="s">
        <v>9</v>
      </c>
    </row>
    <row r="72" spans="1:30" ht="6.65" customHeight="1" x14ac:dyDescent="0.4">
      <c r="A72" s="21">
        <v>72</v>
      </c>
      <c r="B72" s="1" t="s">
        <v>1524</v>
      </c>
      <c r="C72" s="1" t="s">
        <v>1525</v>
      </c>
      <c r="D72" s="22" t="s">
        <v>1307</v>
      </c>
      <c r="E72" s="1" t="s">
        <v>1308</v>
      </c>
      <c r="F72" s="1" t="s">
        <v>255</v>
      </c>
      <c r="G72" s="7" t="s">
        <v>9</v>
      </c>
      <c r="H72" s="83" t="s">
        <v>9</v>
      </c>
      <c r="I72" s="83" t="s">
        <v>9</v>
      </c>
      <c r="J72" s="7" t="s">
        <v>9</v>
      </c>
      <c r="K72" s="7" t="s">
        <v>9</v>
      </c>
      <c r="L72" s="24" t="str">
        <f t="shared" si="16"/>
        <v>Arquitetônicos</v>
      </c>
      <c r="M72" s="24" t="str">
        <f t="shared" si="17"/>
        <v>Elementos.de.Vedação</v>
      </c>
      <c r="N72" s="24" t="str">
        <f t="shared" si="18"/>
        <v>Divisórias Fixas</v>
      </c>
      <c r="O72" s="24" t="str">
        <f t="shared" si="19"/>
        <v>Divisória Com Visor</v>
      </c>
      <c r="P72" s="30" t="s">
        <v>256</v>
      </c>
      <c r="Q72" s="29" t="s">
        <v>257</v>
      </c>
      <c r="R72" s="19" t="s">
        <v>1684</v>
      </c>
      <c r="S72" s="43" t="s">
        <v>9</v>
      </c>
      <c r="T72" s="25" t="str">
        <f t="shared" si="20"/>
        <v>Arquitetônicos</v>
      </c>
      <c r="U72" s="25" t="str">
        <f t="shared" si="21"/>
        <v>Elementos de Vedação</v>
      </c>
      <c r="V72" s="25" t="str">
        <f t="shared" si="22"/>
        <v>Divisórias Fixas</v>
      </c>
      <c r="W72" s="19" t="s">
        <v>74</v>
      </c>
      <c r="X72" s="57" t="str">
        <f t="shared" si="23"/>
        <v>Key-ARQ-72</v>
      </c>
      <c r="Y72" s="19" t="s">
        <v>1388</v>
      </c>
      <c r="Z72" s="25" t="s">
        <v>9</v>
      </c>
      <c r="AA72" s="25" t="s">
        <v>1325</v>
      </c>
      <c r="AB72" s="25" t="s">
        <v>9</v>
      </c>
      <c r="AC72" s="25" t="s">
        <v>1562</v>
      </c>
      <c r="AD72" s="25" t="s">
        <v>9</v>
      </c>
    </row>
    <row r="73" spans="1:30" ht="6.65" customHeight="1" x14ac:dyDescent="0.4">
      <c r="A73" s="21">
        <v>73</v>
      </c>
      <c r="B73" s="1" t="s">
        <v>1524</v>
      </c>
      <c r="C73" s="1" t="s">
        <v>1525</v>
      </c>
      <c r="D73" s="22" t="s">
        <v>1307</v>
      </c>
      <c r="E73" s="1" t="s">
        <v>1309</v>
      </c>
      <c r="F73" s="1" t="s">
        <v>258</v>
      </c>
      <c r="G73" s="7" t="s">
        <v>9</v>
      </c>
      <c r="H73" s="83" t="s">
        <v>9</v>
      </c>
      <c r="I73" s="83" t="s">
        <v>9</v>
      </c>
      <c r="J73" s="7" t="s">
        <v>9</v>
      </c>
      <c r="K73" s="7" t="s">
        <v>9</v>
      </c>
      <c r="L73" s="24" t="str">
        <f t="shared" si="16"/>
        <v>Arquitetônicos</v>
      </c>
      <c r="M73" s="24" t="str">
        <f t="shared" si="17"/>
        <v>Elementos.de.Vedação</v>
      </c>
      <c r="N73" s="24" t="str">
        <f t="shared" si="18"/>
        <v>Divisórias Articuladas</v>
      </c>
      <c r="O73" s="24" t="str">
        <f t="shared" si="19"/>
        <v>Divisória Deslizante</v>
      </c>
      <c r="P73" s="30" t="s">
        <v>259</v>
      </c>
      <c r="Q73" s="29" t="s">
        <v>260</v>
      </c>
      <c r="R73" s="19" t="s">
        <v>1685</v>
      </c>
      <c r="S73" s="43" t="s">
        <v>9</v>
      </c>
      <c r="T73" s="25" t="str">
        <f t="shared" si="20"/>
        <v>Arquitetônicos</v>
      </c>
      <c r="U73" s="25" t="str">
        <f t="shared" si="21"/>
        <v>Elementos de Vedação</v>
      </c>
      <c r="V73" s="25" t="str">
        <f t="shared" si="22"/>
        <v>Divisórias Articuladas</v>
      </c>
      <c r="W73" s="19" t="s">
        <v>74</v>
      </c>
      <c r="X73" s="57" t="str">
        <f t="shared" si="23"/>
        <v>Key-ARQ-73</v>
      </c>
      <c r="Y73" s="19" t="s">
        <v>1388</v>
      </c>
      <c r="Z73" s="25" t="s">
        <v>9</v>
      </c>
      <c r="AA73" s="25" t="s">
        <v>1325</v>
      </c>
      <c r="AB73" s="25" t="s">
        <v>9</v>
      </c>
      <c r="AC73" s="25" t="s">
        <v>1562</v>
      </c>
      <c r="AD73" s="25" t="s">
        <v>9</v>
      </c>
    </row>
    <row r="74" spans="1:30" ht="6.65" customHeight="1" x14ac:dyDescent="0.4">
      <c r="A74" s="21">
        <v>74</v>
      </c>
      <c r="B74" s="1" t="s">
        <v>1524</v>
      </c>
      <c r="C74" s="1" t="s">
        <v>1525</v>
      </c>
      <c r="D74" s="22" t="s">
        <v>1307</v>
      </c>
      <c r="E74" s="1" t="s">
        <v>1309</v>
      </c>
      <c r="F74" s="1" t="s">
        <v>261</v>
      </c>
      <c r="G74" s="7" t="s">
        <v>9</v>
      </c>
      <c r="H74" s="83" t="s">
        <v>9</v>
      </c>
      <c r="I74" s="83" t="s">
        <v>9</v>
      </c>
      <c r="J74" s="7" t="s">
        <v>9</v>
      </c>
      <c r="K74" s="7" t="s">
        <v>9</v>
      </c>
      <c r="L74" s="24" t="str">
        <f t="shared" si="16"/>
        <v>Arquitetônicos</v>
      </c>
      <c r="M74" s="24" t="str">
        <f t="shared" si="17"/>
        <v>Elementos.de.Vedação</v>
      </c>
      <c r="N74" s="24" t="str">
        <f t="shared" si="18"/>
        <v>Divisórias Articuladas</v>
      </c>
      <c r="O74" s="24" t="str">
        <f t="shared" si="19"/>
        <v>Divisória Retratil</v>
      </c>
      <c r="P74" s="30" t="s">
        <v>262</v>
      </c>
      <c r="Q74" s="29" t="s">
        <v>263</v>
      </c>
      <c r="R74" s="19" t="s">
        <v>1686</v>
      </c>
      <c r="S74" s="43" t="s">
        <v>9</v>
      </c>
      <c r="T74" s="25" t="str">
        <f t="shared" si="20"/>
        <v>Arquitetônicos</v>
      </c>
      <c r="U74" s="25" t="str">
        <f t="shared" si="21"/>
        <v>Elementos de Vedação</v>
      </c>
      <c r="V74" s="25" t="str">
        <f t="shared" si="22"/>
        <v>Divisórias Articuladas</v>
      </c>
      <c r="W74" s="19" t="s">
        <v>74</v>
      </c>
      <c r="X74" s="57" t="str">
        <f t="shared" si="23"/>
        <v>Key-ARQ-74</v>
      </c>
      <c r="Y74" s="19" t="s">
        <v>1388</v>
      </c>
      <c r="Z74" s="25" t="s">
        <v>9</v>
      </c>
      <c r="AA74" s="25" t="s">
        <v>1325</v>
      </c>
      <c r="AB74" s="25" t="s">
        <v>9</v>
      </c>
      <c r="AC74" s="25" t="s">
        <v>1562</v>
      </c>
      <c r="AD74" s="25" t="s">
        <v>9</v>
      </c>
    </row>
    <row r="75" spans="1:30" ht="6.65" customHeight="1" x14ac:dyDescent="0.4">
      <c r="A75" s="21">
        <v>75</v>
      </c>
      <c r="B75" s="1" t="s">
        <v>1524</v>
      </c>
      <c r="C75" s="1" t="s">
        <v>1525</v>
      </c>
      <c r="D75" s="22" t="s">
        <v>1307</v>
      </c>
      <c r="E75" s="1" t="s">
        <v>1309</v>
      </c>
      <c r="F75" s="1" t="s">
        <v>264</v>
      </c>
      <c r="G75" s="7" t="s">
        <v>9</v>
      </c>
      <c r="H75" s="83" t="s">
        <v>9</v>
      </c>
      <c r="I75" s="83" t="s">
        <v>9</v>
      </c>
      <c r="J75" s="7" t="s">
        <v>9</v>
      </c>
      <c r="K75" s="7" t="s">
        <v>9</v>
      </c>
      <c r="L75" s="24" t="str">
        <f t="shared" si="16"/>
        <v>Arquitetônicos</v>
      </c>
      <c r="M75" s="24" t="str">
        <f t="shared" si="17"/>
        <v>Elementos.de.Vedação</v>
      </c>
      <c r="N75" s="24" t="str">
        <f t="shared" si="18"/>
        <v>Divisórias Articuladas</v>
      </c>
      <c r="O75" s="24" t="str">
        <f t="shared" si="19"/>
        <v>Divisória Sanfonada</v>
      </c>
      <c r="P75" s="30" t="s">
        <v>265</v>
      </c>
      <c r="Q75" s="29" t="s">
        <v>266</v>
      </c>
      <c r="R75" s="19" t="s">
        <v>1687</v>
      </c>
      <c r="S75" s="43" t="s">
        <v>9</v>
      </c>
      <c r="T75" s="25" t="str">
        <f t="shared" si="20"/>
        <v>Arquitetônicos</v>
      </c>
      <c r="U75" s="25" t="str">
        <f t="shared" si="21"/>
        <v>Elementos de Vedação</v>
      </c>
      <c r="V75" s="25" t="str">
        <f t="shared" si="22"/>
        <v>Divisórias Articuladas</v>
      </c>
      <c r="W75" s="19" t="s">
        <v>74</v>
      </c>
      <c r="X75" s="57" t="str">
        <f t="shared" si="23"/>
        <v>Key-ARQ-75</v>
      </c>
      <c r="Y75" s="19" t="s">
        <v>1388</v>
      </c>
      <c r="Z75" s="25" t="s">
        <v>9</v>
      </c>
      <c r="AA75" s="25" t="s">
        <v>1325</v>
      </c>
      <c r="AB75" s="25" t="s">
        <v>9</v>
      </c>
      <c r="AC75" s="25" t="s">
        <v>1562</v>
      </c>
      <c r="AD75" s="25" t="s">
        <v>9</v>
      </c>
    </row>
    <row r="76" spans="1:30" ht="6.65" customHeight="1" x14ac:dyDescent="0.4">
      <c r="A76" s="21">
        <v>76</v>
      </c>
      <c r="B76" s="1" t="s">
        <v>1524</v>
      </c>
      <c r="C76" s="1" t="s">
        <v>1525</v>
      </c>
      <c r="D76" s="22" t="s">
        <v>1307</v>
      </c>
      <c r="E76" s="1" t="s">
        <v>1309</v>
      </c>
      <c r="F76" s="1" t="s">
        <v>267</v>
      </c>
      <c r="G76" s="7" t="s">
        <v>9</v>
      </c>
      <c r="H76" s="83" t="s">
        <v>9</v>
      </c>
      <c r="I76" s="83" t="s">
        <v>9</v>
      </c>
      <c r="J76" s="7" t="s">
        <v>9</v>
      </c>
      <c r="K76" s="7" t="s">
        <v>9</v>
      </c>
      <c r="L76" s="24" t="str">
        <f t="shared" si="16"/>
        <v>Arquitetônicos</v>
      </c>
      <c r="M76" s="24" t="str">
        <f t="shared" si="17"/>
        <v>Elementos.de.Vedação</v>
      </c>
      <c r="N76" s="24" t="str">
        <f t="shared" si="18"/>
        <v>Divisórias Articuladas</v>
      </c>
      <c r="O76" s="24" t="str">
        <f t="shared" si="19"/>
        <v>Divisória Pivotante</v>
      </c>
      <c r="P76" s="30" t="s">
        <v>268</v>
      </c>
      <c r="Q76" s="29" t="s">
        <v>269</v>
      </c>
      <c r="R76" s="19" t="s">
        <v>1688</v>
      </c>
      <c r="S76" s="43" t="s">
        <v>9</v>
      </c>
      <c r="T76" s="25" t="str">
        <f t="shared" si="20"/>
        <v>Arquitetônicos</v>
      </c>
      <c r="U76" s="25" t="str">
        <f t="shared" si="21"/>
        <v>Elementos de Vedação</v>
      </c>
      <c r="V76" s="25" t="str">
        <f t="shared" si="22"/>
        <v>Divisórias Articuladas</v>
      </c>
      <c r="W76" s="19" t="s">
        <v>74</v>
      </c>
      <c r="X76" s="57" t="str">
        <f t="shared" si="23"/>
        <v>Key-ARQ-76</v>
      </c>
      <c r="Y76" s="19" t="s">
        <v>1388</v>
      </c>
      <c r="Z76" s="25" t="s">
        <v>9</v>
      </c>
      <c r="AA76" s="25" t="s">
        <v>1325</v>
      </c>
      <c r="AB76" s="25" t="s">
        <v>9</v>
      </c>
      <c r="AC76" s="25" t="s">
        <v>1562</v>
      </c>
      <c r="AD76" s="25" t="s">
        <v>9</v>
      </c>
    </row>
    <row r="77" spans="1:30" ht="6.65" customHeight="1" x14ac:dyDescent="0.4">
      <c r="A77" s="21">
        <v>77</v>
      </c>
      <c r="B77" s="1" t="s">
        <v>1524</v>
      </c>
      <c r="C77" s="1" t="s">
        <v>1525</v>
      </c>
      <c r="D77" s="22" t="s">
        <v>1307</v>
      </c>
      <c r="E77" s="22" t="s">
        <v>1612</v>
      </c>
      <c r="F77" s="1" t="s">
        <v>1132</v>
      </c>
      <c r="G77" s="7" t="s">
        <v>9</v>
      </c>
      <c r="H77" s="83" t="s">
        <v>9</v>
      </c>
      <c r="I77" s="83" t="s">
        <v>9</v>
      </c>
      <c r="J77" s="7" t="s">
        <v>9</v>
      </c>
      <c r="K77" s="7" t="s">
        <v>9</v>
      </c>
      <c r="L77" s="24" t="str">
        <f t="shared" si="16"/>
        <v>Arquitetônicos</v>
      </c>
      <c r="M77" s="24" t="str">
        <f t="shared" si="17"/>
        <v>Elementos.de.Vedação</v>
      </c>
      <c r="N77" s="24" t="str">
        <f t="shared" si="18"/>
        <v>Gradeamentos</v>
      </c>
      <c r="O77" s="24" t="str">
        <f t="shared" si="19"/>
        <v>Gradil de Barra</v>
      </c>
      <c r="P77" s="19" t="s">
        <v>602</v>
      </c>
      <c r="Q77" s="29" t="s">
        <v>608</v>
      </c>
      <c r="R77" s="19" t="s">
        <v>1689</v>
      </c>
      <c r="S77" s="43" t="s">
        <v>9</v>
      </c>
      <c r="T77" s="25" t="str">
        <f t="shared" si="20"/>
        <v>Arquitetônicos</v>
      </c>
      <c r="U77" s="25" t="str">
        <f t="shared" si="21"/>
        <v>Elementos de Vedação</v>
      </c>
      <c r="V77" s="25" t="str">
        <f t="shared" si="22"/>
        <v>Gradeamentos</v>
      </c>
      <c r="W77" s="19" t="s">
        <v>74</v>
      </c>
      <c r="X77" s="57" t="str">
        <f t="shared" si="23"/>
        <v>Key-ARQ-77</v>
      </c>
      <c r="Y77" s="19" t="s">
        <v>1413</v>
      </c>
      <c r="Z77" s="25" t="s">
        <v>9</v>
      </c>
      <c r="AA77" s="25" t="s">
        <v>1326</v>
      </c>
      <c r="AB77" s="25" t="s">
        <v>9</v>
      </c>
      <c r="AC77" s="25" t="s">
        <v>1562</v>
      </c>
      <c r="AD77" s="25" t="s">
        <v>9</v>
      </c>
    </row>
    <row r="78" spans="1:30" ht="6.65" customHeight="1" x14ac:dyDescent="0.4">
      <c r="A78" s="21">
        <v>78</v>
      </c>
      <c r="B78" s="1" t="s">
        <v>1524</v>
      </c>
      <c r="C78" s="1" t="s">
        <v>1525</v>
      </c>
      <c r="D78" s="22" t="s">
        <v>1307</v>
      </c>
      <c r="E78" s="22" t="s">
        <v>1612</v>
      </c>
      <c r="F78" s="1" t="s">
        <v>1131</v>
      </c>
      <c r="G78" s="7" t="s">
        <v>9</v>
      </c>
      <c r="H78" s="83" t="s">
        <v>9</v>
      </c>
      <c r="I78" s="83" t="s">
        <v>9</v>
      </c>
      <c r="J78" s="7" t="s">
        <v>9</v>
      </c>
      <c r="K78" s="7" t="s">
        <v>9</v>
      </c>
      <c r="L78" s="24" t="str">
        <f t="shared" si="16"/>
        <v>Arquitetônicos</v>
      </c>
      <c r="M78" s="24" t="str">
        <f t="shared" si="17"/>
        <v>Elementos.de.Vedação</v>
      </c>
      <c r="N78" s="24" t="str">
        <f t="shared" si="18"/>
        <v>Gradeamentos</v>
      </c>
      <c r="O78" s="24" t="str">
        <f t="shared" si="19"/>
        <v>Gradil de Arame</v>
      </c>
      <c r="P78" s="19" t="s">
        <v>603</v>
      </c>
      <c r="Q78" s="29" t="s">
        <v>609</v>
      </c>
      <c r="R78" s="19" t="s">
        <v>1690</v>
      </c>
      <c r="S78" s="43" t="s">
        <v>9</v>
      </c>
      <c r="T78" s="25" t="str">
        <f t="shared" si="20"/>
        <v>Arquitetônicos</v>
      </c>
      <c r="U78" s="25" t="str">
        <f t="shared" si="21"/>
        <v>Elementos de Vedação</v>
      </c>
      <c r="V78" s="25" t="str">
        <f t="shared" si="22"/>
        <v>Gradeamentos</v>
      </c>
      <c r="W78" s="19" t="s">
        <v>74</v>
      </c>
      <c r="X78" s="57" t="str">
        <f t="shared" si="23"/>
        <v>Key-ARQ-78</v>
      </c>
      <c r="Y78" s="19" t="s">
        <v>1413</v>
      </c>
      <c r="Z78" s="25" t="s">
        <v>9</v>
      </c>
      <c r="AA78" s="25" t="s">
        <v>1326</v>
      </c>
      <c r="AB78" s="25" t="s">
        <v>9</v>
      </c>
      <c r="AC78" s="25" t="s">
        <v>1562</v>
      </c>
      <c r="AD78" s="25" t="s">
        <v>9</v>
      </c>
    </row>
    <row r="79" spans="1:30" ht="6.65" customHeight="1" x14ac:dyDescent="0.4">
      <c r="A79" s="21">
        <v>79</v>
      </c>
      <c r="B79" s="1" t="s">
        <v>1524</v>
      </c>
      <c r="C79" s="1" t="s">
        <v>1525</v>
      </c>
      <c r="D79" s="22" t="s">
        <v>1307</v>
      </c>
      <c r="E79" s="1" t="s">
        <v>1310</v>
      </c>
      <c r="F79" s="23" t="s">
        <v>612</v>
      </c>
      <c r="G79" s="7" t="s">
        <v>9</v>
      </c>
      <c r="H79" s="83" t="s">
        <v>9</v>
      </c>
      <c r="I79" s="83" t="s">
        <v>9</v>
      </c>
      <c r="J79" s="7" t="s">
        <v>9</v>
      </c>
      <c r="K79" s="7" t="s">
        <v>9</v>
      </c>
      <c r="L79" s="24" t="str">
        <f t="shared" si="16"/>
        <v>Arquitetônicos</v>
      </c>
      <c r="M79" s="24" t="str">
        <f t="shared" si="17"/>
        <v>Elementos.de.Vedação</v>
      </c>
      <c r="N79" s="24" t="str">
        <f t="shared" si="18"/>
        <v>Paredes Moldadas</v>
      </c>
      <c r="O79" s="24" t="str">
        <f t="shared" si="19"/>
        <v>Muro Interno Alto</v>
      </c>
      <c r="P79" s="30" t="s">
        <v>616</v>
      </c>
      <c r="Q79" s="30" t="s">
        <v>623</v>
      </c>
      <c r="R79" s="19" t="s">
        <v>1691</v>
      </c>
      <c r="S79" s="43" t="s">
        <v>9</v>
      </c>
      <c r="T79" s="25" t="str">
        <f t="shared" si="20"/>
        <v>Arquitetônicos</v>
      </c>
      <c r="U79" s="25" t="str">
        <f t="shared" si="21"/>
        <v>Elementos de Vedação</v>
      </c>
      <c r="V79" s="25" t="str">
        <f t="shared" si="22"/>
        <v>Paredes Moldadas</v>
      </c>
      <c r="W79" s="19" t="s">
        <v>74</v>
      </c>
      <c r="X79" s="57" t="str">
        <f t="shared" si="23"/>
        <v>Key-ARQ-79</v>
      </c>
      <c r="Y79" s="19" t="s">
        <v>1388</v>
      </c>
      <c r="Z79" s="25" t="s">
        <v>9</v>
      </c>
      <c r="AA79" s="25" t="s">
        <v>1325</v>
      </c>
      <c r="AB79" s="25" t="s">
        <v>9</v>
      </c>
      <c r="AC79" s="25" t="s">
        <v>1562</v>
      </c>
      <c r="AD79" s="25" t="s">
        <v>9</v>
      </c>
    </row>
    <row r="80" spans="1:30" ht="6.65" customHeight="1" x14ac:dyDescent="0.4">
      <c r="A80" s="21">
        <v>80</v>
      </c>
      <c r="B80" s="1" t="s">
        <v>1524</v>
      </c>
      <c r="C80" s="1" t="s">
        <v>1525</v>
      </c>
      <c r="D80" s="22" t="s">
        <v>1307</v>
      </c>
      <c r="E80" s="1" t="s">
        <v>1310</v>
      </c>
      <c r="F80" s="23" t="s">
        <v>613</v>
      </c>
      <c r="G80" s="7" t="s">
        <v>9</v>
      </c>
      <c r="H80" s="83" t="s">
        <v>9</v>
      </c>
      <c r="I80" s="83" t="s">
        <v>9</v>
      </c>
      <c r="J80" s="7" t="s">
        <v>9</v>
      </c>
      <c r="K80" s="7" t="s">
        <v>9</v>
      </c>
      <c r="L80" s="24" t="str">
        <f t="shared" si="16"/>
        <v>Arquitetônicos</v>
      </c>
      <c r="M80" s="24" t="str">
        <f t="shared" si="17"/>
        <v>Elementos.de.Vedação</v>
      </c>
      <c r="N80" s="24" t="str">
        <f t="shared" si="18"/>
        <v>Paredes Moldadas</v>
      </c>
      <c r="O80" s="24" t="str">
        <f t="shared" si="19"/>
        <v>Muro Interno Baixo</v>
      </c>
      <c r="P80" s="30" t="s">
        <v>617</v>
      </c>
      <c r="Q80" s="30" t="s">
        <v>620</v>
      </c>
      <c r="R80" s="19" t="s">
        <v>1692</v>
      </c>
      <c r="S80" s="43" t="s">
        <v>9</v>
      </c>
      <c r="T80" s="25" t="str">
        <f t="shared" si="20"/>
        <v>Arquitetônicos</v>
      </c>
      <c r="U80" s="25" t="str">
        <f t="shared" si="21"/>
        <v>Elementos de Vedação</v>
      </c>
      <c r="V80" s="25" t="str">
        <f t="shared" si="22"/>
        <v>Paredes Moldadas</v>
      </c>
      <c r="W80" s="19" t="s">
        <v>74</v>
      </c>
      <c r="X80" s="57" t="str">
        <f t="shared" si="23"/>
        <v>Key-ARQ-80</v>
      </c>
      <c r="Y80" s="19" t="s">
        <v>1388</v>
      </c>
      <c r="Z80" s="25" t="s">
        <v>9</v>
      </c>
      <c r="AA80" s="25" t="s">
        <v>1325</v>
      </c>
      <c r="AB80" s="25" t="s">
        <v>9</v>
      </c>
      <c r="AC80" s="25" t="s">
        <v>1562</v>
      </c>
      <c r="AD80" s="25" t="s">
        <v>9</v>
      </c>
    </row>
    <row r="81" spans="1:30" ht="6.65" customHeight="1" x14ac:dyDescent="0.4">
      <c r="A81" s="21">
        <v>81</v>
      </c>
      <c r="B81" s="1" t="s">
        <v>1524</v>
      </c>
      <c r="C81" s="1" t="s">
        <v>1525</v>
      </c>
      <c r="D81" s="22" t="s">
        <v>1307</v>
      </c>
      <c r="E81" s="1" t="s">
        <v>1310</v>
      </c>
      <c r="F81" s="23" t="s">
        <v>614</v>
      </c>
      <c r="G81" s="7" t="s">
        <v>9</v>
      </c>
      <c r="H81" s="83" t="s">
        <v>9</v>
      </c>
      <c r="I81" s="83" t="s">
        <v>9</v>
      </c>
      <c r="J81" s="7" t="s">
        <v>9</v>
      </c>
      <c r="K81" s="7" t="s">
        <v>9</v>
      </c>
      <c r="L81" s="24" t="str">
        <f t="shared" si="16"/>
        <v>Arquitetônicos</v>
      </c>
      <c r="M81" s="24" t="str">
        <f t="shared" si="17"/>
        <v>Elementos.de.Vedação</v>
      </c>
      <c r="N81" s="24" t="str">
        <f t="shared" si="18"/>
        <v>Paredes Moldadas</v>
      </c>
      <c r="O81" s="24" t="str">
        <f t="shared" si="19"/>
        <v>Muro Externo Alto</v>
      </c>
      <c r="P81" s="30" t="s">
        <v>618</v>
      </c>
      <c r="Q81" s="30" t="s">
        <v>621</v>
      </c>
      <c r="R81" s="19" t="s">
        <v>1693</v>
      </c>
      <c r="S81" s="43" t="s">
        <v>9</v>
      </c>
      <c r="T81" s="25" t="str">
        <f t="shared" si="20"/>
        <v>Arquitetônicos</v>
      </c>
      <c r="U81" s="25" t="str">
        <f t="shared" si="21"/>
        <v>Elementos de Vedação</v>
      </c>
      <c r="V81" s="25" t="str">
        <f t="shared" si="22"/>
        <v>Paredes Moldadas</v>
      </c>
      <c r="W81" s="19" t="s">
        <v>74</v>
      </c>
      <c r="X81" s="57" t="str">
        <f t="shared" si="23"/>
        <v>Key-ARQ-81</v>
      </c>
      <c r="Y81" s="19" t="s">
        <v>1388</v>
      </c>
      <c r="Z81" s="25" t="s">
        <v>9</v>
      </c>
      <c r="AA81" s="25" t="s">
        <v>1325</v>
      </c>
      <c r="AB81" s="25" t="s">
        <v>9</v>
      </c>
      <c r="AC81" s="25" t="s">
        <v>1562</v>
      </c>
      <c r="AD81" s="25" t="s">
        <v>9</v>
      </c>
    </row>
    <row r="82" spans="1:30" ht="6.65" customHeight="1" x14ac:dyDescent="0.4">
      <c r="A82" s="21">
        <v>82</v>
      </c>
      <c r="B82" s="1" t="s">
        <v>1524</v>
      </c>
      <c r="C82" s="1" t="s">
        <v>1525</v>
      </c>
      <c r="D82" s="22" t="s">
        <v>1307</v>
      </c>
      <c r="E82" s="1" t="s">
        <v>1310</v>
      </c>
      <c r="F82" s="23" t="s">
        <v>615</v>
      </c>
      <c r="G82" s="7" t="s">
        <v>9</v>
      </c>
      <c r="H82" s="83" t="s">
        <v>9</v>
      </c>
      <c r="I82" s="83" t="s">
        <v>9</v>
      </c>
      <c r="J82" s="7" t="s">
        <v>9</v>
      </c>
      <c r="K82" s="7" t="s">
        <v>9</v>
      </c>
      <c r="L82" s="24" t="str">
        <f t="shared" si="16"/>
        <v>Arquitetônicos</v>
      </c>
      <c r="M82" s="24" t="str">
        <f t="shared" si="17"/>
        <v>Elementos.de.Vedação</v>
      </c>
      <c r="N82" s="24" t="str">
        <f t="shared" si="18"/>
        <v>Paredes Moldadas</v>
      </c>
      <c r="O82" s="24" t="str">
        <f t="shared" si="19"/>
        <v>Muro Externo Baixo</v>
      </c>
      <c r="P82" s="30" t="s">
        <v>619</v>
      </c>
      <c r="Q82" s="30" t="s">
        <v>622</v>
      </c>
      <c r="R82" s="19" t="s">
        <v>1694</v>
      </c>
      <c r="S82" s="43" t="s">
        <v>9</v>
      </c>
      <c r="T82" s="25" t="str">
        <f t="shared" si="20"/>
        <v>Arquitetônicos</v>
      </c>
      <c r="U82" s="25" t="str">
        <f t="shared" si="21"/>
        <v>Elementos de Vedação</v>
      </c>
      <c r="V82" s="25" t="str">
        <f t="shared" si="22"/>
        <v>Paredes Moldadas</v>
      </c>
      <c r="W82" s="19" t="s">
        <v>74</v>
      </c>
      <c r="X82" s="57" t="str">
        <f t="shared" si="23"/>
        <v>Key-ARQ-82</v>
      </c>
      <c r="Y82" s="19" t="s">
        <v>1388</v>
      </c>
      <c r="Z82" s="25" t="s">
        <v>9</v>
      </c>
      <c r="AA82" s="25" t="s">
        <v>1325</v>
      </c>
      <c r="AB82" s="25" t="s">
        <v>9</v>
      </c>
      <c r="AC82" s="25" t="s">
        <v>1562</v>
      </c>
      <c r="AD82" s="25" t="s">
        <v>9</v>
      </c>
    </row>
    <row r="83" spans="1:30" ht="6.65" customHeight="1" x14ac:dyDescent="0.4">
      <c r="A83" s="21">
        <v>83</v>
      </c>
      <c r="B83" s="1" t="s">
        <v>1524</v>
      </c>
      <c r="C83" s="1" t="s">
        <v>1525</v>
      </c>
      <c r="D83" s="22" t="s">
        <v>1307</v>
      </c>
      <c r="E83" s="1" t="s">
        <v>1311</v>
      </c>
      <c r="F83" s="23" t="s">
        <v>624</v>
      </c>
      <c r="G83" s="7" t="s">
        <v>9</v>
      </c>
      <c r="H83" s="83" t="s">
        <v>9</v>
      </c>
      <c r="I83" s="83" t="s">
        <v>9</v>
      </c>
      <c r="J83" s="7" t="s">
        <v>9</v>
      </c>
      <c r="K83" s="7" t="s">
        <v>9</v>
      </c>
      <c r="L83" s="24" t="str">
        <f t="shared" si="16"/>
        <v>Arquitetônicos</v>
      </c>
      <c r="M83" s="24" t="str">
        <f t="shared" si="17"/>
        <v>Elementos.de.Vedação</v>
      </c>
      <c r="N83" s="24" t="str">
        <f t="shared" si="18"/>
        <v>Paredes Assentadas</v>
      </c>
      <c r="O83" s="24" t="str">
        <f t="shared" si="19"/>
        <v>Parede Interna Alta</v>
      </c>
      <c r="P83" s="30" t="s">
        <v>489</v>
      </c>
      <c r="Q83" s="30" t="s">
        <v>492</v>
      </c>
      <c r="R83" s="19" t="s">
        <v>1695</v>
      </c>
      <c r="S83" s="43" t="s">
        <v>9</v>
      </c>
      <c r="T83" s="25" t="str">
        <f t="shared" si="20"/>
        <v>Arquitetônicos</v>
      </c>
      <c r="U83" s="25" t="str">
        <f t="shared" si="21"/>
        <v>Elementos de Vedação</v>
      </c>
      <c r="V83" s="25" t="str">
        <f t="shared" si="22"/>
        <v>Paredes Assentadas</v>
      </c>
      <c r="W83" s="19" t="s">
        <v>74</v>
      </c>
      <c r="X83" s="57" t="str">
        <f t="shared" si="23"/>
        <v>Key-ARQ-83</v>
      </c>
      <c r="Y83" s="19" t="s">
        <v>1388</v>
      </c>
      <c r="Z83" s="25" t="s">
        <v>9</v>
      </c>
      <c r="AA83" s="25" t="s">
        <v>1325</v>
      </c>
      <c r="AB83" s="25" t="s">
        <v>9</v>
      </c>
      <c r="AC83" s="25" t="s">
        <v>1562</v>
      </c>
      <c r="AD83" s="25" t="s">
        <v>9</v>
      </c>
    </row>
    <row r="84" spans="1:30" ht="6.65" customHeight="1" x14ac:dyDescent="0.4">
      <c r="A84" s="21">
        <v>84</v>
      </c>
      <c r="B84" s="1" t="s">
        <v>1524</v>
      </c>
      <c r="C84" s="1" t="s">
        <v>1525</v>
      </c>
      <c r="D84" s="22" t="s">
        <v>1307</v>
      </c>
      <c r="E84" s="1" t="s">
        <v>1311</v>
      </c>
      <c r="F84" s="23" t="s">
        <v>625</v>
      </c>
      <c r="G84" s="7" t="s">
        <v>9</v>
      </c>
      <c r="H84" s="83" t="s">
        <v>9</v>
      </c>
      <c r="I84" s="83" t="s">
        <v>9</v>
      </c>
      <c r="J84" s="7" t="s">
        <v>9</v>
      </c>
      <c r="K84" s="7" t="s">
        <v>9</v>
      </c>
      <c r="L84" s="24" t="str">
        <f t="shared" si="16"/>
        <v>Arquitetônicos</v>
      </c>
      <c r="M84" s="24" t="str">
        <f t="shared" si="17"/>
        <v>Elementos.de.Vedação</v>
      </c>
      <c r="N84" s="24" t="str">
        <f t="shared" si="18"/>
        <v>Paredes Assentadas</v>
      </c>
      <c r="O84" s="24" t="str">
        <f t="shared" si="19"/>
        <v>Parede Interna Baixa</v>
      </c>
      <c r="P84" s="30" t="s">
        <v>491</v>
      </c>
      <c r="Q84" s="30" t="s">
        <v>493</v>
      </c>
      <c r="R84" s="19" t="s">
        <v>1696</v>
      </c>
      <c r="S84" s="43" t="s">
        <v>9</v>
      </c>
      <c r="T84" s="25" t="str">
        <f t="shared" si="20"/>
        <v>Arquitetônicos</v>
      </c>
      <c r="U84" s="25" t="str">
        <f t="shared" si="21"/>
        <v>Elementos de Vedação</v>
      </c>
      <c r="V84" s="25" t="str">
        <f t="shared" si="22"/>
        <v>Paredes Assentadas</v>
      </c>
      <c r="W84" s="19" t="s">
        <v>74</v>
      </c>
      <c r="X84" s="57" t="str">
        <f t="shared" si="23"/>
        <v>Key-ARQ-84</v>
      </c>
      <c r="Y84" s="19" t="s">
        <v>1388</v>
      </c>
      <c r="Z84" s="25" t="s">
        <v>9</v>
      </c>
      <c r="AA84" s="25" t="s">
        <v>1325</v>
      </c>
      <c r="AB84" s="25" t="s">
        <v>9</v>
      </c>
      <c r="AC84" s="25" t="s">
        <v>1562</v>
      </c>
      <c r="AD84" s="25" t="s">
        <v>9</v>
      </c>
    </row>
    <row r="85" spans="1:30" ht="6.65" customHeight="1" x14ac:dyDescent="0.4">
      <c r="A85" s="21">
        <v>85</v>
      </c>
      <c r="B85" s="1" t="s">
        <v>1524</v>
      </c>
      <c r="C85" s="1" t="s">
        <v>1525</v>
      </c>
      <c r="D85" s="22" t="s">
        <v>1307</v>
      </c>
      <c r="E85" s="1" t="s">
        <v>1311</v>
      </c>
      <c r="F85" s="23" t="s">
        <v>626</v>
      </c>
      <c r="G85" s="7" t="s">
        <v>9</v>
      </c>
      <c r="H85" s="83" t="s">
        <v>9</v>
      </c>
      <c r="I85" s="83" t="s">
        <v>9</v>
      </c>
      <c r="J85" s="7" t="s">
        <v>9</v>
      </c>
      <c r="K85" s="7" t="s">
        <v>9</v>
      </c>
      <c r="L85" s="24" t="str">
        <f t="shared" si="16"/>
        <v>Arquitetônicos</v>
      </c>
      <c r="M85" s="24" t="str">
        <f t="shared" si="17"/>
        <v>Elementos.de.Vedação</v>
      </c>
      <c r="N85" s="24" t="str">
        <f t="shared" si="18"/>
        <v>Paredes Assentadas</v>
      </c>
      <c r="O85" s="24" t="str">
        <f t="shared" si="19"/>
        <v>Parede Externa Alta</v>
      </c>
      <c r="P85" s="30" t="s">
        <v>610</v>
      </c>
      <c r="Q85" s="30" t="s">
        <v>611</v>
      </c>
      <c r="R85" s="19" t="s">
        <v>1697</v>
      </c>
      <c r="S85" s="43" t="s">
        <v>9</v>
      </c>
      <c r="T85" s="25" t="str">
        <f t="shared" si="20"/>
        <v>Arquitetônicos</v>
      </c>
      <c r="U85" s="25" t="str">
        <f t="shared" si="21"/>
        <v>Elementos de Vedação</v>
      </c>
      <c r="V85" s="25" t="str">
        <f t="shared" si="22"/>
        <v>Paredes Assentadas</v>
      </c>
      <c r="W85" s="19" t="s">
        <v>74</v>
      </c>
      <c r="X85" s="57" t="str">
        <f t="shared" si="23"/>
        <v>Key-ARQ-85</v>
      </c>
      <c r="Y85" s="19" t="s">
        <v>1388</v>
      </c>
      <c r="Z85" s="25" t="s">
        <v>9</v>
      </c>
      <c r="AA85" s="25" t="s">
        <v>1325</v>
      </c>
      <c r="AB85" s="25" t="s">
        <v>9</v>
      </c>
      <c r="AC85" s="25" t="s">
        <v>1562</v>
      </c>
      <c r="AD85" s="25" t="s">
        <v>9</v>
      </c>
    </row>
    <row r="86" spans="1:30" ht="6.65" customHeight="1" x14ac:dyDescent="0.4">
      <c r="A86" s="21">
        <v>86</v>
      </c>
      <c r="B86" s="1" t="s">
        <v>1524</v>
      </c>
      <c r="C86" s="1" t="s">
        <v>1525</v>
      </c>
      <c r="D86" s="22" t="s">
        <v>1307</v>
      </c>
      <c r="E86" s="1" t="s">
        <v>1311</v>
      </c>
      <c r="F86" s="23" t="s">
        <v>627</v>
      </c>
      <c r="G86" s="7" t="s">
        <v>9</v>
      </c>
      <c r="H86" s="83" t="s">
        <v>9</v>
      </c>
      <c r="I86" s="83" t="s">
        <v>9</v>
      </c>
      <c r="J86" s="7" t="s">
        <v>9</v>
      </c>
      <c r="K86" s="7" t="s">
        <v>9</v>
      </c>
      <c r="L86" s="24" t="str">
        <f t="shared" si="16"/>
        <v>Arquitetônicos</v>
      </c>
      <c r="M86" s="24" t="str">
        <f t="shared" si="17"/>
        <v>Elementos.de.Vedação</v>
      </c>
      <c r="N86" s="24" t="str">
        <f t="shared" si="18"/>
        <v>Paredes Assentadas</v>
      </c>
      <c r="O86" s="24" t="str">
        <f t="shared" si="19"/>
        <v>Parede Externa Baixa</v>
      </c>
      <c r="P86" s="30" t="s">
        <v>490</v>
      </c>
      <c r="Q86" s="30" t="s">
        <v>494</v>
      </c>
      <c r="R86" s="19" t="s">
        <v>1698</v>
      </c>
      <c r="S86" s="43" t="s">
        <v>9</v>
      </c>
      <c r="T86" s="25" t="str">
        <f t="shared" si="20"/>
        <v>Arquitetônicos</v>
      </c>
      <c r="U86" s="25" t="str">
        <f t="shared" si="21"/>
        <v>Elementos de Vedação</v>
      </c>
      <c r="V86" s="25" t="str">
        <f t="shared" si="22"/>
        <v>Paredes Assentadas</v>
      </c>
      <c r="W86" s="19" t="s">
        <v>74</v>
      </c>
      <c r="X86" s="57" t="str">
        <f t="shared" si="23"/>
        <v>Key-ARQ-86</v>
      </c>
      <c r="Y86" s="19" t="s">
        <v>1388</v>
      </c>
      <c r="Z86" s="25" t="s">
        <v>9</v>
      </c>
      <c r="AA86" s="25" t="s">
        <v>1325</v>
      </c>
      <c r="AB86" s="25" t="s">
        <v>9</v>
      </c>
      <c r="AC86" s="25" t="s">
        <v>1562</v>
      </c>
      <c r="AD86" s="25" t="s">
        <v>9</v>
      </c>
    </row>
    <row r="87" spans="1:30" ht="6.65" customHeight="1" x14ac:dyDescent="0.4">
      <c r="A87" s="21">
        <v>87</v>
      </c>
      <c r="B87" s="1" t="s">
        <v>1524</v>
      </c>
      <c r="C87" s="1" t="s">
        <v>1525</v>
      </c>
      <c r="D87" s="1" t="s">
        <v>1593</v>
      </c>
      <c r="E87" s="1" t="s">
        <v>1610</v>
      </c>
      <c r="F87" s="1" t="s">
        <v>1067</v>
      </c>
      <c r="G87" s="7" t="s">
        <v>9</v>
      </c>
      <c r="H87" s="83" t="s">
        <v>9</v>
      </c>
      <c r="I87" s="83" t="s">
        <v>9</v>
      </c>
      <c r="J87" s="7" t="s">
        <v>9</v>
      </c>
      <c r="K87" s="7" t="s">
        <v>9</v>
      </c>
      <c r="L87" s="24" t="str">
        <f t="shared" si="16"/>
        <v>Arquitetônicos</v>
      </c>
      <c r="M87" s="24" t="str">
        <f t="shared" si="17"/>
        <v>Elementos.de.Camadas</v>
      </c>
      <c r="N87" s="24" t="str">
        <f t="shared" si="18"/>
        <v>Parede Frisos</v>
      </c>
      <c r="O87" s="24" t="str">
        <f t="shared" si="19"/>
        <v>Cornija</v>
      </c>
      <c r="P87" s="19" t="s">
        <v>1069</v>
      </c>
      <c r="Q87" s="19" t="s">
        <v>1072</v>
      </c>
      <c r="R87" s="19" t="s">
        <v>1699</v>
      </c>
      <c r="S87" s="43" t="s">
        <v>9</v>
      </c>
      <c r="T87" s="25" t="str">
        <f t="shared" si="20"/>
        <v>Arquitetônicos</v>
      </c>
      <c r="U87" s="25" t="str">
        <f t="shared" si="21"/>
        <v>Elementos de Camadas</v>
      </c>
      <c r="V87" s="25" t="str">
        <f t="shared" si="22"/>
        <v>Parede Frisos</v>
      </c>
      <c r="W87" s="19" t="s">
        <v>74</v>
      </c>
      <c r="X87" s="57" t="str">
        <f t="shared" si="23"/>
        <v>Key-ARQ-87</v>
      </c>
      <c r="Y87" s="19" t="s">
        <v>1414</v>
      </c>
      <c r="Z87" s="25" t="s">
        <v>9</v>
      </c>
      <c r="AA87" s="25" t="s">
        <v>1327</v>
      </c>
      <c r="AB87" s="25" t="s">
        <v>9</v>
      </c>
      <c r="AC87" s="25" t="s">
        <v>1562</v>
      </c>
      <c r="AD87" s="25" t="s">
        <v>9</v>
      </c>
    </row>
    <row r="88" spans="1:30" ht="6.65" customHeight="1" x14ac:dyDescent="0.4">
      <c r="A88" s="21">
        <v>88</v>
      </c>
      <c r="B88" s="1" t="s">
        <v>1524</v>
      </c>
      <c r="C88" s="1" t="s">
        <v>1525</v>
      </c>
      <c r="D88" s="1" t="s">
        <v>1593</v>
      </c>
      <c r="E88" s="1" t="s">
        <v>1610</v>
      </c>
      <c r="F88" s="1" t="s">
        <v>1068</v>
      </c>
      <c r="G88" s="7" t="s">
        <v>9</v>
      </c>
      <c r="H88" s="83" t="s">
        <v>9</v>
      </c>
      <c r="I88" s="83" t="s">
        <v>9</v>
      </c>
      <c r="J88" s="7" t="s">
        <v>9</v>
      </c>
      <c r="K88" s="7" t="s">
        <v>9</v>
      </c>
      <c r="L88" s="24" t="str">
        <f t="shared" si="16"/>
        <v>Arquitetônicos</v>
      </c>
      <c r="M88" s="24" t="str">
        <f t="shared" si="17"/>
        <v>Elementos.de.Camadas</v>
      </c>
      <c r="N88" s="24" t="str">
        <f t="shared" si="18"/>
        <v>Parede Frisos</v>
      </c>
      <c r="O88" s="24" t="str">
        <f t="shared" si="19"/>
        <v>Borda Laje</v>
      </c>
      <c r="P88" s="19" t="s">
        <v>1070</v>
      </c>
      <c r="Q88" s="19" t="s">
        <v>1073</v>
      </c>
      <c r="R88" s="19" t="s">
        <v>1700</v>
      </c>
      <c r="S88" s="43" t="s">
        <v>9</v>
      </c>
      <c r="T88" s="25" t="str">
        <f t="shared" si="20"/>
        <v>Arquitetônicos</v>
      </c>
      <c r="U88" s="25" t="str">
        <f t="shared" si="21"/>
        <v>Elementos de Camadas</v>
      </c>
      <c r="V88" s="25" t="str">
        <f t="shared" si="22"/>
        <v>Parede Frisos</v>
      </c>
      <c r="W88" s="19" t="s">
        <v>74</v>
      </c>
      <c r="X88" s="57" t="str">
        <f t="shared" si="23"/>
        <v>Key-ARQ-88</v>
      </c>
      <c r="Y88" s="19" t="s">
        <v>1415</v>
      </c>
      <c r="Z88" s="25" t="s">
        <v>9</v>
      </c>
      <c r="AA88" s="25" t="s">
        <v>1320</v>
      </c>
      <c r="AB88" s="25" t="s">
        <v>9</v>
      </c>
      <c r="AC88" s="25" t="s">
        <v>1563</v>
      </c>
      <c r="AD88" s="25" t="s">
        <v>9</v>
      </c>
    </row>
    <row r="89" spans="1:30" ht="6.65" customHeight="1" x14ac:dyDescent="0.4">
      <c r="A89" s="21">
        <v>89</v>
      </c>
      <c r="B89" s="1" t="s">
        <v>1524</v>
      </c>
      <c r="C89" s="1" t="s">
        <v>1525</v>
      </c>
      <c r="D89" s="1" t="s">
        <v>1593</v>
      </c>
      <c r="E89" s="1" t="s">
        <v>1610</v>
      </c>
      <c r="F89" s="1" t="s">
        <v>1075</v>
      </c>
      <c r="G89" s="7" t="s">
        <v>9</v>
      </c>
      <c r="H89" s="83" t="s">
        <v>9</v>
      </c>
      <c r="I89" s="83" t="s">
        <v>9</v>
      </c>
      <c r="J89" s="7" t="s">
        <v>9</v>
      </c>
      <c r="K89" s="7" t="s">
        <v>9</v>
      </c>
      <c r="L89" s="24" t="str">
        <f t="shared" si="16"/>
        <v>Arquitetônicos</v>
      </c>
      <c r="M89" s="24" t="str">
        <f t="shared" si="17"/>
        <v>Elementos.de.Camadas</v>
      </c>
      <c r="N89" s="24" t="str">
        <f t="shared" si="18"/>
        <v>Parede Frisos</v>
      </c>
      <c r="O89" s="24" t="str">
        <f t="shared" si="19"/>
        <v>Nicho Entalhado</v>
      </c>
      <c r="P89" s="19" t="s">
        <v>1071</v>
      </c>
      <c r="Q89" s="19" t="s">
        <v>1074</v>
      </c>
      <c r="R89" s="19" t="s">
        <v>1701</v>
      </c>
      <c r="S89" s="43" t="s">
        <v>9</v>
      </c>
      <c r="T89" s="25" t="str">
        <f t="shared" si="20"/>
        <v>Arquitetônicos</v>
      </c>
      <c r="U89" s="25" t="str">
        <f t="shared" si="21"/>
        <v>Elementos de Camadas</v>
      </c>
      <c r="V89" s="25" t="str">
        <f t="shared" si="22"/>
        <v>Parede Frisos</v>
      </c>
      <c r="W89" s="19" t="s">
        <v>74</v>
      </c>
      <c r="X89" s="57" t="str">
        <f t="shared" si="23"/>
        <v>Key-ARQ-89</v>
      </c>
      <c r="Y89" s="19" t="s">
        <v>1416</v>
      </c>
      <c r="Z89" s="25" t="s">
        <v>9</v>
      </c>
      <c r="AA89" s="25" t="s">
        <v>1327</v>
      </c>
      <c r="AB89" s="25" t="s">
        <v>9</v>
      </c>
      <c r="AC89" s="25" t="s">
        <v>1562</v>
      </c>
      <c r="AD89" s="25" t="s">
        <v>9</v>
      </c>
    </row>
    <row r="90" spans="1:30" ht="6.65" customHeight="1" x14ac:dyDescent="0.4">
      <c r="A90" s="21">
        <v>90</v>
      </c>
      <c r="B90" s="1" t="s">
        <v>1524</v>
      </c>
      <c r="C90" s="1" t="s">
        <v>1525</v>
      </c>
      <c r="D90" s="1" t="s">
        <v>1593</v>
      </c>
      <c r="E90" s="1" t="s">
        <v>1580</v>
      </c>
      <c r="F90" s="1" t="s">
        <v>181</v>
      </c>
      <c r="G90" s="7" t="s">
        <v>9</v>
      </c>
      <c r="H90" s="83" t="s">
        <v>9</v>
      </c>
      <c r="I90" s="83" t="s">
        <v>9</v>
      </c>
      <c r="J90" s="7" t="s">
        <v>9</v>
      </c>
      <c r="K90" s="7" t="s">
        <v>9</v>
      </c>
      <c r="L90" s="24" t="str">
        <f t="shared" si="8"/>
        <v>Arquitetônicos</v>
      </c>
      <c r="M90" s="24" t="str">
        <f t="shared" si="9"/>
        <v>Elementos.de.Camadas</v>
      </c>
      <c r="N90" s="24" t="str">
        <f t="shared" si="10"/>
        <v>Parede Núcleo</v>
      </c>
      <c r="O90" s="24" t="str">
        <f t="shared" si="11"/>
        <v>Painel Maciço</v>
      </c>
      <c r="P90" s="19" t="s">
        <v>182</v>
      </c>
      <c r="Q90" s="29" t="s">
        <v>183</v>
      </c>
      <c r="R90" s="19" t="s">
        <v>1702</v>
      </c>
      <c r="S90" s="43" t="s">
        <v>9</v>
      </c>
      <c r="T90" s="25" t="str">
        <f t="shared" si="12"/>
        <v>Arquitetônicos</v>
      </c>
      <c r="U90" s="25" t="str">
        <f t="shared" si="13"/>
        <v>Elementos de Camadas</v>
      </c>
      <c r="V90" s="25" t="str">
        <f t="shared" si="14"/>
        <v>Parede Núcleo</v>
      </c>
      <c r="W90" s="19" t="s">
        <v>74</v>
      </c>
      <c r="X90" s="57" t="str">
        <f t="shared" si="15"/>
        <v>Key-ARQ-90</v>
      </c>
      <c r="Y90" s="19" t="s">
        <v>2089</v>
      </c>
      <c r="Z90" s="25" t="s">
        <v>9</v>
      </c>
      <c r="AA90" s="25" t="s">
        <v>1325</v>
      </c>
      <c r="AB90" s="25" t="s">
        <v>9</v>
      </c>
      <c r="AC90" s="25" t="s">
        <v>1562</v>
      </c>
      <c r="AD90" s="25" t="s">
        <v>9</v>
      </c>
    </row>
    <row r="91" spans="1:30" ht="6.65" customHeight="1" x14ac:dyDescent="0.4">
      <c r="A91" s="21">
        <v>91</v>
      </c>
      <c r="B91" s="1" t="s">
        <v>1524</v>
      </c>
      <c r="C91" s="1" t="s">
        <v>1525</v>
      </c>
      <c r="D91" s="1" t="s">
        <v>1593</v>
      </c>
      <c r="E91" s="1" t="s">
        <v>1580</v>
      </c>
      <c r="F91" s="1" t="s">
        <v>184</v>
      </c>
      <c r="G91" s="7" t="s">
        <v>9</v>
      </c>
      <c r="H91" s="83" t="s">
        <v>9</v>
      </c>
      <c r="I91" s="83" t="s">
        <v>9</v>
      </c>
      <c r="J91" s="7" t="s">
        <v>9</v>
      </c>
      <c r="K91" s="7" t="s">
        <v>9</v>
      </c>
      <c r="L91" s="24" t="str">
        <f t="shared" si="8"/>
        <v>Arquitetônicos</v>
      </c>
      <c r="M91" s="24" t="str">
        <f t="shared" si="9"/>
        <v>Elementos.de.Camadas</v>
      </c>
      <c r="N91" s="24" t="str">
        <f t="shared" si="10"/>
        <v>Parede Núcleo</v>
      </c>
      <c r="O91" s="24" t="str">
        <f t="shared" si="11"/>
        <v>Painel Alveolar</v>
      </c>
      <c r="P91" s="19" t="s">
        <v>185</v>
      </c>
      <c r="Q91" s="29" t="s">
        <v>186</v>
      </c>
      <c r="R91" s="19" t="s">
        <v>1703</v>
      </c>
      <c r="S91" s="43" t="s">
        <v>9</v>
      </c>
      <c r="T91" s="25" t="str">
        <f t="shared" si="12"/>
        <v>Arquitetônicos</v>
      </c>
      <c r="U91" s="25" t="str">
        <f t="shared" si="13"/>
        <v>Elementos de Camadas</v>
      </c>
      <c r="V91" s="25" t="str">
        <f t="shared" si="14"/>
        <v>Parede Núcleo</v>
      </c>
      <c r="W91" s="19" t="s">
        <v>74</v>
      </c>
      <c r="X91" s="57" t="str">
        <f t="shared" si="15"/>
        <v>Key-ARQ-91</v>
      </c>
      <c r="Y91" s="19" t="s">
        <v>2089</v>
      </c>
      <c r="Z91" s="25" t="s">
        <v>9</v>
      </c>
      <c r="AA91" s="25" t="s">
        <v>1325</v>
      </c>
      <c r="AB91" s="25" t="s">
        <v>9</v>
      </c>
      <c r="AC91" s="25" t="s">
        <v>1562</v>
      </c>
      <c r="AD91" s="25" t="s">
        <v>9</v>
      </c>
    </row>
    <row r="92" spans="1:30" ht="6.65" customHeight="1" x14ac:dyDescent="0.4">
      <c r="A92" s="21">
        <v>92</v>
      </c>
      <c r="B92" s="1" t="s">
        <v>1524</v>
      </c>
      <c r="C92" s="1" t="s">
        <v>1525</v>
      </c>
      <c r="D92" s="1" t="s">
        <v>1593</v>
      </c>
      <c r="E92" s="1" t="s">
        <v>1580</v>
      </c>
      <c r="F92" s="1" t="s">
        <v>187</v>
      </c>
      <c r="G92" s="7" t="s">
        <v>9</v>
      </c>
      <c r="H92" s="83" t="s">
        <v>9</v>
      </c>
      <c r="I92" s="83" t="s">
        <v>9</v>
      </c>
      <c r="J92" s="7" t="s">
        <v>9</v>
      </c>
      <c r="K92" s="7" t="s">
        <v>9</v>
      </c>
      <c r="L92" s="24" t="str">
        <f t="shared" si="8"/>
        <v>Arquitetônicos</v>
      </c>
      <c r="M92" s="24" t="str">
        <f t="shared" si="9"/>
        <v>Elementos.de.Camadas</v>
      </c>
      <c r="N92" s="24" t="str">
        <f t="shared" si="10"/>
        <v>Parede Núcleo</v>
      </c>
      <c r="O92" s="24" t="str">
        <f t="shared" si="11"/>
        <v>Parede CA</v>
      </c>
      <c r="P92" s="19" t="s">
        <v>188</v>
      </c>
      <c r="Q92" s="29" t="s">
        <v>189</v>
      </c>
      <c r="R92" s="19" t="s">
        <v>1704</v>
      </c>
      <c r="S92" s="43" t="s">
        <v>9</v>
      </c>
      <c r="T92" s="25" t="str">
        <f t="shared" si="12"/>
        <v>Arquitetônicos</v>
      </c>
      <c r="U92" s="25" t="str">
        <f t="shared" si="13"/>
        <v>Elementos de Camadas</v>
      </c>
      <c r="V92" s="25" t="str">
        <f t="shared" si="14"/>
        <v>Parede Núcleo</v>
      </c>
      <c r="W92" s="19" t="s">
        <v>74</v>
      </c>
      <c r="X92" s="57" t="str">
        <f t="shared" si="15"/>
        <v>Key-ARQ-92</v>
      </c>
      <c r="Y92" s="19" t="s">
        <v>2089</v>
      </c>
      <c r="Z92" s="25" t="s">
        <v>9</v>
      </c>
      <c r="AA92" s="25" t="s">
        <v>1325</v>
      </c>
      <c r="AB92" s="25" t="s">
        <v>9</v>
      </c>
      <c r="AC92" s="25" t="s">
        <v>1562</v>
      </c>
      <c r="AD92" s="25" t="s">
        <v>9</v>
      </c>
    </row>
    <row r="93" spans="1:30" ht="6.65" customHeight="1" x14ac:dyDescent="0.4">
      <c r="A93" s="21">
        <v>93</v>
      </c>
      <c r="B93" s="1" t="s">
        <v>1524</v>
      </c>
      <c r="C93" s="1" t="s">
        <v>1525</v>
      </c>
      <c r="D93" s="1" t="s">
        <v>1593</v>
      </c>
      <c r="E93" s="1" t="s">
        <v>1580</v>
      </c>
      <c r="F93" s="1" t="s">
        <v>190</v>
      </c>
      <c r="G93" s="7" t="s">
        <v>9</v>
      </c>
      <c r="H93" s="83" t="s">
        <v>9</v>
      </c>
      <c r="I93" s="83" t="s">
        <v>9</v>
      </c>
      <c r="J93" s="7" t="s">
        <v>9</v>
      </c>
      <c r="K93" s="7" t="s">
        <v>9</v>
      </c>
      <c r="L93" s="24" t="str">
        <f t="shared" si="8"/>
        <v>Arquitetônicos</v>
      </c>
      <c r="M93" s="24" t="str">
        <f t="shared" si="9"/>
        <v>Elementos.de.Camadas</v>
      </c>
      <c r="N93" s="24" t="str">
        <f t="shared" si="10"/>
        <v>Parede Núcleo</v>
      </c>
      <c r="O93" s="24" t="str">
        <f t="shared" si="11"/>
        <v>Bloco CCA</v>
      </c>
      <c r="P93" s="19" t="s">
        <v>191</v>
      </c>
      <c r="Q93" s="29" t="s">
        <v>192</v>
      </c>
      <c r="R93" s="19" t="s">
        <v>1705</v>
      </c>
      <c r="S93" s="43" t="s">
        <v>9</v>
      </c>
      <c r="T93" s="25" t="str">
        <f t="shared" si="12"/>
        <v>Arquitetônicos</v>
      </c>
      <c r="U93" s="25" t="str">
        <f t="shared" si="13"/>
        <v>Elementos de Camadas</v>
      </c>
      <c r="V93" s="25" t="str">
        <f t="shared" si="14"/>
        <v>Parede Núcleo</v>
      </c>
      <c r="W93" s="19" t="s">
        <v>74</v>
      </c>
      <c r="X93" s="57" t="str">
        <f t="shared" si="15"/>
        <v>Key-ARQ-93</v>
      </c>
      <c r="Y93" s="19" t="s">
        <v>2089</v>
      </c>
      <c r="Z93" s="25" t="s">
        <v>9</v>
      </c>
      <c r="AA93" s="25" t="s">
        <v>1325</v>
      </c>
      <c r="AB93" s="25" t="s">
        <v>9</v>
      </c>
      <c r="AC93" s="25" t="s">
        <v>1562</v>
      </c>
      <c r="AD93" s="25" t="s">
        <v>9</v>
      </c>
    </row>
    <row r="94" spans="1:30" ht="6.65" customHeight="1" x14ac:dyDescent="0.4">
      <c r="A94" s="21">
        <v>94</v>
      </c>
      <c r="B94" s="1" t="s">
        <v>1524</v>
      </c>
      <c r="C94" s="1" t="s">
        <v>1525</v>
      </c>
      <c r="D94" s="1" t="s">
        <v>1593</v>
      </c>
      <c r="E94" s="1" t="s">
        <v>1580</v>
      </c>
      <c r="F94" s="1" t="s">
        <v>497</v>
      </c>
      <c r="G94" s="7" t="s">
        <v>9</v>
      </c>
      <c r="H94" s="83" t="s">
        <v>9</v>
      </c>
      <c r="I94" s="83" t="s">
        <v>9</v>
      </c>
      <c r="J94" s="7" t="s">
        <v>9</v>
      </c>
      <c r="K94" s="7" t="s">
        <v>9</v>
      </c>
      <c r="L94" s="24" t="str">
        <f t="shared" si="8"/>
        <v>Arquitetônicos</v>
      </c>
      <c r="M94" s="24" t="str">
        <f t="shared" si="9"/>
        <v>Elementos.de.Camadas</v>
      </c>
      <c r="N94" s="24" t="str">
        <f t="shared" si="10"/>
        <v>Parede Núcleo</v>
      </c>
      <c r="O94" s="24" t="str">
        <f t="shared" si="11"/>
        <v>Bloco Concreto Estrutural</v>
      </c>
      <c r="P94" s="19" t="s">
        <v>193</v>
      </c>
      <c r="Q94" s="29" t="s">
        <v>194</v>
      </c>
      <c r="R94" s="19" t="s">
        <v>1706</v>
      </c>
      <c r="S94" s="43" t="s">
        <v>9</v>
      </c>
      <c r="T94" s="25" t="str">
        <f t="shared" si="12"/>
        <v>Arquitetônicos</v>
      </c>
      <c r="U94" s="25" t="str">
        <f t="shared" si="13"/>
        <v>Elementos de Camadas</v>
      </c>
      <c r="V94" s="25" t="str">
        <f t="shared" si="14"/>
        <v>Parede Núcleo</v>
      </c>
      <c r="W94" s="19" t="s">
        <v>74</v>
      </c>
      <c r="X94" s="57" t="str">
        <f t="shared" si="15"/>
        <v>Key-ARQ-94</v>
      </c>
      <c r="Y94" s="19" t="s">
        <v>2089</v>
      </c>
      <c r="Z94" s="25" t="s">
        <v>9</v>
      </c>
      <c r="AA94" s="25" t="s">
        <v>1325</v>
      </c>
      <c r="AB94" s="25" t="s">
        <v>9</v>
      </c>
      <c r="AC94" s="25" t="s">
        <v>1562</v>
      </c>
      <c r="AD94" s="25" t="s">
        <v>9</v>
      </c>
    </row>
    <row r="95" spans="1:30" ht="6.65" customHeight="1" x14ac:dyDescent="0.4">
      <c r="A95" s="21">
        <v>95</v>
      </c>
      <c r="B95" s="1" t="s">
        <v>1524</v>
      </c>
      <c r="C95" s="1" t="s">
        <v>1525</v>
      </c>
      <c r="D95" s="1" t="s">
        <v>1593</v>
      </c>
      <c r="E95" s="1" t="s">
        <v>1580</v>
      </c>
      <c r="F95" s="1" t="s">
        <v>498</v>
      </c>
      <c r="G95" s="7" t="s">
        <v>9</v>
      </c>
      <c r="H95" s="83" t="s">
        <v>9</v>
      </c>
      <c r="I95" s="83" t="s">
        <v>9</v>
      </c>
      <c r="J95" s="7" t="s">
        <v>9</v>
      </c>
      <c r="K95" s="7" t="s">
        <v>9</v>
      </c>
      <c r="L95" s="24" t="str">
        <f t="shared" si="8"/>
        <v>Arquitetônicos</v>
      </c>
      <c r="M95" s="24" t="str">
        <f t="shared" si="9"/>
        <v>Elementos.de.Camadas</v>
      </c>
      <c r="N95" s="24" t="str">
        <f t="shared" si="10"/>
        <v>Parede Núcleo</v>
      </c>
      <c r="O95" s="24" t="str">
        <f t="shared" si="11"/>
        <v>Bloco Concreto Vedação</v>
      </c>
      <c r="P95" s="19" t="s">
        <v>195</v>
      </c>
      <c r="Q95" s="29" t="s">
        <v>196</v>
      </c>
      <c r="R95" s="19" t="s">
        <v>1707</v>
      </c>
      <c r="S95" s="43" t="s">
        <v>9</v>
      </c>
      <c r="T95" s="25" t="str">
        <f t="shared" si="12"/>
        <v>Arquitetônicos</v>
      </c>
      <c r="U95" s="25" t="str">
        <f t="shared" si="13"/>
        <v>Elementos de Camadas</v>
      </c>
      <c r="V95" s="25" t="str">
        <f t="shared" si="14"/>
        <v>Parede Núcleo</v>
      </c>
      <c r="W95" s="19" t="s">
        <v>74</v>
      </c>
      <c r="X95" s="57" t="str">
        <f t="shared" si="15"/>
        <v>Key-ARQ-95</v>
      </c>
      <c r="Y95" s="19" t="s">
        <v>2089</v>
      </c>
      <c r="Z95" s="25" t="s">
        <v>9</v>
      </c>
      <c r="AA95" s="25" t="s">
        <v>1325</v>
      </c>
      <c r="AB95" s="25" t="s">
        <v>9</v>
      </c>
      <c r="AC95" s="25" t="s">
        <v>1562</v>
      </c>
      <c r="AD95" s="25" t="s">
        <v>9</v>
      </c>
    </row>
    <row r="96" spans="1:30" ht="6.65" customHeight="1" x14ac:dyDescent="0.4">
      <c r="A96" s="21">
        <v>96</v>
      </c>
      <c r="B96" s="1" t="s">
        <v>1524</v>
      </c>
      <c r="C96" s="1" t="s">
        <v>1525</v>
      </c>
      <c r="D96" s="1" t="s">
        <v>1593</v>
      </c>
      <c r="E96" s="1" t="s">
        <v>1580</v>
      </c>
      <c r="F96" s="1" t="s">
        <v>495</v>
      </c>
      <c r="G96" s="7" t="s">
        <v>9</v>
      </c>
      <c r="H96" s="83" t="s">
        <v>9</v>
      </c>
      <c r="I96" s="83" t="s">
        <v>9</v>
      </c>
      <c r="J96" s="7" t="s">
        <v>9</v>
      </c>
      <c r="K96" s="7" t="s">
        <v>9</v>
      </c>
      <c r="L96" s="24" t="str">
        <f t="shared" si="8"/>
        <v>Arquitetônicos</v>
      </c>
      <c r="M96" s="24" t="str">
        <f t="shared" si="9"/>
        <v>Elementos.de.Camadas</v>
      </c>
      <c r="N96" s="24" t="str">
        <f t="shared" si="10"/>
        <v>Parede Núcleo</v>
      </c>
      <c r="O96" s="24" t="str">
        <f t="shared" si="11"/>
        <v>Bloco Gesso Maciço</v>
      </c>
      <c r="P96" s="19" t="s">
        <v>197</v>
      </c>
      <c r="Q96" s="29" t="s">
        <v>198</v>
      </c>
      <c r="R96" s="19" t="s">
        <v>1708</v>
      </c>
      <c r="S96" s="43" t="s">
        <v>9</v>
      </c>
      <c r="T96" s="25" t="str">
        <f t="shared" si="12"/>
        <v>Arquitetônicos</v>
      </c>
      <c r="U96" s="25" t="str">
        <f t="shared" si="13"/>
        <v>Elementos de Camadas</v>
      </c>
      <c r="V96" s="25" t="str">
        <f t="shared" si="14"/>
        <v>Parede Núcleo</v>
      </c>
      <c r="W96" s="19" t="s">
        <v>74</v>
      </c>
      <c r="X96" s="57" t="str">
        <f t="shared" si="15"/>
        <v>Key-ARQ-96</v>
      </c>
      <c r="Y96" s="19" t="s">
        <v>2089</v>
      </c>
      <c r="Z96" s="25" t="s">
        <v>9</v>
      </c>
      <c r="AA96" s="25" t="s">
        <v>1325</v>
      </c>
      <c r="AB96" s="25" t="s">
        <v>9</v>
      </c>
      <c r="AC96" s="25" t="s">
        <v>1562</v>
      </c>
      <c r="AD96" s="25" t="s">
        <v>9</v>
      </c>
    </row>
    <row r="97" spans="1:30" ht="6.65" customHeight="1" x14ac:dyDescent="0.4">
      <c r="A97" s="21">
        <v>97</v>
      </c>
      <c r="B97" s="1" t="s">
        <v>1524</v>
      </c>
      <c r="C97" s="1" t="s">
        <v>1525</v>
      </c>
      <c r="D97" s="1" t="s">
        <v>1593</v>
      </c>
      <c r="E97" s="1" t="s">
        <v>1580</v>
      </c>
      <c r="F97" s="1" t="s">
        <v>496</v>
      </c>
      <c r="G97" s="7" t="s">
        <v>9</v>
      </c>
      <c r="H97" s="83" t="s">
        <v>9</v>
      </c>
      <c r="I97" s="83" t="s">
        <v>9</v>
      </c>
      <c r="J97" s="7" t="s">
        <v>9</v>
      </c>
      <c r="K97" s="7" t="s">
        <v>9</v>
      </c>
      <c r="L97" s="24" t="str">
        <f t="shared" si="8"/>
        <v>Arquitetônicos</v>
      </c>
      <c r="M97" s="24" t="str">
        <f t="shared" si="9"/>
        <v>Elementos.de.Camadas</v>
      </c>
      <c r="N97" s="24" t="str">
        <f t="shared" si="10"/>
        <v>Parede Núcleo</v>
      </c>
      <c r="O97" s="24" t="str">
        <f t="shared" si="11"/>
        <v>Bloco Gesso Alveolar</v>
      </c>
      <c r="P97" s="19" t="s">
        <v>199</v>
      </c>
      <c r="Q97" s="29" t="s">
        <v>200</v>
      </c>
      <c r="R97" s="19" t="s">
        <v>1709</v>
      </c>
      <c r="S97" s="43" t="s">
        <v>9</v>
      </c>
      <c r="T97" s="25" t="str">
        <f t="shared" si="12"/>
        <v>Arquitetônicos</v>
      </c>
      <c r="U97" s="25" t="str">
        <f t="shared" si="13"/>
        <v>Elementos de Camadas</v>
      </c>
      <c r="V97" s="25" t="str">
        <f t="shared" si="14"/>
        <v>Parede Núcleo</v>
      </c>
      <c r="W97" s="19" t="s">
        <v>74</v>
      </c>
      <c r="X97" s="57" t="str">
        <f t="shared" si="15"/>
        <v>Key-ARQ-97</v>
      </c>
      <c r="Y97" s="19" t="s">
        <v>2089</v>
      </c>
      <c r="Z97" s="25" t="s">
        <v>9</v>
      </c>
      <c r="AA97" s="25" t="s">
        <v>1325</v>
      </c>
      <c r="AB97" s="25" t="s">
        <v>9</v>
      </c>
      <c r="AC97" s="25" t="s">
        <v>1562</v>
      </c>
      <c r="AD97" s="25" t="s">
        <v>9</v>
      </c>
    </row>
    <row r="98" spans="1:30" ht="6.65" customHeight="1" x14ac:dyDescent="0.4">
      <c r="A98" s="21">
        <v>98</v>
      </c>
      <c r="B98" s="1" t="s">
        <v>1524</v>
      </c>
      <c r="C98" s="1" t="s">
        <v>1525</v>
      </c>
      <c r="D98" s="1" t="s">
        <v>1593</v>
      </c>
      <c r="E98" s="1" t="s">
        <v>1580</v>
      </c>
      <c r="F98" s="1" t="s">
        <v>201</v>
      </c>
      <c r="G98" s="7" t="s">
        <v>9</v>
      </c>
      <c r="H98" s="83" t="s">
        <v>9</v>
      </c>
      <c r="I98" s="83" t="s">
        <v>9</v>
      </c>
      <c r="J98" s="7" t="s">
        <v>9</v>
      </c>
      <c r="K98" s="7" t="s">
        <v>9</v>
      </c>
      <c r="L98" s="24" t="str">
        <f t="shared" si="8"/>
        <v>Arquitetônicos</v>
      </c>
      <c r="M98" s="24" t="str">
        <f t="shared" si="9"/>
        <v>Elementos.de.Camadas</v>
      </c>
      <c r="N98" s="24" t="str">
        <f t="shared" si="10"/>
        <v>Parede Núcleo</v>
      </c>
      <c r="O98" s="24" t="str">
        <f t="shared" si="11"/>
        <v>Tijolo Comúm</v>
      </c>
      <c r="P98" s="30" t="s">
        <v>202</v>
      </c>
      <c r="Q98" s="29" t="s">
        <v>203</v>
      </c>
      <c r="R98" s="19" t="s">
        <v>1710</v>
      </c>
      <c r="S98" s="43" t="s">
        <v>9</v>
      </c>
      <c r="T98" s="25" t="str">
        <f t="shared" si="12"/>
        <v>Arquitetônicos</v>
      </c>
      <c r="U98" s="25" t="str">
        <f t="shared" si="13"/>
        <v>Elementos de Camadas</v>
      </c>
      <c r="V98" s="25" t="str">
        <f t="shared" si="14"/>
        <v>Parede Núcleo</v>
      </c>
      <c r="W98" s="19" t="s">
        <v>74</v>
      </c>
      <c r="X98" s="57" t="str">
        <f t="shared" si="15"/>
        <v>Key-ARQ-98</v>
      </c>
      <c r="Y98" s="19" t="s">
        <v>2089</v>
      </c>
      <c r="Z98" s="25" t="s">
        <v>9</v>
      </c>
      <c r="AA98" s="25" t="s">
        <v>1325</v>
      </c>
      <c r="AB98" s="25" t="s">
        <v>9</v>
      </c>
      <c r="AC98" s="25" t="s">
        <v>1562</v>
      </c>
      <c r="AD98" s="25" t="s">
        <v>9</v>
      </c>
    </row>
    <row r="99" spans="1:30" ht="6.65" customHeight="1" x14ac:dyDescent="0.4">
      <c r="A99" s="21">
        <v>99</v>
      </c>
      <c r="B99" s="1" t="s">
        <v>1524</v>
      </c>
      <c r="C99" s="1" t="s">
        <v>1525</v>
      </c>
      <c r="D99" s="1" t="s">
        <v>1593</v>
      </c>
      <c r="E99" s="1" t="s">
        <v>1580</v>
      </c>
      <c r="F99" s="1" t="s">
        <v>204</v>
      </c>
      <c r="G99" s="7" t="s">
        <v>9</v>
      </c>
      <c r="H99" s="83" t="s">
        <v>9</v>
      </c>
      <c r="I99" s="83" t="s">
        <v>9</v>
      </c>
      <c r="J99" s="7" t="s">
        <v>9</v>
      </c>
      <c r="K99" s="7" t="s">
        <v>9</v>
      </c>
      <c r="L99" s="24" t="str">
        <f t="shared" si="8"/>
        <v>Arquitetônicos</v>
      </c>
      <c r="M99" s="24" t="str">
        <f t="shared" si="9"/>
        <v>Elementos.de.Camadas</v>
      </c>
      <c r="N99" s="24" t="str">
        <f t="shared" si="10"/>
        <v>Parede Núcleo</v>
      </c>
      <c r="O99" s="24" t="str">
        <f t="shared" si="11"/>
        <v>Tijolo Laminado</v>
      </c>
      <c r="P99" s="19" t="s">
        <v>205</v>
      </c>
      <c r="Q99" s="29" t="s">
        <v>206</v>
      </c>
      <c r="R99" s="19" t="s">
        <v>1711</v>
      </c>
      <c r="S99" s="43" t="s">
        <v>9</v>
      </c>
      <c r="T99" s="25" t="str">
        <f t="shared" si="12"/>
        <v>Arquitetônicos</v>
      </c>
      <c r="U99" s="25" t="str">
        <f t="shared" si="13"/>
        <v>Elementos de Camadas</v>
      </c>
      <c r="V99" s="25" t="str">
        <f t="shared" si="14"/>
        <v>Parede Núcleo</v>
      </c>
      <c r="W99" s="19" t="s">
        <v>74</v>
      </c>
      <c r="X99" s="57" t="str">
        <f t="shared" si="15"/>
        <v>Key-ARQ-99</v>
      </c>
      <c r="Y99" s="19" t="s">
        <v>2089</v>
      </c>
      <c r="Z99" s="25" t="s">
        <v>9</v>
      </c>
      <c r="AA99" s="25" t="s">
        <v>1325</v>
      </c>
      <c r="AB99" s="25" t="s">
        <v>9</v>
      </c>
      <c r="AC99" s="25" t="s">
        <v>1562</v>
      </c>
      <c r="AD99" s="25" t="s">
        <v>9</v>
      </c>
    </row>
    <row r="100" spans="1:30" ht="6.65" customHeight="1" x14ac:dyDescent="0.4">
      <c r="A100" s="21">
        <v>100</v>
      </c>
      <c r="B100" s="1" t="s">
        <v>1524</v>
      </c>
      <c r="C100" s="1" t="s">
        <v>1525</v>
      </c>
      <c r="D100" s="1" t="s">
        <v>1593</v>
      </c>
      <c r="E100" s="1" t="s">
        <v>1580</v>
      </c>
      <c r="F100" s="1" t="s">
        <v>207</v>
      </c>
      <c r="G100" s="7" t="s">
        <v>9</v>
      </c>
      <c r="H100" s="83" t="s">
        <v>9</v>
      </c>
      <c r="I100" s="83" t="s">
        <v>9</v>
      </c>
      <c r="J100" s="7" t="s">
        <v>9</v>
      </c>
      <c r="K100" s="7" t="s">
        <v>9</v>
      </c>
      <c r="L100" s="24" t="str">
        <f t="shared" si="8"/>
        <v>Arquitetônicos</v>
      </c>
      <c r="M100" s="24" t="str">
        <f t="shared" si="9"/>
        <v>Elementos.de.Camadas</v>
      </c>
      <c r="N100" s="24" t="str">
        <f t="shared" si="10"/>
        <v>Parede Núcleo</v>
      </c>
      <c r="O100" s="24" t="str">
        <f t="shared" si="11"/>
        <v>Tijolo Refratário</v>
      </c>
      <c r="P100" s="29" t="s">
        <v>208</v>
      </c>
      <c r="Q100" s="29" t="s">
        <v>209</v>
      </c>
      <c r="R100" s="19" t="s">
        <v>1712</v>
      </c>
      <c r="S100" s="43" t="s">
        <v>9</v>
      </c>
      <c r="T100" s="25" t="str">
        <f t="shared" si="12"/>
        <v>Arquitetônicos</v>
      </c>
      <c r="U100" s="25" t="str">
        <f t="shared" si="13"/>
        <v>Elementos de Camadas</v>
      </c>
      <c r="V100" s="25" t="str">
        <f t="shared" si="14"/>
        <v>Parede Núcleo</v>
      </c>
      <c r="W100" s="19" t="s">
        <v>74</v>
      </c>
      <c r="X100" s="57" t="str">
        <f t="shared" si="15"/>
        <v>Key-ARQ-100</v>
      </c>
      <c r="Y100" s="19" t="s">
        <v>2089</v>
      </c>
      <c r="Z100" s="25" t="s">
        <v>9</v>
      </c>
      <c r="AA100" s="25" t="s">
        <v>1325</v>
      </c>
      <c r="AB100" s="25" t="s">
        <v>9</v>
      </c>
      <c r="AC100" s="25" t="s">
        <v>1562</v>
      </c>
      <c r="AD100" s="25" t="s">
        <v>9</v>
      </c>
    </row>
    <row r="101" spans="1:30" ht="6.65" customHeight="1" x14ac:dyDescent="0.4">
      <c r="A101" s="21">
        <v>101</v>
      </c>
      <c r="B101" s="1" t="s">
        <v>1524</v>
      </c>
      <c r="C101" s="1" t="s">
        <v>1525</v>
      </c>
      <c r="D101" s="1" t="s">
        <v>1593</v>
      </c>
      <c r="E101" s="1" t="s">
        <v>1580</v>
      </c>
      <c r="F101" s="1" t="s">
        <v>499</v>
      </c>
      <c r="G101" s="7" t="s">
        <v>9</v>
      </c>
      <c r="H101" s="83" t="s">
        <v>9</v>
      </c>
      <c r="I101" s="83" t="s">
        <v>9</v>
      </c>
      <c r="J101" s="7" t="s">
        <v>9</v>
      </c>
      <c r="K101" s="7" t="s">
        <v>9</v>
      </c>
      <c r="L101" s="24" t="str">
        <f t="shared" si="8"/>
        <v>Arquitetônicos</v>
      </c>
      <c r="M101" s="24" t="str">
        <f t="shared" si="9"/>
        <v>Elementos.de.Camadas</v>
      </c>
      <c r="N101" s="24" t="str">
        <f t="shared" si="10"/>
        <v>Parede Núcleo</v>
      </c>
      <c r="O101" s="24" t="str">
        <f t="shared" si="11"/>
        <v>Tijolo Ecológico</v>
      </c>
      <c r="P101" s="19" t="s">
        <v>213</v>
      </c>
      <c r="Q101" s="29" t="s">
        <v>214</v>
      </c>
      <c r="R101" s="19" t="s">
        <v>1713</v>
      </c>
      <c r="S101" s="43" t="s">
        <v>9</v>
      </c>
      <c r="T101" s="25" t="str">
        <f t="shared" si="12"/>
        <v>Arquitetônicos</v>
      </c>
      <c r="U101" s="25" t="str">
        <f t="shared" si="13"/>
        <v>Elementos de Camadas</v>
      </c>
      <c r="V101" s="25" t="str">
        <f t="shared" si="14"/>
        <v>Parede Núcleo</v>
      </c>
      <c r="W101" s="19" t="s">
        <v>74</v>
      </c>
      <c r="X101" s="57" t="str">
        <f t="shared" si="15"/>
        <v>Key-ARQ-101</v>
      </c>
      <c r="Y101" s="19" t="s">
        <v>2089</v>
      </c>
      <c r="Z101" s="25" t="s">
        <v>9</v>
      </c>
      <c r="AA101" s="25" t="s">
        <v>1325</v>
      </c>
      <c r="AB101" s="25" t="s">
        <v>9</v>
      </c>
      <c r="AC101" s="25" t="s">
        <v>1562</v>
      </c>
      <c r="AD101" s="25" t="s">
        <v>9</v>
      </c>
    </row>
    <row r="102" spans="1:30" ht="6.65" customHeight="1" x14ac:dyDescent="0.4">
      <c r="A102" s="21">
        <v>102</v>
      </c>
      <c r="B102" s="1" t="s">
        <v>1524</v>
      </c>
      <c r="C102" s="1" t="s">
        <v>1525</v>
      </c>
      <c r="D102" s="1" t="s">
        <v>1593</v>
      </c>
      <c r="E102" s="1" t="s">
        <v>1580</v>
      </c>
      <c r="F102" s="1" t="s">
        <v>210</v>
      </c>
      <c r="G102" s="7" t="s">
        <v>9</v>
      </c>
      <c r="H102" s="83" t="s">
        <v>9</v>
      </c>
      <c r="I102" s="83" t="s">
        <v>9</v>
      </c>
      <c r="J102" s="7" t="s">
        <v>9</v>
      </c>
      <c r="K102" s="7" t="s">
        <v>9</v>
      </c>
      <c r="L102" s="24" t="str">
        <f t="shared" si="8"/>
        <v>Arquitetônicos</v>
      </c>
      <c r="M102" s="24" t="str">
        <f t="shared" si="9"/>
        <v>Elementos.de.Camadas</v>
      </c>
      <c r="N102" s="24" t="str">
        <f t="shared" si="10"/>
        <v>Parede Núcleo</v>
      </c>
      <c r="O102" s="24" t="str">
        <f t="shared" si="11"/>
        <v>Bloco Furado</v>
      </c>
      <c r="P102" s="19" t="s">
        <v>211</v>
      </c>
      <c r="Q102" s="29" t="s">
        <v>212</v>
      </c>
      <c r="R102" s="19" t="s">
        <v>1714</v>
      </c>
      <c r="S102" s="43" t="s">
        <v>9</v>
      </c>
      <c r="T102" s="25" t="str">
        <f t="shared" si="12"/>
        <v>Arquitetônicos</v>
      </c>
      <c r="U102" s="25" t="str">
        <f t="shared" si="13"/>
        <v>Elementos de Camadas</v>
      </c>
      <c r="V102" s="25" t="str">
        <f t="shared" si="14"/>
        <v>Parede Núcleo</v>
      </c>
      <c r="W102" s="19" t="s">
        <v>74</v>
      </c>
      <c r="X102" s="57" t="str">
        <f t="shared" si="15"/>
        <v>Key-ARQ-102</v>
      </c>
      <c r="Y102" s="19" t="s">
        <v>2089</v>
      </c>
      <c r="Z102" s="25" t="s">
        <v>9</v>
      </c>
      <c r="AA102" s="25" t="s">
        <v>1325</v>
      </c>
      <c r="AB102" s="25" t="s">
        <v>9</v>
      </c>
      <c r="AC102" s="25" t="s">
        <v>1562</v>
      </c>
      <c r="AD102" s="25" t="s">
        <v>9</v>
      </c>
    </row>
    <row r="103" spans="1:30" ht="6.65" customHeight="1" x14ac:dyDescent="0.4">
      <c r="A103" s="21">
        <v>103</v>
      </c>
      <c r="B103" s="1" t="s">
        <v>1524</v>
      </c>
      <c r="C103" s="1" t="s">
        <v>1525</v>
      </c>
      <c r="D103" s="1" t="s">
        <v>1593</v>
      </c>
      <c r="E103" s="1" t="s">
        <v>1580</v>
      </c>
      <c r="F103" s="1" t="s">
        <v>215</v>
      </c>
      <c r="G103" s="7" t="s">
        <v>9</v>
      </c>
      <c r="H103" s="83" t="s">
        <v>9</v>
      </c>
      <c r="I103" s="83" t="s">
        <v>9</v>
      </c>
      <c r="J103" s="7" t="s">
        <v>9</v>
      </c>
      <c r="K103" s="7" t="s">
        <v>9</v>
      </c>
      <c r="L103" s="24" t="str">
        <f t="shared" si="8"/>
        <v>Arquitetônicos</v>
      </c>
      <c r="M103" s="24" t="str">
        <f t="shared" si="9"/>
        <v>Elementos.de.Camadas</v>
      </c>
      <c r="N103" s="24" t="str">
        <f t="shared" si="10"/>
        <v>Parede Núcleo</v>
      </c>
      <c r="O103" s="24" t="str">
        <f t="shared" si="11"/>
        <v>Canaleta J</v>
      </c>
      <c r="P103" s="19" t="s">
        <v>216</v>
      </c>
      <c r="Q103" s="29" t="s">
        <v>217</v>
      </c>
      <c r="R103" s="19" t="s">
        <v>1715</v>
      </c>
      <c r="S103" s="43" t="s">
        <v>9</v>
      </c>
      <c r="T103" s="25" t="str">
        <f t="shared" si="12"/>
        <v>Arquitetônicos</v>
      </c>
      <c r="U103" s="25" t="str">
        <f t="shared" si="13"/>
        <v>Elementos de Camadas</v>
      </c>
      <c r="V103" s="25" t="str">
        <f t="shared" si="14"/>
        <v>Parede Núcleo</v>
      </c>
      <c r="W103" s="19" t="s">
        <v>74</v>
      </c>
      <c r="X103" s="57" t="str">
        <f t="shared" si="15"/>
        <v>Key-ARQ-103</v>
      </c>
      <c r="Y103" s="19" t="s">
        <v>2089</v>
      </c>
      <c r="Z103" s="25" t="s">
        <v>9</v>
      </c>
      <c r="AA103" s="25" t="s">
        <v>1325</v>
      </c>
      <c r="AB103" s="25" t="s">
        <v>9</v>
      </c>
      <c r="AC103" s="25" t="s">
        <v>1562</v>
      </c>
      <c r="AD103" s="25" t="s">
        <v>9</v>
      </c>
    </row>
    <row r="104" spans="1:30" ht="6.65" customHeight="1" x14ac:dyDescent="0.4">
      <c r="A104" s="21">
        <v>104</v>
      </c>
      <c r="B104" s="1" t="s">
        <v>1524</v>
      </c>
      <c r="C104" s="1" t="s">
        <v>1525</v>
      </c>
      <c r="D104" s="1" t="s">
        <v>1593</v>
      </c>
      <c r="E104" s="1" t="s">
        <v>1580</v>
      </c>
      <c r="F104" s="1" t="s">
        <v>218</v>
      </c>
      <c r="G104" s="7" t="s">
        <v>9</v>
      </c>
      <c r="H104" s="83" t="s">
        <v>9</v>
      </c>
      <c r="I104" s="83" t="s">
        <v>9</v>
      </c>
      <c r="J104" s="7" t="s">
        <v>9</v>
      </c>
      <c r="K104" s="7" t="s">
        <v>9</v>
      </c>
      <c r="L104" s="24" t="str">
        <f t="shared" si="8"/>
        <v>Arquitetônicos</v>
      </c>
      <c r="M104" s="24" t="str">
        <f t="shared" si="9"/>
        <v>Elementos.de.Camadas</v>
      </c>
      <c r="N104" s="24" t="str">
        <f t="shared" si="10"/>
        <v>Parede Núcleo</v>
      </c>
      <c r="O104" s="24" t="str">
        <f t="shared" si="11"/>
        <v>Canaleta U</v>
      </c>
      <c r="P104" s="19" t="s">
        <v>219</v>
      </c>
      <c r="Q104" s="29" t="s">
        <v>220</v>
      </c>
      <c r="R104" s="19" t="s">
        <v>1716</v>
      </c>
      <c r="S104" s="43" t="s">
        <v>9</v>
      </c>
      <c r="T104" s="25" t="str">
        <f t="shared" si="12"/>
        <v>Arquitetônicos</v>
      </c>
      <c r="U104" s="25" t="str">
        <f t="shared" si="13"/>
        <v>Elementos de Camadas</v>
      </c>
      <c r="V104" s="25" t="str">
        <f t="shared" si="14"/>
        <v>Parede Núcleo</v>
      </c>
      <c r="W104" s="19" t="s">
        <v>74</v>
      </c>
      <c r="X104" s="57" t="str">
        <f t="shared" si="15"/>
        <v>Key-ARQ-104</v>
      </c>
      <c r="Y104" s="19" t="s">
        <v>2089</v>
      </c>
      <c r="Z104" s="25" t="s">
        <v>9</v>
      </c>
      <c r="AA104" s="25" t="s">
        <v>1325</v>
      </c>
      <c r="AB104" s="25" t="s">
        <v>9</v>
      </c>
      <c r="AC104" s="25" t="s">
        <v>1562</v>
      </c>
      <c r="AD104" s="25" t="s">
        <v>9</v>
      </c>
    </row>
    <row r="105" spans="1:30" ht="6.65" customHeight="1" x14ac:dyDescent="0.4">
      <c r="A105" s="21">
        <v>105</v>
      </c>
      <c r="B105" s="1" t="s">
        <v>1524</v>
      </c>
      <c r="C105" s="1" t="s">
        <v>1525</v>
      </c>
      <c r="D105" s="1" t="s">
        <v>1593</v>
      </c>
      <c r="E105" s="1" t="s">
        <v>1580</v>
      </c>
      <c r="F105" s="1" t="s">
        <v>221</v>
      </c>
      <c r="G105" s="7" t="s">
        <v>9</v>
      </c>
      <c r="H105" s="83" t="s">
        <v>9</v>
      </c>
      <c r="I105" s="83" t="s">
        <v>9</v>
      </c>
      <c r="J105" s="7" t="s">
        <v>9</v>
      </c>
      <c r="K105" s="7" t="s">
        <v>9</v>
      </c>
      <c r="L105" s="24" t="str">
        <f t="shared" si="8"/>
        <v>Arquitetônicos</v>
      </c>
      <c r="M105" s="24" t="str">
        <f t="shared" si="9"/>
        <v>Elementos.de.Camadas</v>
      </c>
      <c r="N105" s="24" t="str">
        <f t="shared" si="10"/>
        <v>Parede Núcleo</v>
      </c>
      <c r="O105" s="24" t="str">
        <f t="shared" si="11"/>
        <v>Cobogô</v>
      </c>
      <c r="P105" s="19" t="s">
        <v>222</v>
      </c>
      <c r="Q105" s="19" t="s">
        <v>223</v>
      </c>
      <c r="R105" s="19" t="s">
        <v>1717</v>
      </c>
      <c r="S105" s="43" t="s">
        <v>9</v>
      </c>
      <c r="T105" s="25" t="str">
        <f t="shared" si="12"/>
        <v>Arquitetônicos</v>
      </c>
      <c r="U105" s="25" t="str">
        <f t="shared" si="13"/>
        <v>Elementos de Camadas</v>
      </c>
      <c r="V105" s="25" t="str">
        <f t="shared" si="14"/>
        <v>Parede Núcleo</v>
      </c>
      <c r="W105" s="19" t="s">
        <v>74</v>
      </c>
      <c r="X105" s="57" t="str">
        <f t="shared" si="15"/>
        <v>Key-ARQ-105</v>
      </c>
      <c r="Y105" s="19" t="s">
        <v>2089</v>
      </c>
      <c r="Z105" s="25" t="s">
        <v>9</v>
      </c>
      <c r="AA105" s="25" t="s">
        <v>1325</v>
      </c>
      <c r="AB105" s="25" t="s">
        <v>9</v>
      </c>
      <c r="AC105" s="25" t="s">
        <v>1562</v>
      </c>
      <c r="AD105" s="25" t="s">
        <v>9</v>
      </c>
    </row>
    <row r="106" spans="1:30" ht="6.65" customHeight="1" x14ac:dyDescent="0.4">
      <c r="A106" s="21">
        <v>106</v>
      </c>
      <c r="B106" s="1" t="s">
        <v>1524</v>
      </c>
      <c r="C106" s="1" t="s">
        <v>1525</v>
      </c>
      <c r="D106" s="1" t="s">
        <v>1593</v>
      </c>
      <c r="E106" s="1" t="s">
        <v>1580</v>
      </c>
      <c r="F106" s="1" t="s">
        <v>224</v>
      </c>
      <c r="G106" s="7" t="s">
        <v>9</v>
      </c>
      <c r="H106" s="83" t="s">
        <v>9</v>
      </c>
      <c r="I106" s="83" t="s">
        <v>9</v>
      </c>
      <c r="J106" s="7" t="s">
        <v>9</v>
      </c>
      <c r="K106" s="7" t="s">
        <v>9</v>
      </c>
      <c r="L106" s="24" t="str">
        <f t="shared" si="8"/>
        <v>Arquitetônicos</v>
      </c>
      <c r="M106" s="24" t="str">
        <f t="shared" si="9"/>
        <v>Elementos.de.Camadas</v>
      </c>
      <c r="N106" s="24" t="str">
        <f t="shared" si="10"/>
        <v>Parede Núcleo</v>
      </c>
      <c r="O106" s="24" t="str">
        <f t="shared" si="11"/>
        <v>Tijolo Vidro</v>
      </c>
      <c r="P106" s="19" t="s">
        <v>225</v>
      </c>
      <c r="Q106" s="29" t="s">
        <v>226</v>
      </c>
      <c r="R106" s="19" t="s">
        <v>1718</v>
      </c>
      <c r="S106" s="43" t="s">
        <v>9</v>
      </c>
      <c r="T106" s="25" t="str">
        <f t="shared" si="12"/>
        <v>Arquitetônicos</v>
      </c>
      <c r="U106" s="25" t="str">
        <f t="shared" si="13"/>
        <v>Elementos de Camadas</v>
      </c>
      <c r="V106" s="25" t="str">
        <f t="shared" si="14"/>
        <v>Parede Núcleo</v>
      </c>
      <c r="W106" s="19" t="s">
        <v>74</v>
      </c>
      <c r="X106" s="57" t="str">
        <f t="shared" si="15"/>
        <v>Key-ARQ-106</v>
      </c>
      <c r="Y106" s="19" t="s">
        <v>2089</v>
      </c>
      <c r="Z106" s="25" t="s">
        <v>9</v>
      </c>
      <c r="AA106" s="25" t="s">
        <v>1325</v>
      </c>
      <c r="AB106" s="25" t="s">
        <v>9</v>
      </c>
      <c r="AC106" s="25" t="s">
        <v>1562</v>
      </c>
      <c r="AD106" s="25" t="s">
        <v>9</v>
      </c>
    </row>
    <row r="107" spans="1:30" ht="6.65" customHeight="1" x14ac:dyDescent="0.4">
      <c r="A107" s="21">
        <v>107</v>
      </c>
      <c r="B107" s="1" t="s">
        <v>1524</v>
      </c>
      <c r="C107" s="1" t="s">
        <v>1525</v>
      </c>
      <c r="D107" s="1" t="s">
        <v>1593</v>
      </c>
      <c r="E107" s="1" t="s">
        <v>2038</v>
      </c>
      <c r="F107" s="23" t="s">
        <v>2093</v>
      </c>
      <c r="G107" s="7" t="s">
        <v>9</v>
      </c>
      <c r="H107" s="83" t="s">
        <v>9</v>
      </c>
      <c r="I107" s="83" t="s">
        <v>9</v>
      </c>
      <c r="J107" s="7" t="s">
        <v>9</v>
      </c>
      <c r="K107" s="7" t="s">
        <v>9</v>
      </c>
      <c r="L107" s="24" t="str">
        <f t="shared" si="8"/>
        <v>Arquitetônicos</v>
      </c>
      <c r="M107" s="24" t="str">
        <f t="shared" si="9"/>
        <v>Elementos.de.Camadas</v>
      </c>
      <c r="N107" s="24" t="str">
        <f t="shared" si="10"/>
        <v>Parede Camada</v>
      </c>
      <c r="O107" s="24" t="str">
        <f t="shared" si="11"/>
        <v>Assentamento</v>
      </c>
      <c r="P107" s="30" t="s">
        <v>2094</v>
      </c>
      <c r="Q107" s="29" t="s">
        <v>2095</v>
      </c>
      <c r="R107" s="19" t="s">
        <v>2096</v>
      </c>
      <c r="S107" s="43" t="s">
        <v>9</v>
      </c>
      <c r="T107" s="25" t="str">
        <f t="shared" si="12"/>
        <v>Arquitetônicos</v>
      </c>
      <c r="U107" s="25" t="str">
        <f t="shared" si="13"/>
        <v>Elementos de Camadas</v>
      </c>
      <c r="V107" s="25" t="str">
        <f t="shared" si="14"/>
        <v>Parede Camada</v>
      </c>
      <c r="W107" s="19" t="s">
        <v>74</v>
      </c>
      <c r="X107" s="57" t="str">
        <f t="shared" si="15"/>
        <v>Key-ARQ-107</v>
      </c>
      <c r="Y107" s="19" t="s">
        <v>2091</v>
      </c>
      <c r="Z107" s="25" t="s">
        <v>9</v>
      </c>
      <c r="AA107" s="25" t="s">
        <v>1342</v>
      </c>
      <c r="AB107" s="25" t="s">
        <v>9</v>
      </c>
      <c r="AC107" s="25" t="s">
        <v>1563</v>
      </c>
      <c r="AD107" s="25" t="s">
        <v>9</v>
      </c>
    </row>
    <row r="108" spans="1:30" ht="6.65" customHeight="1" x14ac:dyDescent="0.4">
      <c r="A108" s="21">
        <v>108</v>
      </c>
      <c r="B108" s="1" t="s">
        <v>1524</v>
      </c>
      <c r="C108" s="1" t="s">
        <v>1525</v>
      </c>
      <c r="D108" s="1" t="s">
        <v>1593</v>
      </c>
      <c r="E108" s="1" t="s">
        <v>2038</v>
      </c>
      <c r="F108" s="23" t="s">
        <v>2040</v>
      </c>
      <c r="G108" s="7" t="s">
        <v>9</v>
      </c>
      <c r="H108" s="83" t="s">
        <v>9</v>
      </c>
      <c r="I108" s="83" t="s">
        <v>9</v>
      </c>
      <c r="J108" s="7" t="s">
        <v>9</v>
      </c>
      <c r="K108" s="7" t="s">
        <v>9</v>
      </c>
      <c r="L108" s="24" t="str">
        <f t="shared" ref="L108:L111" si="24">CONCATENATE("", C108)</f>
        <v>Arquitetônicos</v>
      </c>
      <c r="M108" s="24" t="str">
        <f t="shared" ref="M108:M111" si="25">CONCATENATE("", D108)</f>
        <v>Elementos.de.Camadas</v>
      </c>
      <c r="N108" s="24" t="str">
        <f t="shared" ref="N108:N111" si="26">(SUBSTITUTE(SUBSTITUTE(CONCATENATE("",E108),"."," ")," De "," de "))</f>
        <v>Parede Camada</v>
      </c>
      <c r="O108" s="24" t="str">
        <f t="shared" ref="O108:O111" si="27">(SUBSTITUTE(SUBSTITUTE(CONCATENATE("",F108),"."," ")," De "," de "))</f>
        <v>Colante</v>
      </c>
      <c r="P108" s="30" t="s">
        <v>650</v>
      </c>
      <c r="Q108" s="29" t="s">
        <v>651</v>
      </c>
      <c r="R108" s="19" t="s">
        <v>1672</v>
      </c>
      <c r="S108" s="43" t="s">
        <v>9</v>
      </c>
      <c r="T108" s="25" t="str">
        <f t="shared" ref="T108:T111" si="28">SUBSTITUTE(C108, ".", " ")</f>
        <v>Arquitetônicos</v>
      </c>
      <c r="U108" s="25" t="str">
        <f t="shared" ref="U108:U111" si="29">SUBSTITUTE(D108, ".", " ")</f>
        <v>Elementos de Camadas</v>
      </c>
      <c r="V108" s="25" t="str">
        <f t="shared" ref="V108:V111" si="30">SUBSTITUTE(E108, ".", " ")</f>
        <v>Parede Camada</v>
      </c>
      <c r="W108" s="19" t="s">
        <v>74</v>
      </c>
      <c r="X108" s="57" t="str">
        <f t="shared" ref="X108:X111" si="31">CONCATENATE("Key-ARQ-",A108)</f>
        <v>Key-ARQ-108</v>
      </c>
      <c r="Y108" s="19" t="s">
        <v>2091</v>
      </c>
      <c r="Z108" s="25" t="s">
        <v>9</v>
      </c>
      <c r="AA108" s="25" t="s">
        <v>1342</v>
      </c>
      <c r="AB108" s="25" t="s">
        <v>9</v>
      </c>
      <c r="AC108" s="25" t="s">
        <v>1563</v>
      </c>
      <c r="AD108" s="25" t="s">
        <v>9</v>
      </c>
    </row>
    <row r="109" spans="1:30" ht="6.65" customHeight="1" x14ac:dyDescent="0.4">
      <c r="A109" s="21">
        <v>109</v>
      </c>
      <c r="B109" s="1" t="s">
        <v>1524</v>
      </c>
      <c r="C109" s="1" t="s">
        <v>1525</v>
      </c>
      <c r="D109" s="1" t="s">
        <v>1593</v>
      </c>
      <c r="E109" s="1" t="s">
        <v>2038</v>
      </c>
      <c r="F109" s="33" t="s">
        <v>2041</v>
      </c>
      <c r="G109" s="7" t="s">
        <v>9</v>
      </c>
      <c r="H109" s="83" t="s">
        <v>9</v>
      </c>
      <c r="I109" s="83" t="s">
        <v>9</v>
      </c>
      <c r="J109" s="7" t="s">
        <v>9</v>
      </c>
      <c r="K109" s="7" t="s">
        <v>9</v>
      </c>
      <c r="L109" s="24" t="str">
        <f t="shared" si="24"/>
        <v>Arquitetônicos</v>
      </c>
      <c r="M109" s="24" t="str">
        <f t="shared" si="25"/>
        <v>Elementos.de.Camadas</v>
      </c>
      <c r="N109" s="24" t="str">
        <f t="shared" si="26"/>
        <v>Parede Camada</v>
      </c>
      <c r="O109" s="24" t="str">
        <f t="shared" si="27"/>
        <v>Isolante</v>
      </c>
      <c r="P109" s="25" t="s">
        <v>81</v>
      </c>
      <c r="Q109" s="25" t="s">
        <v>83</v>
      </c>
      <c r="R109" s="19" t="s">
        <v>1673</v>
      </c>
      <c r="S109" s="43" t="s">
        <v>9</v>
      </c>
      <c r="T109" s="25" t="str">
        <f t="shared" si="28"/>
        <v>Arquitetônicos</v>
      </c>
      <c r="U109" s="25" t="str">
        <f t="shared" si="29"/>
        <v>Elementos de Camadas</v>
      </c>
      <c r="V109" s="25" t="str">
        <f t="shared" si="30"/>
        <v>Parede Camada</v>
      </c>
      <c r="W109" s="19" t="s">
        <v>74</v>
      </c>
      <c r="X109" s="57" t="str">
        <f t="shared" si="31"/>
        <v>Key-ARQ-109</v>
      </c>
      <c r="Y109" s="19" t="s">
        <v>2090</v>
      </c>
      <c r="Z109" s="25" t="s">
        <v>9</v>
      </c>
      <c r="AA109" s="25" t="s">
        <v>1343</v>
      </c>
      <c r="AB109" s="25" t="s">
        <v>9</v>
      </c>
      <c r="AC109" s="25" t="s">
        <v>1563</v>
      </c>
      <c r="AD109" s="25" t="s">
        <v>9</v>
      </c>
    </row>
    <row r="110" spans="1:30" ht="6.65" customHeight="1" x14ac:dyDescent="0.4">
      <c r="A110" s="21">
        <v>110</v>
      </c>
      <c r="B110" s="1" t="s">
        <v>1524</v>
      </c>
      <c r="C110" s="1" t="s">
        <v>1525</v>
      </c>
      <c r="D110" s="1" t="s">
        <v>1593</v>
      </c>
      <c r="E110" s="1" t="s">
        <v>2038</v>
      </c>
      <c r="F110" s="33" t="s">
        <v>2039</v>
      </c>
      <c r="G110" s="7" t="s">
        <v>9</v>
      </c>
      <c r="H110" s="83" t="s">
        <v>9</v>
      </c>
      <c r="I110" s="83" t="s">
        <v>9</v>
      </c>
      <c r="J110" s="7" t="s">
        <v>9</v>
      </c>
      <c r="K110" s="7" t="s">
        <v>9</v>
      </c>
      <c r="L110" s="24" t="str">
        <f t="shared" si="24"/>
        <v>Arquitetônicos</v>
      </c>
      <c r="M110" s="24" t="str">
        <f t="shared" si="25"/>
        <v>Elementos.de.Camadas</v>
      </c>
      <c r="N110" s="24" t="str">
        <f t="shared" si="26"/>
        <v>Parede Camada</v>
      </c>
      <c r="O110" s="24" t="str">
        <f t="shared" si="27"/>
        <v>Baritada</v>
      </c>
      <c r="P110" s="25" t="s">
        <v>652</v>
      </c>
      <c r="Q110" s="25" t="s">
        <v>653</v>
      </c>
      <c r="R110" s="19" t="s">
        <v>1674</v>
      </c>
      <c r="S110" s="43" t="s">
        <v>9</v>
      </c>
      <c r="T110" s="25" t="str">
        <f t="shared" si="28"/>
        <v>Arquitetônicos</v>
      </c>
      <c r="U110" s="25" t="str">
        <f t="shared" si="29"/>
        <v>Elementos de Camadas</v>
      </c>
      <c r="V110" s="25" t="str">
        <f t="shared" si="30"/>
        <v>Parede Camada</v>
      </c>
      <c r="W110" s="19" t="s">
        <v>74</v>
      </c>
      <c r="X110" s="57" t="str">
        <f t="shared" si="31"/>
        <v>Key-ARQ-110</v>
      </c>
      <c r="Y110" s="19" t="s">
        <v>2090</v>
      </c>
      <c r="Z110" s="25" t="s">
        <v>9</v>
      </c>
      <c r="AA110" s="25" t="s">
        <v>1343</v>
      </c>
      <c r="AB110" s="25" t="s">
        <v>9</v>
      </c>
      <c r="AC110" s="25" t="s">
        <v>1563</v>
      </c>
      <c r="AD110" s="25" t="s">
        <v>9</v>
      </c>
    </row>
    <row r="111" spans="1:30" ht="6.65" customHeight="1" x14ac:dyDescent="0.4">
      <c r="A111" s="21">
        <v>111</v>
      </c>
      <c r="B111" s="1" t="s">
        <v>1524</v>
      </c>
      <c r="C111" s="1" t="s">
        <v>1525</v>
      </c>
      <c r="D111" s="1" t="s">
        <v>1593</v>
      </c>
      <c r="E111" s="1" t="s">
        <v>2038</v>
      </c>
      <c r="F111" s="33" t="s">
        <v>2098</v>
      </c>
      <c r="G111" s="7" t="s">
        <v>9</v>
      </c>
      <c r="H111" s="83" t="s">
        <v>9</v>
      </c>
      <c r="I111" s="83" t="s">
        <v>9</v>
      </c>
      <c r="J111" s="7" t="s">
        <v>9</v>
      </c>
      <c r="K111" s="7" t="s">
        <v>9</v>
      </c>
      <c r="L111" s="24" t="str">
        <f t="shared" si="24"/>
        <v>Arquitetônicos</v>
      </c>
      <c r="M111" s="24" t="str">
        <f t="shared" si="25"/>
        <v>Elementos.de.Camadas</v>
      </c>
      <c r="N111" s="24" t="str">
        <f t="shared" si="26"/>
        <v>Parede Camada</v>
      </c>
      <c r="O111" s="24" t="str">
        <f t="shared" si="27"/>
        <v>Graute Parede</v>
      </c>
      <c r="P111" s="25" t="s">
        <v>80</v>
      </c>
      <c r="Q111" s="25" t="s">
        <v>82</v>
      </c>
      <c r="R111" s="19" t="s">
        <v>1723</v>
      </c>
      <c r="S111" s="43" t="s">
        <v>9</v>
      </c>
      <c r="T111" s="25" t="str">
        <f t="shared" si="28"/>
        <v>Arquitetônicos</v>
      </c>
      <c r="U111" s="25" t="str">
        <f t="shared" si="29"/>
        <v>Elementos de Camadas</v>
      </c>
      <c r="V111" s="25" t="str">
        <f t="shared" si="30"/>
        <v>Parede Camada</v>
      </c>
      <c r="W111" s="19" t="s">
        <v>74</v>
      </c>
      <c r="X111" s="57" t="str">
        <f t="shared" si="31"/>
        <v>Key-ARQ-111</v>
      </c>
      <c r="Y111" s="19" t="s">
        <v>2081</v>
      </c>
      <c r="Z111" s="25" t="s">
        <v>9</v>
      </c>
      <c r="AA111" s="25" t="s">
        <v>1344</v>
      </c>
      <c r="AB111" s="25" t="s">
        <v>9</v>
      </c>
      <c r="AC111" s="25" t="s">
        <v>1562</v>
      </c>
      <c r="AD111" s="25" t="s">
        <v>9</v>
      </c>
    </row>
    <row r="112" spans="1:30" ht="6.65" customHeight="1" x14ac:dyDescent="0.4">
      <c r="A112" s="21">
        <v>112</v>
      </c>
      <c r="B112" s="1" t="s">
        <v>1524</v>
      </c>
      <c r="C112" s="1" t="s">
        <v>1525</v>
      </c>
      <c r="D112" s="1" t="s">
        <v>1593</v>
      </c>
      <c r="E112" s="1" t="s">
        <v>2038</v>
      </c>
      <c r="F112" s="23" t="s">
        <v>116</v>
      </c>
      <c r="G112" s="7" t="s">
        <v>9</v>
      </c>
      <c r="H112" s="83" t="s">
        <v>9</v>
      </c>
      <c r="I112" s="83" t="s">
        <v>9</v>
      </c>
      <c r="J112" s="7" t="s">
        <v>9</v>
      </c>
      <c r="K112" s="7" t="s">
        <v>9</v>
      </c>
      <c r="L112" s="24" t="str">
        <f t="shared" si="8"/>
        <v>Arquitetônicos</v>
      </c>
      <c r="M112" s="24" t="str">
        <f t="shared" si="9"/>
        <v>Elementos.de.Camadas</v>
      </c>
      <c r="N112" s="24" t="str">
        <f t="shared" si="10"/>
        <v>Parede Camada</v>
      </c>
      <c r="O112" s="24" t="str">
        <f t="shared" si="11"/>
        <v>Chapisco</v>
      </c>
      <c r="P112" s="30" t="s">
        <v>664</v>
      </c>
      <c r="Q112" s="29" t="s">
        <v>665</v>
      </c>
      <c r="R112" s="19" t="s">
        <v>1719</v>
      </c>
      <c r="S112" s="43" t="s">
        <v>9</v>
      </c>
      <c r="T112" s="25" t="str">
        <f t="shared" si="12"/>
        <v>Arquitetônicos</v>
      </c>
      <c r="U112" s="25" t="str">
        <f t="shared" si="13"/>
        <v>Elementos de Camadas</v>
      </c>
      <c r="V112" s="25" t="str">
        <f t="shared" si="14"/>
        <v>Parede Camada</v>
      </c>
      <c r="W112" s="19" t="s">
        <v>74</v>
      </c>
      <c r="X112" s="57" t="str">
        <f t="shared" si="15"/>
        <v>Key-ARQ-112</v>
      </c>
      <c r="Y112" s="19" t="s">
        <v>2084</v>
      </c>
      <c r="Z112" s="25" t="s">
        <v>9</v>
      </c>
      <c r="AA112" s="25" t="s">
        <v>1344</v>
      </c>
      <c r="AB112" s="25" t="s">
        <v>9</v>
      </c>
      <c r="AC112" s="25" t="s">
        <v>1562</v>
      </c>
      <c r="AD112" s="25" t="s">
        <v>9</v>
      </c>
    </row>
    <row r="113" spans="1:30" ht="6.65" customHeight="1" x14ac:dyDescent="0.4">
      <c r="A113" s="21">
        <v>113</v>
      </c>
      <c r="B113" s="1" t="s">
        <v>1524</v>
      </c>
      <c r="C113" s="1" t="s">
        <v>1525</v>
      </c>
      <c r="D113" s="1" t="s">
        <v>1593</v>
      </c>
      <c r="E113" s="1" t="s">
        <v>2038</v>
      </c>
      <c r="F113" s="23" t="s">
        <v>117</v>
      </c>
      <c r="G113" s="7" t="s">
        <v>9</v>
      </c>
      <c r="H113" s="83" t="s">
        <v>9</v>
      </c>
      <c r="I113" s="83" t="s">
        <v>9</v>
      </c>
      <c r="J113" s="7" t="s">
        <v>9</v>
      </c>
      <c r="K113" s="7" t="s">
        <v>9</v>
      </c>
      <c r="L113" s="24" t="str">
        <f t="shared" si="8"/>
        <v>Arquitetônicos</v>
      </c>
      <c r="M113" s="24" t="str">
        <f t="shared" si="9"/>
        <v>Elementos.de.Camadas</v>
      </c>
      <c r="N113" s="24" t="str">
        <f t="shared" si="10"/>
        <v>Parede Camada</v>
      </c>
      <c r="O113" s="24" t="str">
        <f t="shared" si="11"/>
        <v>Emboço</v>
      </c>
      <c r="P113" s="30" t="s">
        <v>666</v>
      </c>
      <c r="Q113" s="29" t="s">
        <v>661</v>
      </c>
      <c r="R113" s="19" t="s">
        <v>1720</v>
      </c>
      <c r="S113" s="43" t="s">
        <v>9</v>
      </c>
      <c r="T113" s="25" t="str">
        <f t="shared" si="12"/>
        <v>Arquitetônicos</v>
      </c>
      <c r="U113" s="25" t="str">
        <f t="shared" si="13"/>
        <v>Elementos de Camadas</v>
      </c>
      <c r="V113" s="25" t="str">
        <f t="shared" si="14"/>
        <v>Parede Camada</v>
      </c>
      <c r="W113" s="19" t="s">
        <v>74</v>
      </c>
      <c r="X113" s="57" t="str">
        <f t="shared" si="15"/>
        <v>Key-ARQ-113</v>
      </c>
      <c r="Y113" s="19" t="s">
        <v>2084</v>
      </c>
      <c r="Z113" s="25" t="s">
        <v>9</v>
      </c>
      <c r="AA113" s="25" t="s">
        <v>1344</v>
      </c>
      <c r="AB113" s="25" t="s">
        <v>9</v>
      </c>
      <c r="AC113" s="25" t="s">
        <v>1562</v>
      </c>
      <c r="AD113" s="25" t="s">
        <v>9</v>
      </c>
    </row>
    <row r="114" spans="1:30" ht="6.65" customHeight="1" x14ac:dyDescent="0.4">
      <c r="A114" s="21">
        <v>114</v>
      </c>
      <c r="B114" s="1" t="s">
        <v>1524</v>
      </c>
      <c r="C114" s="1" t="s">
        <v>1525</v>
      </c>
      <c r="D114" s="1" t="s">
        <v>1593</v>
      </c>
      <c r="E114" s="1" t="s">
        <v>2038</v>
      </c>
      <c r="F114" s="23" t="s">
        <v>118</v>
      </c>
      <c r="G114" s="7" t="s">
        <v>9</v>
      </c>
      <c r="H114" s="83" t="s">
        <v>9</v>
      </c>
      <c r="I114" s="83" t="s">
        <v>9</v>
      </c>
      <c r="J114" s="7" t="s">
        <v>9</v>
      </c>
      <c r="K114" s="7" t="s">
        <v>9</v>
      </c>
      <c r="L114" s="24" t="str">
        <f t="shared" ref="L114:L115" si="32">CONCATENATE("", C114)</f>
        <v>Arquitetônicos</v>
      </c>
      <c r="M114" s="24" t="str">
        <f t="shared" ref="M114:M115" si="33">CONCATENATE("", D114)</f>
        <v>Elementos.de.Camadas</v>
      </c>
      <c r="N114" s="24" t="str">
        <f t="shared" ref="N114:N115" si="34">(SUBSTITUTE(SUBSTITUTE(CONCATENATE("",E114),"."," ")," De "," de "))</f>
        <v>Parede Camada</v>
      </c>
      <c r="O114" s="24" t="str">
        <f t="shared" ref="O114:O115" si="35">(SUBSTITUTE(SUBSTITUTE(CONCATENATE("",F114),"."," ")," De "," de "))</f>
        <v>Reboco</v>
      </c>
      <c r="P114" s="30" t="s">
        <v>667</v>
      </c>
      <c r="Q114" s="29" t="s">
        <v>662</v>
      </c>
      <c r="R114" s="19" t="s">
        <v>1721</v>
      </c>
      <c r="S114" s="43" t="s">
        <v>9</v>
      </c>
      <c r="T114" s="25" t="str">
        <f t="shared" ref="T114:T115" si="36">SUBSTITUTE(C114, ".", " ")</f>
        <v>Arquitetônicos</v>
      </c>
      <c r="U114" s="25" t="str">
        <f t="shared" ref="U114:U115" si="37">SUBSTITUTE(D114, ".", " ")</f>
        <v>Elementos de Camadas</v>
      </c>
      <c r="V114" s="25" t="str">
        <f t="shared" ref="V114:V115" si="38">SUBSTITUTE(E114, ".", " ")</f>
        <v>Parede Camada</v>
      </c>
      <c r="W114" s="19" t="s">
        <v>74</v>
      </c>
      <c r="X114" s="57" t="str">
        <f t="shared" ref="X114:X115" si="39">CONCATENATE("Key-ARQ-",A114)</f>
        <v>Key-ARQ-114</v>
      </c>
      <c r="Y114" s="19" t="s">
        <v>2084</v>
      </c>
      <c r="Z114" s="25" t="s">
        <v>9</v>
      </c>
      <c r="AA114" s="25" t="s">
        <v>1344</v>
      </c>
      <c r="AB114" s="25" t="s">
        <v>9</v>
      </c>
      <c r="AC114" s="25" t="s">
        <v>1562</v>
      </c>
      <c r="AD114" s="25" t="s">
        <v>9</v>
      </c>
    </row>
    <row r="115" spans="1:30" ht="6.65" customHeight="1" x14ac:dyDescent="0.4">
      <c r="A115" s="21">
        <v>115</v>
      </c>
      <c r="B115" s="1" t="s">
        <v>1524</v>
      </c>
      <c r="C115" s="1" t="s">
        <v>1525</v>
      </c>
      <c r="D115" s="1" t="s">
        <v>1593</v>
      </c>
      <c r="E115" s="1" t="s">
        <v>2038</v>
      </c>
      <c r="F115" s="23" t="s">
        <v>2043</v>
      </c>
      <c r="G115" s="7" t="s">
        <v>9</v>
      </c>
      <c r="H115" s="83" t="s">
        <v>9</v>
      </c>
      <c r="I115" s="83" t="s">
        <v>9</v>
      </c>
      <c r="J115" s="7" t="s">
        <v>9</v>
      </c>
      <c r="K115" s="7" t="s">
        <v>9</v>
      </c>
      <c r="L115" s="24" t="str">
        <f t="shared" si="32"/>
        <v>Arquitetônicos</v>
      </c>
      <c r="M115" s="24" t="str">
        <f t="shared" si="33"/>
        <v>Elementos.de.Camadas</v>
      </c>
      <c r="N115" s="24" t="str">
        <f t="shared" si="34"/>
        <v>Parede Camada</v>
      </c>
      <c r="O115" s="24" t="str">
        <f t="shared" si="35"/>
        <v>Emassamento</v>
      </c>
      <c r="P115" s="30" t="s">
        <v>2044</v>
      </c>
      <c r="Q115" s="30" t="s">
        <v>2049</v>
      </c>
      <c r="R115" s="19" t="s">
        <v>2051</v>
      </c>
      <c r="S115" s="43" t="s">
        <v>9</v>
      </c>
      <c r="T115" s="25" t="str">
        <f t="shared" si="36"/>
        <v>Arquitetônicos</v>
      </c>
      <c r="U115" s="25" t="str">
        <f t="shared" si="37"/>
        <v>Elementos de Camadas</v>
      </c>
      <c r="V115" s="25" t="str">
        <f t="shared" si="38"/>
        <v>Parede Camada</v>
      </c>
      <c r="W115" s="19" t="s">
        <v>74</v>
      </c>
      <c r="X115" s="57" t="str">
        <f t="shared" si="39"/>
        <v>Key-ARQ-115</v>
      </c>
      <c r="Y115" s="19" t="s">
        <v>2084</v>
      </c>
      <c r="Z115" s="25" t="s">
        <v>9</v>
      </c>
      <c r="AA115" s="25" t="s">
        <v>1344</v>
      </c>
      <c r="AB115" s="25" t="s">
        <v>9</v>
      </c>
      <c r="AC115" s="25" t="s">
        <v>1562</v>
      </c>
      <c r="AD115" s="25" t="s">
        <v>9</v>
      </c>
    </row>
    <row r="116" spans="1:30" ht="6.65" customHeight="1" x14ac:dyDescent="0.4">
      <c r="A116" s="21">
        <v>116</v>
      </c>
      <c r="B116" s="1" t="s">
        <v>1524</v>
      </c>
      <c r="C116" s="1" t="s">
        <v>1525</v>
      </c>
      <c r="D116" s="1" t="s">
        <v>1593</v>
      </c>
      <c r="E116" s="1" t="s">
        <v>2038</v>
      </c>
      <c r="F116" s="23" t="s">
        <v>2042</v>
      </c>
      <c r="G116" s="7" t="s">
        <v>9</v>
      </c>
      <c r="H116" s="83" t="s">
        <v>9</v>
      </c>
      <c r="I116" s="83" t="s">
        <v>9</v>
      </c>
      <c r="J116" s="7" t="s">
        <v>9</v>
      </c>
      <c r="K116" s="7" t="s">
        <v>9</v>
      </c>
      <c r="L116" s="24" t="str">
        <f t="shared" si="8"/>
        <v>Arquitetônicos</v>
      </c>
      <c r="M116" s="24" t="str">
        <f t="shared" si="9"/>
        <v>Elementos.de.Camadas</v>
      </c>
      <c r="N116" s="24" t="str">
        <f t="shared" si="10"/>
        <v>Parede Camada</v>
      </c>
      <c r="O116" s="24" t="str">
        <f t="shared" si="11"/>
        <v>Pintura</v>
      </c>
      <c r="P116" s="30" t="s">
        <v>2045</v>
      </c>
      <c r="Q116" s="30" t="s">
        <v>2050</v>
      </c>
      <c r="R116" s="19" t="s">
        <v>2052</v>
      </c>
      <c r="S116" s="43" t="s">
        <v>9</v>
      </c>
      <c r="T116" s="25" t="str">
        <f t="shared" si="12"/>
        <v>Arquitetônicos</v>
      </c>
      <c r="U116" s="25" t="str">
        <f t="shared" si="13"/>
        <v>Elementos de Camadas</v>
      </c>
      <c r="V116" s="25" t="str">
        <f t="shared" si="14"/>
        <v>Parede Camada</v>
      </c>
      <c r="W116" s="19" t="s">
        <v>74</v>
      </c>
      <c r="X116" s="57" t="str">
        <f t="shared" si="15"/>
        <v>Key-ARQ-116</v>
      </c>
      <c r="Y116" s="19" t="s">
        <v>2084</v>
      </c>
      <c r="Z116" s="25" t="s">
        <v>9</v>
      </c>
      <c r="AA116" s="25" t="s">
        <v>1344</v>
      </c>
      <c r="AB116" s="25" t="s">
        <v>9</v>
      </c>
      <c r="AC116" s="25" t="s">
        <v>1562</v>
      </c>
      <c r="AD116" s="25" t="s">
        <v>9</v>
      </c>
    </row>
    <row r="117" spans="1:30" ht="6.65" customHeight="1" x14ac:dyDescent="0.4">
      <c r="A117" s="21">
        <v>117</v>
      </c>
      <c r="B117" s="1" t="s">
        <v>1524</v>
      </c>
      <c r="C117" s="1" t="s">
        <v>1525</v>
      </c>
      <c r="D117" s="1" t="s">
        <v>1593</v>
      </c>
      <c r="E117" s="1" t="s">
        <v>1581</v>
      </c>
      <c r="F117" s="1" t="s">
        <v>579</v>
      </c>
      <c r="G117" s="7" t="s">
        <v>9</v>
      </c>
      <c r="H117" s="83" t="s">
        <v>9</v>
      </c>
      <c r="I117" s="83" t="s">
        <v>9</v>
      </c>
      <c r="J117" s="7" t="s">
        <v>9</v>
      </c>
      <c r="K117" s="7" t="s">
        <v>9</v>
      </c>
      <c r="L117" s="24" t="str">
        <f t="shared" si="8"/>
        <v>Arquitetônicos</v>
      </c>
      <c r="M117" s="24" t="str">
        <f t="shared" si="9"/>
        <v>Elementos.de.Camadas</v>
      </c>
      <c r="N117" s="24" t="str">
        <f t="shared" si="10"/>
        <v>Parede Cavidade</v>
      </c>
      <c r="O117" s="24" t="str">
        <f t="shared" si="11"/>
        <v>Ar Térmica</v>
      </c>
      <c r="P117" s="19" t="s">
        <v>580</v>
      </c>
      <c r="Q117" s="19" t="s">
        <v>581</v>
      </c>
      <c r="R117" s="19" t="s">
        <v>1724</v>
      </c>
      <c r="S117" s="43" t="s">
        <v>9</v>
      </c>
      <c r="T117" s="25" t="str">
        <f t="shared" si="12"/>
        <v>Arquitetônicos</v>
      </c>
      <c r="U117" s="25" t="str">
        <f t="shared" si="13"/>
        <v>Elementos de Camadas</v>
      </c>
      <c r="V117" s="25" t="str">
        <f t="shared" si="14"/>
        <v>Parede Cavidade</v>
      </c>
      <c r="W117" s="19" t="s">
        <v>74</v>
      </c>
      <c r="X117" s="57" t="str">
        <f t="shared" si="15"/>
        <v>Key-ARQ-117</v>
      </c>
      <c r="Y117" s="19" t="s">
        <v>2085</v>
      </c>
      <c r="Z117" s="25" t="s">
        <v>9</v>
      </c>
      <c r="AA117" s="25" t="s">
        <v>1343</v>
      </c>
      <c r="AB117" s="25" t="s">
        <v>9</v>
      </c>
      <c r="AC117" s="25" t="s">
        <v>1562</v>
      </c>
      <c r="AD117" s="25" t="s">
        <v>9</v>
      </c>
    </row>
    <row r="118" spans="1:30" ht="6.65" customHeight="1" x14ac:dyDescent="0.4">
      <c r="A118" s="21">
        <v>118</v>
      </c>
      <c r="B118" s="1" t="s">
        <v>1524</v>
      </c>
      <c r="C118" s="1" t="s">
        <v>1525</v>
      </c>
      <c r="D118" s="1" t="s">
        <v>1593</v>
      </c>
      <c r="E118" s="1" t="s">
        <v>1581</v>
      </c>
      <c r="F118" s="1" t="s">
        <v>578</v>
      </c>
      <c r="G118" s="7" t="s">
        <v>9</v>
      </c>
      <c r="H118" s="83" t="s">
        <v>9</v>
      </c>
      <c r="I118" s="83" t="s">
        <v>9</v>
      </c>
      <c r="J118" s="7" t="s">
        <v>9</v>
      </c>
      <c r="K118" s="7" t="s">
        <v>9</v>
      </c>
      <c r="L118" s="24" t="str">
        <f t="shared" si="8"/>
        <v>Arquitetônicos</v>
      </c>
      <c r="M118" s="24" t="str">
        <f t="shared" si="9"/>
        <v>Elementos.de.Camadas</v>
      </c>
      <c r="N118" s="24" t="str">
        <f t="shared" si="10"/>
        <v>Parede Cavidade</v>
      </c>
      <c r="O118" s="24" t="str">
        <f t="shared" si="11"/>
        <v>Ar Acústica</v>
      </c>
      <c r="P118" s="19" t="s">
        <v>577</v>
      </c>
      <c r="Q118" s="19" t="s">
        <v>582</v>
      </c>
      <c r="R118" s="19" t="s">
        <v>1725</v>
      </c>
      <c r="S118" s="43" t="s">
        <v>9</v>
      </c>
      <c r="T118" s="25" t="str">
        <f t="shared" si="12"/>
        <v>Arquitetônicos</v>
      </c>
      <c r="U118" s="25" t="str">
        <f t="shared" si="13"/>
        <v>Elementos de Camadas</v>
      </c>
      <c r="V118" s="25" t="str">
        <f t="shared" si="14"/>
        <v>Parede Cavidade</v>
      </c>
      <c r="W118" s="19" t="s">
        <v>74</v>
      </c>
      <c r="X118" s="57" t="str">
        <f t="shared" si="15"/>
        <v>Key-ARQ-118</v>
      </c>
      <c r="Y118" s="19" t="s">
        <v>2085</v>
      </c>
      <c r="Z118" s="25" t="s">
        <v>9</v>
      </c>
      <c r="AA118" s="25" t="s">
        <v>1343</v>
      </c>
      <c r="AB118" s="25" t="s">
        <v>9</v>
      </c>
      <c r="AC118" s="25" t="s">
        <v>1562</v>
      </c>
      <c r="AD118" s="25" t="s">
        <v>9</v>
      </c>
    </row>
    <row r="119" spans="1:30" ht="6.65" customHeight="1" x14ac:dyDescent="0.4">
      <c r="A119" s="21">
        <v>119</v>
      </c>
      <c r="B119" s="1" t="s">
        <v>1524</v>
      </c>
      <c r="C119" s="1" t="s">
        <v>1525</v>
      </c>
      <c r="D119" s="1" t="s">
        <v>1593</v>
      </c>
      <c r="E119" s="1" t="s">
        <v>1582</v>
      </c>
      <c r="F119" s="1" t="s">
        <v>551</v>
      </c>
      <c r="G119" s="7" t="s">
        <v>9</v>
      </c>
      <c r="H119" s="83" t="s">
        <v>9</v>
      </c>
      <c r="I119" s="83" t="s">
        <v>9</v>
      </c>
      <c r="J119" s="7" t="s">
        <v>9</v>
      </c>
      <c r="K119" s="7" t="s">
        <v>9</v>
      </c>
      <c r="L119" s="24" t="str">
        <f t="shared" si="8"/>
        <v>Arquitetônicos</v>
      </c>
      <c r="M119" s="24" t="str">
        <f t="shared" si="9"/>
        <v>Elementos.de.Camadas</v>
      </c>
      <c r="N119" s="24" t="str">
        <f t="shared" si="10"/>
        <v>Parede Paginada</v>
      </c>
      <c r="O119" s="24" t="str">
        <f t="shared" si="11"/>
        <v>Parede Cerâmica</v>
      </c>
      <c r="P119" s="19" t="s">
        <v>599</v>
      </c>
      <c r="Q119" s="29" t="s">
        <v>600</v>
      </c>
      <c r="R119" s="19" t="s">
        <v>1726</v>
      </c>
      <c r="S119" s="43" t="s">
        <v>9</v>
      </c>
      <c r="T119" s="25" t="str">
        <f t="shared" si="12"/>
        <v>Arquitetônicos</v>
      </c>
      <c r="U119" s="25" t="str">
        <f t="shared" si="13"/>
        <v>Elementos de Camadas</v>
      </c>
      <c r="V119" s="25" t="str">
        <f t="shared" si="14"/>
        <v>Parede Paginada</v>
      </c>
      <c r="W119" s="19" t="s">
        <v>74</v>
      </c>
      <c r="X119" s="57" t="str">
        <f t="shared" si="15"/>
        <v>Key-ARQ-119</v>
      </c>
      <c r="Y119" s="19" t="s">
        <v>2083</v>
      </c>
      <c r="Z119" s="25" t="s">
        <v>9</v>
      </c>
      <c r="AA119" s="25" t="s">
        <v>1347</v>
      </c>
      <c r="AB119" s="25" t="s">
        <v>9</v>
      </c>
      <c r="AC119" s="25" t="s">
        <v>1562</v>
      </c>
      <c r="AD119" s="25" t="s">
        <v>9</v>
      </c>
    </row>
    <row r="120" spans="1:30" ht="6.65" customHeight="1" x14ac:dyDescent="0.4">
      <c r="A120" s="21">
        <v>120</v>
      </c>
      <c r="B120" s="1" t="s">
        <v>1524</v>
      </c>
      <c r="C120" s="1" t="s">
        <v>1525</v>
      </c>
      <c r="D120" s="1" t="s">
        <v>1593</v>
      </c>
      <c r="E120" s="1" t="s">
        <v>1582</v>
      </c>
      <c r="F120" s="1" t="s">
        <v>550</v>
      </c>
      <c r="G120" s="7" t="s">
        <v>9</v>
      </c>
      <c r="H120" s="83" t="s">
        <v>9</v>
      </c>
      <c r="I120" s="83" t="s">
        <v>9</v>
      </c>
      <c r="J120" s="7" t="s">
        <v>9</v>
      </c>
      <c r="K120" s="7" t="s">
        <v>9</v>
      </c>
      <c r="L120" s="24" t="str">
        <f t="shared" si="8"/>
        <v>Arquitetônicos</v>
      </c>
      <c r="M120" s="24" t="str">
        <f t="shared" si="9"/>
        <v>Elementos.de.Camadas</v>
      </c>
      <c r="N120" s="24" t="str">
        <f t="shared" si="10"/>
        <v>Parede Paginada</v>
      </c>
      <c r="O120" s="24" t="str">
        <f t="shared" si="11"/>
        <v>Parede Porcelanato</v>
      </c>
      <c r="P120" s="19" t="s">
        <v>598</v>
      </c>
      <c r="Q120" s="29" t="s">
        <v>601</v>
      </c>
      <c r="R120" s="19" t="s">
        <v>1727</v>
      </c>
      <c r="S120" s="43" t="s">
        <v>9</v>
      </c>
      <c r="T120" s="25" t="str">
        <f t="shared" si="12"/>
        <v>Arquitetônicos</v>
      </c>
      <c r="U120" s="25" t="str">
        <f t="shared" si="13"/>
        <v>Elementos de Camadas</v>
      </c>
      <c r="V120" s="25" t="str">
        <f t="shared" si="14"/>
        <v>Parede Paginada</v>
      </c>
      <c r="W120" s="19" t="s">
        <v>74</v>
      </c>
      <c r="X120" s="57" t="str">
        <f t="shared" si="15"/>
        <v>Key-ARQ-120</v>
      </c>
      <c r="Y120" s="19" t="s">
        <v>2083</v>
      </c>
      <c r="Z120" s="25" t="s">
        <v>9</v>
      </c>
      <c r="AA120" s="25" t="s">
        <v>1347</v>
      </c>
      <c r="AB120" s="25" t="s">
        <v>9</v>
      </c>
      <c r="AC120" s="25" t="s">
        <v>1562</v>
      </c>
      <c r="AD120" s="25" t="s">
        <v>9</v>
      </c>
    </row>
    <row r="121" spans="1:30" ht="6.65" customHeight="1" x14ac:dyDescent="0.4">
      <c r="A121" s="21">
        <v>121</v>
      </c>
      <c r="B121" s="1" t="s">
        <v>1524</v>
      </c>
      <c r="C121" s="1" t="s">
        <v>1525</v>
      </c>
      <c r="D121" s="1" t="s">
        <v>1593</v>
      </c>
      <c r="E121" s="1" t="s">
        <v>1582</v>
      </c>
      <c r="F121" s="23" t="s">
        <v>591</v>
      </c>
      <c r="G121" s="7" t="s">
        <v>9</v>
      </c>
      <c r="H121" s="83" t="s">
        <v>9</v>
      </c>
      <c r="I121" s="83" t="s">
        <v>9</v>
      </c>
      <c r="J121" s="7" t="s">
        <v>9</v>
      </c>
      <c r="K121" s="7" t="s">
        <v>9</v>
      </c>
      <c r="L121" s="24" t="str">
        <f t="shared" si="8"/>
        <v>Arquitetônicos</v>
      </c>
      <c r="M121" s="24" t="str">
        <f t="shared" si="9"/>
        <v>Elementos.de.Camadas</v>
      </c>
      <c r="N121" s="24" t="str">
        <f t="shared" si="10"/>
        <v>Parede Paginada</v>
      </c>
      <c r="O121" s="24" t="str">
        <f t="shared" si="11"/>
        <v>Parede Azulejada</v>
      </c>
      <c r="P121" s="30" t="s">
        <v>233</v>
      </c>
      <c r="Q121" s="29" t="s">
        <v>234</v>
      </c>
      <c r="R121" s="19" t="s">
        <v>1728</v>
      </c>
      <c r="S121" s="43" t="s">
        <v>9</v>
      </c>
      <c r="T121" s="25" t="str">
        <f t="shared" si="12"/>
        <v>Arquitetônicos</v>
      </c>
      <c r="U121" s="25" t="str">
        <f t="shared" si="13"/>
        <v>Elementos de Camadas</v>
      </c>
      <c r="V121" s="25" t="str">
        <f t="shared" si="14"/>
        <v>Parede Paginada</v>
      </c>
      <c r="W121" s="19" t="s">
        <v>74</v>
      </c>
      <c r="X121" s="57" t="str">
        <f t="shared" si="15"/>
        <v>Key-ARQ-121</v>
      </c>
      <c r="Y121" s="19" t="s">
        <v>2083</v>
      </c>
      <c r="Z121" s="25" t="s">
        <v>9</v>
      </c>
      <c r="AA121" s="25" t="s">
        <v>1347</v>
      </c>
      <c r="AB121" s="25" t="s">
        <v>9</v>
      </c>
      <c r="AC121" s="25" t="s">
        <v>1562</v>
      </c>
      <c r="AD121" s="25" t="s">
        <v>9</v>
      </c>
    </row>
    <row r="122" spans="1:30" ht="6.65" customHeight="1" x14ac:dyDescent="0.4">
      <c r="A122" s="21">
        <v>122</v>
      </c>
      <c r="B122" s="1" t="s">
        <v>1524</v>
      </c>
      <c r="C122" s="1" t="s">
        <v>1525</v>
      </c>
      <c r="D122" s="1" t="s">
        <v>1593</v>
      </c>
      <c r="E122" s="1" t="s">
        <v>1582</v>
      </c>
      <c r="F122" s="23" t="s">
        <v>597</v>
      </c>
      <c r="G122" s="7" t="s">
        <v>9</v>
      </c>
      <c r="H122" s="83" t="s">
        <v>9</v>
      </c>
      <c r="I122" s="83" t="s">
        <v>9</v>
      </c>
      <c r="J122" s="7" t="s">
        <v>9</v>
      </c>
      <c r="K122" s="7" t="s">
        <v>9</v>
      </c>
      <c r="L122" s="24" t="str">
        <f t="shared" si="8"/>
        <v>Arquitetônicos</v>
      </c>
      <c r="M122" s="24" t="str">
        <f t="shared" si="9"/>
        <v>Elementos.de.Camadas</v>
      </c>
      <c r="N122" s="24" t="str">
        <f t="shared" si="10"/>
        <v>Parede Paginada</v>
      </c>
      <c r="O122" s="24" t="str">
        <f t="shared" si="11"/>
        <v>Parede Hidráulica</v>
      </c>
      <c r="P122" s="30" t="s">
        <v>237</v>
      </c>
      <c r="Q122" s="29" t="s">
        <v>238</v>
      </c>
      <c r="R122" s="19" t="s">
        <v>1729</v>
      </c>
      <c r="S122" s="43" t="s">
        <v>9</v>
      </c>
      <c r="T122" s="25" t="str">
        <f t="shared" si="12"/>
        <v>Arquitetônicos</v>
      </c>
      <c r="U122" s="25" t="str">
        <f t="shared" si="13"/>
        <v>Elementos de Camadas</v>
      </c>
      <c r="V122" s="25" t="str">
        <f t="shared" si="14"/>
        <v>Parede Paginada</v>
      </c>
      <c r="W122" s="19" t="s">
        <v>74</v>
      </c>
      <c r="X122" s="57" t="str">
        <f t="shared" si="15"/>
        <v>Key-ARQ-122</v>
      </c>
      <c r="Y122" s="19" t="s">
        <v>2083</v>
      </c>
      <c r="Z122" s="25" t="s">
        <v>9</v>
      </c>
      <c r="AA122" s="25" t="s">
        <v>1347</v>
      </c>
      <c r="AB122" s="25" t="s">
        <v>9</v>
      </c>
      <c r="AC122" s="25" t="s">
        <v>1562</v>
      </c>
      <c r="AD122" s="25" t="s">
        <v>9</v>
      </c>
    </row>
    <row r="123" spans="1:30" ht="6.65" customHeight="1" x14ac:dyDescent="0.4">
      <c r="A123" s="21">
        <v>123</v>
      </c>
      <c r="B123" s="1" t="s">
        <v>1524</v>
      </c>
      <c r="C123" s="1" t="s">
        <v>1525</v>
      </c>
      <c r="D123" s="1" t="s">
        <v>1593</v>
      </c>
      <c r="E123" s="1" t="s">
        <v>1582</v>
      </c>
      <c r="F123" s="23" t="s">
        <v>592</v>
      </c>
      <c r="G123" s="7" t="s">
        <v>9</v>
      </c>
      <c r="H123" s="83" t="s">
        <v>9</v>
      </c>
      <c r="I123" s="83" t="s">
        <v>9</v>
      </c>
      <c r="J123" s="7" t="s">
        <v>9</v>
      </c>
      <c r="K123" s="7" t="s">
        <v>9</v>
      </c>
      <c r="L123" s="24" t="str">
        <f t="shared" si="8"/>
        <v>Arquitetônicos</v>
      </c>
      <c r="M123" s="24" t="str">
        <f t="shared" si="9"/>
        <v>Elementos.de.Camadas</v>
      </c>
      <c r="N123" s="24" t="str">
        <f t="shared" si="10"/>
        <v>Parede Paginada</v>
      </c>
      <c r="O123" s="24" t="str">
        <f t="shared" si="11"/>
        <v>Parede Lambri</v>
      </c>
      <c r="P123" s="30" t="s">
        <v>227</v>
      </c>
      <c r="Q123" s="29" t="s">
        <v>228</v>
      </c>
      <c r="R123" s="19" t="s">
        <v>1730</v>
      </c>
      <c r="S123" s="43" t="s">
        <v>9</v>
      </c>
      <c r="T123" s="25" t="str">
        <f t="shared" si="12"/>
        <v>Arquitetônicos</v>
      </c>
      <c r="U123" s="25" t="str">
        <f t="shared" si="13"/>
        <v>Elementos de Camadas</v>
      </c>
      <c r="V123" s="25" t="str">
        <f t="shared" si="14"/>
        <v>Parede Paginada</v>
      </c>
      <c r="W123" s="19" t="s">
        <v>74</v>
      </c>
      <c r="X123" s="57" t="str">
        <f t="shared" si="15"/>
        <v>Key-ARQ-123</v>
      </c>
      <c r="Y123" s="19" t="s">
        <v>2083</v>
      </c>
      <c r="Z123" s="25" t="s">
        <v>9</v>
      </c>
      <c r="AA123" s="25" t="s">
        <v>1347</v>
      </c>
      <c r="AB123" s="25" t="s">
        <v>9</v>
      </c>
      <c r="AC123" s="25" t="s">
        <v>1562</v>
      </c>
      <c r="AD123" s="25" t="s">
        <v>9</v>
      </c>
    </row>
    <row r="124" spans="1:30" ht="6.65" customHeight="1" x14ac:dyDescent="0.4">
      <c r="A124" s="21">
        <v>124</v>
      </c>
      <c r="B124" s="1" t="s">
        <v>1524</v>
      </c>
      <c r="C124" s="1" t="s">
        <v>1525</v>
      </c>
      <c r="D124" s="1" t="s">
        <v>1593</v>
      </c>
      <c r="E124" s="1" t="s">
        <v>1582</v>
      </c>
      <c r="F124" s="23" t="s">
        <v>593</v>
      </c>
      <c r="G124" s="7" t="s">
        <v>9</v>
      </c>
      <c r="H124" s="83" t="s">
        <v>9</v>
      </c>
      <c r="I124" s="83" t="s">
        <v>9</v>
      </c>
      <c r="J124" s="7" t="s">
        <v>9</v>
      </c>
      <c r="K124" s="7" t="s">
        <v>9</v>
      </c>
      <c r="L124" s="24" t="str">
        <f t="shared" si="8"/>
        <v>Arquitetônicos</v>
      </c>
      <c r="M124" s="24" t="str">
        <f t="shared" si="9"/>
        <v>Elementos.de.Camadas</v>
      </c>
      <c r="N124" s="24" t="str">
        <f t="shared" si="10"/>
        <v>Parede Paginada</v>
      </c>
      <c r="O124" s="24" t="str">
        <f t="shared" si="11"/>
        <v>Parede Emplacada</v>
      </c>
      <c r="P124" s="30" t="s">
        <v>229</v>
      </c>
      <c r="Q124" s="29" t="s">
        <v>230</v>
      </c>
      <c r="R124" s="19" t="s">
        <v>1731</v>
      </c>
      <c r="S124" s="43" t="s">
        <v>9</v>
      </c>
      <c r="T124" s="25" t="str">
        <f t="shared" si="12"/>
        <v>Arquitetônicos</v>
      </c>
      <c r="U124" s="25" t="str">
        <f t="shared" si="13"/>
        <v>Elementos de Camadas</v>
      </c>
      <c r="V124" s="25" t="str">
        <f t="shared" si="14"/>
        <v>Parede Paginada</v>
      </c>
      <c r="W124" s="19" t="s">
        <v>74</v>
      </c>
      <c r="X124" s="57" t="str">
        <f t="shared" si="15"/>
        <v>Key-ARQ-124</v>
      </c>
      <c r="Y124" s="19" t="s">
        <v>2083</v>
      </c>
      <c r="Z124" s="25" t="s">
        <v>9</v>
      </c>
      <c r="AA124" s="25" t="s">
        <v>1347</v>
      </c>
      <c r="AB124" s="25" t="s">
        <v>9</v>
      </c>
      <c r="AC124" s="25" t="s">
        <v>1562</v>
      </c>
      <c r="AD124" s="25" t="s">
        <v>9</v>
      </c>
    </row>
    <row r="125" spans="1:30" ht="6.65" customHeight="1" x14ac:dyDescent="0.4">
      <c r="A125" s="21">
        <v>125</v>
      </c>
      <c r="B125" s="1" t="s">
        <v>1524</v>
      </c>
      <c r="C125" s="1" t="s">
        <v>1525</v>
      </c>
      <c r="D125" s="1" t="s">
        <v>1593</v>
      </c>
      <c r="E125" s="1" t="s">
        <v>1582</v>
      </c>
      <c r="F125" s="23" t="s">
        <v>594</v>
      </c>
      <c r="G125" s="7" t="s">
        <v>9</v>
      </c>
      <c r="H125" s="83" t="s">
        <v>9</v>
      </c>
      <c r="I125" s="83" t="s">
        <v>9</v>
      </c>
      <c r="J125" s="7" t="s">
        <v>9</v>
      </c>
      <c r="K125" s="7" t="s">
        <v>9</v>
      </c>
      <c r="L125" s="24" t="str">
        <f t="shared" si="8"/>
        <v>Arquitetônicos</v>
      </c>
      <c r="M125" s="24" t="str">
        <f t="shared" si="9"/>
        <v>Elementos.de.Camadas</v>
      </c>
      <c r="N125" s="24" t="str">
        <f t="shared" si="10"/>
        <v>Parede Paginada</v>
      </c>
      <c r="O125" s="24" t="str">
        <f t="shared" si="11"/>
        <v>Parede Painel</v>
      </c>
      <c r="P125" s="30" t="s">
        <v>231</v>
      </c>
      <c r="Q125" s="29" t="s">
        <v>232</v>
      </c>
      <c r="R125" s="19" t="s">
        <v>1732</v>
      </c>
      <c r="S125" s="43" t="s">
        <v>9</v>
      </c>
      <c r="T125" s="25" t="str">
        <f t="shared" si="12"/>
        <v>Arquitetônicos</v>
      </c>
      <c r="U125" s="25" t="str">
        <f t="shared" si="13"/>
        <v>Elementos de Camadas</v>
      </c>
      <c r="V125" s="25" t="str">
        <f t="shared" si="14"/>
        <v>Parede Paginada</v>
      </c>
      <c r="W125" s="19" t="s">
        <v>74</v>
      </c>
      <c r="X125" s="57" t="str">
        <f t="shared" si="15"/>
        <v>Key-ARQ-125</v>
      </c>
      <c r="Y125" s="19" t="s">
        <v>2083</v>
      </c>
      <c r="Z125" s="25" t="s">
        <v>9</v>
      </c>
      <c r="AA125" s="25" t="s">
        <v>1347</v>
      </c>
      <c r="AB125" s="25" t="s">
        <v>9</v>
      </c>
      <c r="AC125" s="25" t="s">
        <v>1562</v>
      </c>
      <c r="AD125" s="25" t="s">
        <v>9</v>
      </c>
    </row>
    <row r="126" spans="1:30" ht="6.65" customHeight="1" x14ac:dyDescent="0.4">
      <c r="A126" s="21">
        <v>126</v>
      </c>
      <c r="B126" s="1" t="s">
        <v>1524</v>
      </c>
      <c r="C126" s="1" t="s">
        <v>1525</v>
      </c>
      <c r="D126" s="1" t="s">
        <v>1593</v>
      </c>
      <c r="E126" s="1" t="s">
        <v>1582</v>
      </c>
      <c r="F126" s="1" t="s">
        <v>595</v>
      </c>
      <c r="G126" s="7" t="s">
        <v>9</v>
      </c>
      <c r="H126" s="83" t="s">
        <v>9</v>
      </c>
      <c r="I126" s="83" t="s">
        <v>9</v>
      </c>
      <c r="J126" s="7" t="s">
        <v>9</v>
      </c>
      <c r="K126" s="7" t="s">
        <v>9</v>
      </c>
      <c r="L126" s="24" t="str">
        <f t="shared" si="8"/>
        <v>Arquitetônicos</v>
      </c>
      <c r="M126" s="24" t="str">
        <f t="shared" si="9"/>
        <v>Elementos.de.Camadas</v>
      </c>
      <c r="N126" s="24" t="str">
        <f t="shared" si="10"/>
        <v>Parede Paginada</v>
      </c>
      <c r="O126" s="24" t="str">
        <f t="shared" si="11"/>
        <v>Parede Alucobond</v>
      </c>
      <c r="P126" s="30" t="s">
        <v>487</v>
      </c>
      <c r="Q126" s="29" t="s">
        <v>488</v>
      </c>
      <c r="R126" s="19" t="s">
        <v>1733</v>
      </c>
      <c r="S126" s="43" t="s">
        <v>9</v>
      </c>
      <c r="T126" s="25" t="str">
        <f t="shared" si="12"/>
        <v>Arquitetônicos</v>
      </c>
      <c r="U126" s="25" t="str">
        <f t="shared" si="13"/>
        <v>Elementos de Camadas</v>
      </c>
      <c r="V126" s="25" t="str">
        <f t="shared" si="14"/>
        <v>Parede Paginada</v>
      </c>
      <c r="W126" s="19" t="s">
        <v>74</v>
      </c>
      <c r="X126" s="57" t="str">
        <f t="shared" si="15"/>
        <v>Key-ARQ-126</v>
      </c>
      <c r="Y126" s="19" t="s">
        <v>2083</v>
      </c>
      <c r="Z126" s="25" t="s">
        <v>9</v>
      </c>
      <c r="AA126" s="25" t="s">
        <v>1347</v>
      </c>
      <c r="AB126" s="25" t="s">
        <v>9</v>
      </c>
      <c r="AC126" s="25" t="s">
        <v>1562</v>
      </c>
      <c r="AD126" s="25" t="s">
        <v>9</v>
      </c>
    </row>
    <row r="127" spans="1:30" ht="6.65" customHeight="1" x14ac:dyDescent="0.4">
      <c r="A127" s="21">
        <v>127</v>
      </c>
      <c r="B127" s="1" t="s">
        <v>1524</v>
      </c>
      <c r="C127" s="1" t="s">
        <v>1525</v>
      </c>
      <c r="D127" s="1" t="s">
        <v>1593</v>
      </c>
      <c r="E127" s="1" t="s">
        <v>1582</v>
      </c>
      <c r="F127" s="23" t="s">
        <v>596</v>
      </c>
      <c r="G127" s="7" t="s">
        <v>9</v>
      </c>
      <c r="H127" s="83" t="s">
        <v>9</v>
      </c>
      <c r="I127" s="83" t="s">
        <v>9</v>
      </c>
      <c r="J127" s="7" t="s">
        <v>9</v>
      </c>
      <c r="K127" s="7" t="s">
        <v>9</v>
      </c>
      <c r="L127" s="24" t="str">
        <f t="shared" si="8"/>
        <v>Arquitetônicos</v>
      </c>
      <c r="M127" s="24" t="str">
        <f t="shared" si="9"/>
        <v>Elementos.de.Camadas</v>
      </c>
      <c r="N127" s="24" t="str">
        <f t="shared" si="10"/>
        <v>Parede Paginada</v>
      </c>
      <c r="O127" s="24" t="str">
        <f t="shared" si="11"/>
        <v>Parede Fachada</v>
      </c>
      <c r="P127" s="30" t="s">
        <v>235</v>
      </c>
      <c r="Q127" s="30" t="s">
        <v>236</v>
      </c>
      <c r="R127" s="19" t="s">
        <v>1734</v>
      </c>
      <c r="S127" s="43" t="s">
        <v>9</v>
      </c>
      <c r="T127" s="25" t="str">
        <f t="shared" si="12"/>
        <v>Arquitetônicos</v>
      </c>
      <c r="U127" s="25" t="str">
        <f t="shared" si="13"/>
        <v>Elementos de Camadas</v>
      </c>
      <c r="V127" s="25" t="str">
        <f t="shared" si="14"/>
        <v>Parede Paginada</v>
      </c>
      <c r="W127" s="19" t="s">
        <v>74</v>
      </c>
      <c r="X127" s="57" t="str">
        <f t="shared" si="15"/>
        <v>Key-ARQ-127</v>
      </c>
      <c r="Y127" s="19" t="s">
        <v>2083</v>
      </c>
      <c r="Z127" s="25" t="s">
        <v>9</v>
      </c>
      <c r="AA127" s="25" t="s">
        <v>1347</v>
      </c>
      <c r="AB127" s="25" t="s">
        <v>9</v>
      </c>
      <c r="AC127" s="25" t="s">
        <v>1562</v>
      </c>
      <c r="AD127" s="25" t="s">
        <v>9</v>
      </c>
    </row>
    <row r="128" spans="1:30" ht="6.65" customHeight="1" x14ac:dyDescent="0.4">
      <c r="A128" s="21">
        <v>128</v>
      </c>
      <c r="B128" s="1" t="s">
        <v>1524</v>
      </c>
      <c r="C128" s="1" t="s">
        <v>1525</v>
      </c>
      <c r="D128" s="1" t="s">
        <v>1593</v>
      </c>
      <c r="E128" s="1" t="s">
        <v>2053</v>
      </c>
      <c r="F128" s="23" t="s">
        <v>2101</v>
      </c>
      <c r="G128" s="7" t="s">
        <v>9</v>
      </c>
      <c r="H128" s="83" t="s">
        <v>9</v>
      </c>
      <c r="I128" s="83" t="s">
        <v>9</v>
      </c>
      <c r="J128" s="7" t="s">
        <v>9</v>
      </c>
      <c r="K128" s="7" t="s">
        <v>9</v>
      </c>
      <c r="L128" s="24" t="str">
        <f t="shared" si="8"/>
        <v>Arquitetônicos</v>
      </c>
      <c r="M128" s="24" t="str">
        <f t="shared" si="9"/>
        <v>Elementos.de.Camadas</v>
      </c>
      <c r="N128" s="24" t="str">
        <f t="shared" si="10"/>
        <v>Pisos Camadas</v>
      </c>
      <c r="O128" s="24" t="str">
        <f t="shared" si="11"/>
        <v>Piso Colante</v>
      </c>
      <c r="P128" s="30" t="s">
        <v>2069</v>
      </c>
      <c r="Q128" s="29" t="s">
        <v>2073</v>
      </c>
      <c r="R128" s="19" t="s">
        <v>2077</v>
      </c>
      <c r="S128" s="43" t="s">
        <v>9</v>
      </c>
      <c r="T128" s="25" t="str">
        <f t="shared" si="12"/>
        <v>Arquitetônicos</v>
      </c>
      <c r="U128" s="25" t="str">
        <f t="shared" si="13"/>
        <v>Elementos de Camadas</v>
      </c>
      <c r="V128" s="25" t="str">
        <f t="shared" si="14"/>
        <v>Pisos Camadas</v>
      </c>
      <c r="W128" s="19" t="s">
        <v>74</v>
      </c>
      <c r="X128" s="57" t="str">
        <f t="shared" si="15"/>
        <v>Key-ARQ-128</v>
      </c>
      <c r="Y128" s="19" t="s">
        <v>2081</v>
      </c>
      <c r="Z128" s="25" t="s">
        <v>9</v>
      </c>
      <c r="AA128" s="25" t="s">
        <v>1342</v>
      </c>
      <c r="AB128" s="25" t="s">
        <v>9</v>
      </c>
      <c r="AC128" s="25" t="s">
        <v>1563</v>
      </c>
      <c r="AD128" s="25" t="s">
        <v>9</v>
      </c>
    </row>
    <row r="129" spans="1:30" ht="6.65" customHeight="1" x14ac:dyDescent="0.4">
      <c r="A129" s="21">
        <v>129</v>
      </c>
      <c r="B129" s="1" t="s">
        <v>1524</v>
      </c>
      <c r="C129" s="1" t="s">
        <v>1525</v>
      </c>
      <c r="D129" s="1" t="s">
        <v>1593</v>
      </c>
      <c r="E129" s="1" t="s">
        <v>2053</v>
      </c>
      <c r="F129" s="33" t="s">
        <v>2100</v>
      </c>
      <c r="G129" s="7" t="s">
        <v>9</v>
      </c>
      <c r="H129" s="83" t="s">
        <v>9</v>
      </c>
      <c r="I129" s="83" t="s">
        <v>9</v>
      </c>
      <c r="J129" s="7" t="s">
        <v>9</v>
      </c>
      <c r="K129" s="7" t="s">
        <v>9</v>
      </c>
      <c r="L129" s="24" t="str">
        <f t="shared" si="8"/>
        <v>Arquitetônicos</v>
      </c>
      <c r="M129" s="24" t="str">
        <f t="shared" si="9"/>
        <v>Elementos.de.Camadas</v>
      </c>
      <c r="N129" s="24" t="str">
        <f t="shared" si="10"/>
        <v>Pisos Camadas</v>
      </c>
      <c r="O129" s="24" t="str">
        <f t="shared" si="11"/>
        <v>Piso Isolante</v>
      </c>
      <c r="P129" s="25" t="s">
        <v>2070</v>
      </c>
      <c r="Q129" s="25" t="s">
        <v>2074</v>
      </c>
      <c r="R129" s="19" t="s">
        <v>2078</v>
      </c>
      <c r="S129" s="43" t="s">
        <v>9</v>
      </c>
      <c r="T129" s="25" t="str">
        <f t="shared" si="12"/>
        <v>Arquitetônicos</v>
      </c>
      <c r="U129" s="25" t="str">
        <f t="shared" si="13"/>
        <v>Elementos de Camadas</v>
      </c>
      <c r="V129" s="25" t="str">
        <f t="shared" si="14"/>
        <v>Pisos Camadas</v>
      </c>
      <c r="W129" s="19" t="s">
        <v>74</v>
      </c>
      <c r="X129" s="57" t="str">
        <f t="shared" si="15"/>
        <v>Key-ARQ-129</v>
      </c>
      <c r="Y129" s="19" t="s">
        <v>2082</v>
      </c>
      <c r="Z129" s="25" t="s">
        <v>9</v>
      </c>
      <c r="AA129" s="25" t="s">
        <v>1343</v>
      </c>
      <c r="AB129" s="25" t="s">
        <v>9</v>
      </c>
      <c r="AC129" s="25" t="s">
        <v>1563</v>
      </c>
      <c r="AD129" s="25" t="s">
        <v>9</v>
      </c>
    </row>
    <row r="130" spans="1:30" ht="6.65" customHeight="1" x14ac:dyDescent="0.4">
      <c r="A130" s="21">
        <v>130</v>
      </c>
      <c r="B130" s="1" t="s">
        <v>1524</v>
      </c>
      <c r="C130" s="1" t="s">
        <v>1525</v>
      </c>
      <c r="D130" s="1" t="s">
        <v>1593</v>
      </c>
      <c r="E130" s="1" t="s">
        <v>2053</v>
      </c>
      <c r="F130" s="33" t="s">
        <v>2099</v>
      </c>
      <c r="G130" s="7" t="s">
        <v>9</v>
      </c>
      <c r="H130" s="83" t="s">
        <v>9</v>
      </c>
      <c r="I130" s="83" t="s">
        <v>9</v>
      </c>
      <c r="J130" s="7" t="s">
        <v>9</v>
      </c>
      <c r="K130" s="7" t="s">
        <v>9</v>
      </c>
      <c r="L130" s="24" t="str">
        <f t="shared" si="8"/>
        <v>Arquitetônicos</v>
      </c>
      <c r="M130" s="24" t="str">
        <f t="shared" si="9"/>
        <v>Elementos.de.Camadas</v>
      </c>
      <c r="N130" s="24" t="str">
        <f t="shared" si="10"/>
        <v>Pisos Camadas</v>
      </c>
      <c r="O130" s="24" t="str">
        <f t="shared" si="11"/>
        <v>Piso Baritado</v>
      </c>
      <c r="P130" s="25" t="s">
        <v>2071</v>
      </c>
      <c r="Q130" s="25" t="s">
        <v>2075</v>
      </c>
      <c r="R130" s="19" t="s">
        <v>2079</v>
      </c>
      <c r="S130" s="43" t="s">
        <v>9</v>
      </c>
      <c r="T130" s="25" t="str">
        <f t="shared" si="12"/>
        <v>Arquitetônicos</v>
      </c>
      <c r="U130" s="25" t="str">
        <f t="shared" si="13"/>
        <v>Elementos de Camadas</v>
      </c>
      <c r="V130" s="25" t="str">
        <f t="shared" si="14"/>
        <v>Pisos Camadas</v>
      </c>
      <c r="W130" s="19" t="s">
        <v>74</v>
      </c>
      <c r="X130" s="57" t="str">
        <f t="shared" si="15"/>
        <v>Key-ARQ-130</v>
      </c>
      <c r="Y130" s="19" t="s">
        <v>2082</v>
      </c>
      <c r="Z130" s="25" t="s">
        <v>9</v>
      </c>
      <c r="AA130" s="25" t="s">
        <v>1343</v>
      </c>
      <c r="AB130" s="25" t="s">
        <v>9</v>
      </c>
      <c r="AC130" s="25" t="s">
        <v>1563</v>
      </c>
      <c r="AD130" s="25" t="s">
        <v>9</v>
      </c>
    </row>
    <row r="131" spans="1:30" ht="6.65" customHeight="1" x14ac:dyDescent="0.4">
      <c r="A131" s="21">
        <v>131</v>
      </c>
      <c r="B131" s="1" t="s">
        <v>1524</v>
      </c>
      <c r="C131" s="1" t="s">
        <v>1525</v>
      </c>
      <c r="D131" s="1" t="s">
        <v>1593</v>
      </c>
      <c r="E131" s="1" t="s">
        <v>2053</v>
      </c>
      <c r="F131" s="33" t="s">
        <v>79</v>
      </c>
      <c r="G131" s="7" t="s">
        <v>9</v>
      </c>
      <c r="H131" s="83" t="s">
        <v>9</v>
      </c>
      <c r="I131" s="83" t="s">
        <v>9</v>
      </c>
      <c r="J131" s="7" t="s">
        <v>9</v>
      </c>
      <c r="K131" s="7" t="s">
        <v>9</v>
      </c>
      <c r="L131" s="24" t="str">
        <f t="shared" si="8"/>
        <v>Arquitetônicos</v>
      </c>
      <c r="M131" s="24" t="str">
        <f t="shared" si="9"/>
        <v>Elementos.de.Camadas</v>
      </c>
      <c r="N131" s="24" t="str">
        <f t="shared" si="10"/>
        <v>Pisos Camadas</v>
      </c>
      <c r="O131" s="24" t="str">
        <f t="shared" si="11"/>
        <v>Graute</v>
      </c>
      <c r="P131" s="25" t="s">
        <v>2072</v>
      </c>
      <c r="Q131" s="25" t="s">
        <v>2076</v>
      </c>
      <c r="R131" s="19" t="s">
        <v>2080</v>
      </c>
      <c r="S131" s="43" t="s">
        <v>9</v>
      </c>
      <c r="T131" s="25" t="str">
        <f t="shared" si="12"/>
        <v>Arquitetônicos</v>
      </c>
      <c r="U131" s="25" t="str">
        <f t="shared" si="13"/>
        <v>Elementos de Camadas</v>
      </c>
      <c r="V131" s="25" t="str">
        <f t="shared" si="14"/>
        <v>Pisos Camadas</v>
      </c>
      <c r="W131" s="19" t="s">
        <v>74</v>
      </c>
      <c r="X131" s="57" t="str">
        <f t="shared" si="15"/>
        <v>Key-ARQ-131</v>
      </c>
      <c r="Y131" s="19" t="s">
        <v>2081</v>
      </c>
      <c r="Z131" s="25" t="s">
        <v>9</v>
      </c>
      <c r="AA131" s="25" t="s">
        <v>1344</v>
      </c>
      <c r="AB131" s="25" t="s">
        <v>9</v>
      </c>
      <c r="AC131" s="25" t="s">
        <v>1562</v>
      </c>
      <c r="AD131" s="25" t="s">
        <v>9</v>
      </c>
    </row>
    <row r="132" spans="1:30" ht="6.65" customHeight="1" x14ac:dyDescent="0.4">
      <c r="A132" s="21">
        <v>132</v>
      </c>
      <c r="B132" s="1" t="s">
        <v>1524</v>
      </c>
      <c r="C132" s="1" t="s">
        <v>1525</v>
      </c>
      <c r="D132" s="1" t="s">
        <v>1593</v>
      </c>
      <c r="E132" s="1" t="s">
        <v>2053</v>
      </c>
      <c r="F132" s="1" t="s">
        <v>2097</v>
      </c>
      <c r="G132" s="7" t="s">
        <v>9</v>
      </c>
      <c r="H132" s="83" t="s">
        <v>9</v>
      </c>
      <c r="I132" s="83" t="s">
        <v>9</v>
      </c>
      <c r="J132" s="7" t="s">
        <v>9</v>
      </c>
      <c r="K132" s="7" t="s">
        <v>9</v>
      </c>
      <c r="L132" s="24" t="str">
        <f t="shared" ref="L132:L133" si="40">CONCATENATE("", C132)</f>
        <v>Arquitetônicos</v>
      </c>
      <c r="M132" s="24" t="str">
        <f t="shared" ref="M132:M133" si="41">CONCATENATE("", D132)</f>
        <v>Elementos.de.Camadas</v>
      </c>
      <c r="N132" s="24" t="str">
        <f t="shared" ref="N132:N133" si="42">(SUBSTITUTE(SUBSTITUTE(CONCATENATE("",E132),"."," ")," De "," de "))</f>
        <v>Pisos Camadas</v>
      </c>
      <c r="O132" s="24" t="str">
        <f t="shared" ref="O132:O133" si="43">(SUBSTITUTE(SUBSTITUTE(CONCATENATE("",F132),"."," ")," De "," de "))</f>
        <v>Lastro</v>
      </c>
      <c r="P132" s="19" t="s">
        <v>1604</v>
      </c>
      <c r="Q132" s="29" t="s">
        <v>1605</v>
      </c>
      <c r="R132" s="19" t="s">
        <v>1671</v>
      </c>
      <c r="S132" s="43" t="s">
        <v>9</v>
      </c>
      <c r="T132" s="25" t="str">
        <f t="shared" ref="T132:T133" si="44">SUBSTITUTE(C132, ".", " ")</f>
        <v>Arquitetônicos</v>
      </c>
      <c r="U132" s="25" t="str">
        <f t="shared" ref="U132:U133" si="45">SUBSTITUTE(D132, ".", " ")</f>
        <v>Elementos de Camadas</v>
      </c>
      <c r="V132" s="25" t="str">
        <f t="shared" ref="V132:V133" si="46">SUBSTITUTE(E132, ".", " ")</f>
        <v>Pisos Camadas</v>
      </c>
      <c r="W132" s="19" t="s">
        <v>74</v>
      </c>
      <c r="X132" s="57" t="str">
        <f t="shared" ref="X132:X133" si="47">CONCATENATE("Key-ARQ-",A132)</f>
        <v>Key-ARQ-132</v>
      </c>
      <c r="Y132" s="19" t="s">
        <v>2081</v>
      </c>
      <c r="Z132" s="25" t="s">
        <v>9</v>
      </c>
      <c r="AA132" s="25" t="s">
        <v>1342</v>
      </c>
      <c r="AB132" s="25" t="s">
        <v>9</v>
      </c>
      <c r="AC132" s="25" t="s">
        <v>1562</v>
      </c>
      <c r="AD132" s="25" t="s">
        <v>9</v>
      </c>
    </row>
    <row r="133" spans="1:30" ht="6.65" customHeight="1" x14ac:dyDescent="0.4">
      <c r="A133" s="21">
        <v>133</v>
      </c>
      <c r="B133" s="1" t="s">
        <v>1524</v>
      </c>
      <c r="C133" s="1" t="s">
        <v>1525</v>
      </c>
      <c r="D133" s="1" t="s">
        <v>1593</v>
      </c>
      <c r="E133" s="1" t="s">
        <v>2053</v>
      </c>
      <c r="F133" s="23" t="s">
        <v>2092</v>
      </c>
      <c r="G133" s="7" t="s">
        <v>9</v>
      </c>
      <c r="H133" s="83" t="s">
        <v>9</v>
      </c>
      <c r="I133" s="83" t="s">
        <v>9</v>
      </c>
      <c r="J133" s="7" t="s">
        <v>9</v>
      </c>
      <c r="K133" s="7" t="s">
        <v>9</v>
      </c>
      <c r="L133" s="24" t="str">
        <f t="shared" si="40"/>
        <v>Arquitetônicos</v>
      </c>
      <c r="M133" s="24" t="str">
        <f t="shared" si="41"/>
        <v>Elementos.de.Camadas</v>
      </c>
      <c r="N133" s="24" t="str">
        <f t="shared" si="42"/>
        <v>Pisos Camadas</v>
      </c>
      <c r="O133" s="24" t="str">
        <f t="shared" si="43"/>
        <v>Contrapiso</v>
      </c>
      <c r="P133" s="30" t="s">
        <v>119</v>
      </c>
      <c r="Q133" s="30" t="s">
        <v>663</v>
      </c>
      <c r="R133" s="19" t="s">
        <v>1722</v>
      </c>
      <c r="S133" s="43" t="s">
        <v>9</v>
      </c>
      <c r="T133" s="25" t="str">
        <f t="shared" si="44"/>
        <v>Arquitetônicos</v>
      </c>
      <c r="U133" s="25" t="str">
        <f t="shared" si="45"/>
        <v>Elementos de Camadas</v>
      </c>
      <c r="V133" s="25" t="str">
        <f t="shared" si="46"/>
        <v>Pisos Camadas</v>
      </c>
      <c r="W133" s="19" t="s">
        <v>74</v>
      </c>
      <c r="X133" s="57" t="str">
        <f t="shared" si="47"/>
        <v>Key-ARQ-133</v>
      </c>
      <c r="Y133" s="19" t="s">
        <v>2081</v>
      </c>
      <c r="Z133" s="25" t="s">
        <v>9</v>
      </c>
      <c r="AA133" s="25" t="s">
        <v>1344</v>
      </c>
      <c r="AB133" s="25" t="s">
        <v>9</v>
      </c>
      <c r="AC133" s="25" t="s">
        <v>1563</v>
      </c>
      <c r="AD133" s="25" t="s">
        <v>9</v>
      </c>
    </row>
    <row r="134" spans="1:30" ht="6.65" customHeight="1" x14ac:dyDescent="0.4">
      <c r="A134" s="21">
        <v>134</v>
      </c>
      <c r="B134" s="1" t="s">
        <v>1524</v>
      </c>
      <c r="C134" s="1" t="s">
        <v>1525</v>
      </c>
      <c r="D134" s="1" t="s">
        <v>1593</v>
      </c>
      <c r="E134" s="1" t="s">
        <v>1598</v>
      </c>
      <c r="F134" s="1" t="s">
        <v>1103</v>
      </c>
      <c r="G134" s="7" t="s">
        <v>9</v>
      </c>
      <c r="H134" s="83" t="s">
        <v>9</v>
      </c>
      <c r="I134" s="83" t="s">
        <v>9</v>
      </c>
      <c r="J134" s="7" t="s">
        <v>9</v>
      </c>
      <c r="K134" s="7" t="s">
        <v>9</v>
      </c>
      <c r="L134" s="24" t="str">
        <f t="shared" si="8"/>
        <v>Arquitetônicos</v>
      </c>
      <c r="M134" s="24" t="str">
        <f t="shared" si="9"/>
        <v>Elementos.de.Camadas</v>
      </c>
      <c r="N134" s="24" t="str">
        <f t="shared" si="10"/>
        <v>Pisos Manta</v>
      </c>
      <c r="O134" s="24" t="str">
        <f t="shared" si="11"/>
        <v>Manta Piso Acústico</v>
      </c>
      <c r="P134" s="19" t="s">
        <v>562</v>
      </c>
      <c r="Q134" s="29" t="s">
        <v>565</v>
      </c>
      <c r="R134" s="19" t="s">
        <v>1735</v>
      </c>
      <c r="S134" s="43" t="s">
        <v>9</v>
      </c>
      <c r="T134" s="25" t="str">
        <f t="shared" si="12"/>
        <v>Arquitetônicos</v>
      </c>
      <c r="U134" s="25" t="str">
        <f t="shared" si="13"/>
        <v>Elementos de Camadas</v>
      </c>
      <c r="V134" s="25" t="str">
        <f t="shared" si="14"/>
        <v>Pisos Manta</v>
      </c>
      <c r="W134" s="19" t="s">
        <v>74</v>
      </c>
      <c r="X134" s="57" t="str">
        <f t="shared" si="15"/>
        <v>Key-ARQ-134</v>
      </c>
      <c r="Y134" s="19" t="s">
        <v>2086</v>
      </c>
      <c r="Z134" s="25" t="s">
        <v>9</v>
      </c>
      <c r="AA134" s="25" t="s">
        <v>1342</v>
      </c>
      <c r="AB134" s="25" t="s">
        <v>9</v>
      </c>
      <c r="AC134" s="25" t="s">
        <v>1563</v>
      </c>
      <c r="AD134" s="25" t="s">
        <v>9</v>
      </c>
    </row>
    <row r="135" spans="1:30" ht="6.65" customHeight="1" x14ac:dyDescent="0.4">
      <c r="A135" s="21">
        <v>135</v>
      </c>
      <c r="B135" s="1" t="s">
        <v>1524</v>
      </c>
      <c r="C135" s="1" t="s">
        <v>1525</v>
      </c>
      <c r="D135" s="1" t="s">
        <v>1593</v>
      </c>
      <c r="E135" s="1" t="s">
        <v>1597</v>
      </c>
      <c r="F135" s="1" t="s">
        <v>1105</v>
      </c>
      <c r="G135" s="7" t="s">
        <v>9</v>
      </c>
      <c r="H135" s="83" t="s">
        <v>9</v>
      </c>
      <c r="I135" s="83" t="s">
        <v>9</v>
      </c>
      <c r="J135" s="7" t="s">
        <v>9</v>
      </c>
      <c r="K135" s="7" t="s">
        <v>9</v>
      </c>
      <c r="L135" s="24" t="str">
        <f t="shared" si="8"/>
        <v>Arquitetônicos</v>
      </c>
      <c r="M135" s="24" t="str">
        <f t="shared" si="9"/>
        <v>Elementos.de.Camadas</v>
      </c>
      <c r="N135" s="24" t="str">
        <f t="shared" si="10"/>
        <v>Pisos Mantas</v>
      </c>
      <c r="O135" s="24" t="str">
        <f t="shared" si="11"/>
        <v>Manta Piso Hidrófugo</v>
      </c>
      <c r="P135" s="19" t="s">
        <v>563</v>
      </c>
      <c r="Q135" s="29" t="s">
        <v>566</v>
      </c>
      <c r="R135" s="19" t="s">
        <v>1736</v>
      </c>
      <c r="S135" s="43" t="s">
        <v>9</v>
      </c>
      <c r="T135" s="25" t="str">
        <f t="shared" si="12"/>
        <v>Arquitetônicos</v>
      </c>
      <c r="U135" s="25" t="str">
        <f t="shared" si="13"/>
        <v>Elementos de Camadas</v>
      </c>
      <c r="V135" s="25" t="str">
        <f t="shared" si="14"/>
        <v>Pisos Mantas</v>
      </c>
      <c r="W135" s="19" t="s">
        <v>74</v>
      </c>
      <c r="X135" s="57" t="str">
        <f t="shared" si="15"/>
        <v>Key-ARQ-135</v>
      </c>
      <c r="Y135" s="19" t="s">
        <v>2086</v>
      </c>
      <c r="Z135" s="25" t="s">
        <v>9</v>
      </c>
      <c r="AA135" s="25" t="s">
        <v>1342</v>
      </c>
      <c r="AB135" s="25" t="s">
        <v>9</v>
      </c>
      <c r="AC135" s="25" t="s">
        <v>1563</v>
      </c>
      <c r="AD135" s="25" t="s">
        <v>9</v>
      </c>
    </row>
    <row r="136" spans="1:30" ht="6.65" customHeight="1" x14ac:dyDescent="0.4">
      <c r="A136" s="21">
        <v>136</v>
      </c>
      <c r="B136" s="1" t="s">
        <v>1524</v>
      </c>
      <c r="C136" s="1" t="s">
        <v>1525</v>
      </c>
      <c r="D136" s="1" t="s">
        <v>1593</v>
      </c>
      <c r="E136" s="1" t="s">
        <v>1597</v>
      </c>
      <c r="F136" s="1" t="s">
        <v>1104</v>
      </c>
      <c r="G136" s="7" t="s">
        <v>9</v>
      </c>
      <c r="H136" s="83" t="s">
        <v>9</v>
      </c>
      <c r="I136" s="83" t="s">
        <v>9</v>
      </c>
      <c r="J136" s="7" t="s">
        <v>9</v>
      </c>
      <c r="K136" s="7" t="s">
        <v>9</v>
      </c>
      <c r="L136" s="24" t="str">
        <f t="shared" si="8"/>
        <v>Arquitetônicos</v>
      </c>
      <c r="M136" s="24" t="str">
        <f t="shared" si="9"/>
        <v>Elementos.de.Camadas</v>
      </c>
      <c r="N136" s="24" t="str">
        <f t="shared" si="10"/>
        <v>Pisos Mantas</v>
      </c>
      <c r="O136" s="24" t="str">
        <f t="shared" si="11"/>
        <v>Manta Piso Térmico</v>
      </c>
      <c r="P136" s="19" t="s">
        <v>564</v>
      </c>
      <c r="Q136" s="29" t="s">
        <v>567</v>
      </c>
      <c r="R136" s="19" t="s">
        <v>1737</v>
      </c>
      <c r="S136" s="43" t="s">
        <v>9</v>
      </c>
      <c r="T136" s="25" t="str">
        <f t="shared" si="12"/>
        <v>Arquitetônicos</v>
      </c>
      <c r="U136" s="25" t="str">
        <f t="shared" si="13"/>
        <v>Elementos de Camadas</v>
      </c>
      <c r="V136" s="25" t="str">
        <f t="shared" si="14"/>
        <v>Pisos Mantas</v>
      </c>
      <c r="W136" s="19" t="s">
        <v>74</v>
      </c>
      <c r="X136" s="57" t="str">
        <f t="shared" si="15"/>
        <v>Key-ARQ-136</v>
      </c>
      <c r="Y136" s="19" t="s">
        <v>2086</v>
      </c>
      <c r="Z136" s="25" t="s">
        <v>9</v>
      </c>
      <c r="AA136" s="25" t="s">
        <v>1342</v>
      </c>
      <c r="AB136" s="25" t="s">
        <v>9</v>
      </c>
      <c r="AC136" s="25" t="s">
        <v>1563</v>
      </c>
      <c r="AD136" s="25" t="s">
        <v>9</v>
      </c>
    </row>
    <row r="137" spans="1:30" ht="6.65" customHeight="1" x14ac:dyDescent="0.4">
      <c r="A137" s="21">
        <v>137</v>
      </c>
      <c r="B137" s="1" t="s">
        <v>1524</v>
      </c>
      <c r="C137" s="1" t="s">
        <v>1525</v>
      </c>
      <c r="D137" s="1" t="s">
        <v>1593</v>
      </c>
      <c r="E137" s="1" t="s">
        <v>1599</v>
      </c>
      <c r="F137" s="1" t="s">
        <v>518</v>
      </c>
      <c r="G137" s="7" t="s">
        <v>9</v>
      </c>
      <c r="H137" s="83" t="s">
        <v>9</v>
      </c>
      <c r="I137" s="83" t="s">
        <v>9</v>
      </c>
      <c r="J137" s="7" t="s">
        <v>9</v>
      </c>
      <c r="K137" s="7" t="s">
        <v>9</v>
      </c>
      <c r="L137" s="24" t="str">
        <f t="shared" si="8"/>
        <v>Arquitetônicos</v>
      </c>
      <c r="M137" s="24" t="str">
        <f t="shared" si="9"/>
        <v>Elementos.de.Camadas</v>
      </c>
      <c r="N137" s="24" t="str">
        <f t="shared" si="10"/>
        <v>Pisos Acessibilidade</v>
      </c>
      <c r="O137" s="24" t="str">
        <f t="shared" si="11"/>
        <v>Piso Tátil Alerta</v>
      </c>
      <c r="P137" s="19" t="s">
        <v>560</v>
      </c>
      <c r="Q137" s="29" t="s">
        <v>568</v>
      </c>
      <c r="R137" s="19" t="s">
        <v>1738</v>
      </c>
      <c r="S137" s="43" t="s">
        <v>9</v>
      </c>
      <c r="T137" s="25" t="str">
        <f t="shared" si="12"/>
        <v>Arquitetônicos</v>
      </c>
      <c r="U137" s="25" t="str">
        <f t="shared" si="13"/>
        <v>Elementos de Camadas</v>
      </c>
      <c r="V137" s="25" t="str">
        <f t="shared" si="14"/>
        <v>Pisos Acessibilidade</v>
      </c>
      <c r="W137" s="19" t="s">
        <v>74</v>
      </c>
      <c r="X137" s="57" t="str">
        <f t="shared" si="15"/>
        <v>Key-ARQ-137</v>
      </c>
      <c r="Y137" s="19" t="s">
        <v>2087</v>
      </c>
      <c r="Z137" s="25" t="s">
        <v>9</v>
      </c>
      <c r="AA137" s="25" t="s">
        <v>1345</v>
      </c>
      <c r="AB137" s="25" t="s">
        <v>9</v>
      </c>
      <c r="AC137" s="25" t="s">
        <v>1563</v>
      </c>
      <c r="AD137" s="25" t="s">
        <v>9</v>
      </c>
    </row>
    <row r="138" spans="1:30" ht="6.65" customHeight="1" x14ac:dyDescent="0.4">
      <c r="A138" s="21">
        <v>138</v>
      </c>
      <c r="B138" s="1" t="s">
        <v>1524</v>
      </c>
      <c r="C138" s="1" t="s">
        <v>1525</v>
      </c>
      <c r="D138" s="1" t="s">
        <v>1593</v>
      </c>
      <c r="E138" s="1" t="s">
        <v>1599</v>
      </c>
      <c r="F138" s="1" t="s">
        <v>519</v>
      </c>
      <c r="G138" s="7" t="s">
        <v>9</v>
      </c>
      <c r="H138" s="83" t="s">
        <v>9</v>
      </c>
      <c r="I138" s="83" t="s">
        <v>9</v>
      </c>
      <c r="J138" s="7" t="s">
        <v>9</v>
      </c>
      <c r="K138" s="7" t="s">
        <v>9</v>
      </c>
      <c r="L138" s="24" t="str">
        <f t="shared" ref="L138:L193" si="48">CONCATENATE("", C138)</f>
        <v>Arquitetônicos</v>
      </c>
      <c r="M138" s="24" t="str">
        <f t="shared" ref="M138:M193" si="49">CONCATENATE("", D138)</f>
        <v>Elementos.de.Camadas</v>
      </c>
      <c r="N138" s="24" t="str">
        <f t="shared" ref="N138:N193" si="50">(SUBSTITUTE(SUBSTITUTE(CONCATENATE("",E138),"."," ")," De "," de "))</f>
        <v>Pisos Acessibilidade</v>
      </c>
      <c r="O138" s="24" t="str">
        <f t="shared" ref="O138:O193" si="51">(SUBSTITUTE(SUBSTITUTE(CONCATENATE("",F138),"."," ")," De "," de "))</f>
        <v>Piso Tátil Direcional</v>
      </c>
      <c r="P138" s="19" t="s">
        <v>561</v>
      </c>
      <c r="Q138" s="29" t="s">
        <v>569</v>
      </c>
      <c r="R138" s="19" t="s">
        <v>1739</v>
      </c>
      <c r="S138" s="43" t="s">
        <v>9</v>
      </c>
      <c r="T138" s="25" t="str">
        <f t="shared" ref="T138:T193" si="52">SUBSTITUTE(C138, ".", " ")</f>
        <v>Arquitetônicos</v>
      </c>
      <c r="U138" s="25" t="str">
        <f t="shared" ref="U138:U193" si="53">SUBSTITUTE(D138, ".", " ")</f>
        <v>Elementos de Camadas</v>
      </c>
      <c r="V138" s="25" t="str">
        <f t="shared" ref="V138:V193" si="54">SUBSTITUTE(E138, ".", " ")</f>
        <v>Pisos Acessibilidade</v>
      </c>
      <c r="W138" s="19" t="s">
        <v>74</v>
      </c>
      <c r="X138" s="57" t="str">
        <f t="shared" ref="X138:X193" si="55">CONCATENATE("Key-ARQ-",A138)</f>
        <v>Key-ARQ-138</v>
      </c>
      <c r="Y138" s="19" t="s">
        <v>2087</v>
      </c>
      <c r="Z138" s="25" t="s">
        <v>9</v>
      </c>
      <c r="AA138" s="25" t="s">
        <v>1345</v>
      </c>
      <c r="AB138" s="25" t="s">
        <v>9</v>
      </c>
      <c r="AC138" s="25" t="s">
        <v>1563</v>
      </c>
      <c r="AD138" s="25" t="s">
        <v>9</v>
      </c>
    </row>
    <row r="139" spans="1:30" ht="6.65" customHeight="1" x14ac:dyDescent="0.4">
      <c r="A139" s="21">
        <v>139</v>
      </c>
      <c r="B139" s="1" t="s">
        <v>1524</v>
      </c>
      <c r="C139" s="1" t="s">
        <v>1525</v>
      </c>
      <c r="D139" s="1" t="s">
        <v>1593</v>
      </c>
      <c r="E139" s="1" t="s">
        <v>1583</v>
      </c>
      <c r="F139" s="1" t="s">
        <v>517</v>
      </c>
      <c r="G139" s="7" t="s">
        <v>9</v>
      </c>
      <c r="H139" s="83" t="s">
        <v>9</v>
      </c>
      <c r="I139" s="83" t="s">
        <v>9</v>
      </c>
      <c r="J139" s="7" t="s">
        <v>9</v>
      </c>
      <c r="K139" s="7" t="s">
        <v>9</v>
      </c>
      <c r="L139" s="24" t="str">
        <f t="shared" si="48"/>
        <v>Arquitetônicos</v>
      </c>
      <c r="M139" s="24" t="str">
        <f t="shared" si="49"/>
        <v>Elementos.de.Camadas</v>
      </c>
      <c r="N139" s="24" t="str">
        <f t="shared" si="50"/>
        <v>Pisos Resistentes</v>
      </c>
      <c r="O139" s="24" t="str">
        <f t="shared" si="51"/>
        <v>Piso Asfaltado</v>
      </c>
      <c r="P139" s="19" t="s">
        <v>559</v>
      </c>
      <c r="Q139" s="29" t="s">
        <v>570</v>
      </c>
      <c r="R139" s="19" t="s">
        <v>1740</v>
      </c>
      <c r="S139" s="43" t="s">
        <v>9</v>
      </c>
      <c r="T139" s="25" t="str">
        <f t="shared" si="52"/>
        <v>Arquitetônicos</v>
      </c>
      <c r="U139" s="25" t="str">
        <f t="shared" si="53"/>
        <v>Elementos de Camadas</v>
      </c>
      <c r="V139" s="25" t="str">
        <f t="shared" si="54"/>
        <v>Pisos Resistentes</v>
      </c>
      <c r="W139" s="19" t="s">
        <v>74</v>
      </c>
      <c r="X139" s="57" t="str">
        <f t="shared" si="55"/>
        <v>Key-ARQ-139</v>
      </c>
      <c r="Y139" s="19" t="s">
        <v>2087</v>
      </c>
      <c r="Z139" s="25" t="s">
        <v>9</v>
      </c>
      <c r="AA139" s="25" t="s">
        <v>1345</v>
      </c>
      <c r="AB139" s="25" t="s">
        <v>9</v>
      </c>
      <c r="AC139" s="25" t="s">
        <v>1563</v>
      </c>
      <c r="AD139" s="25" t="s">
        <v>9</v>
      </c>
    </row>
    <row r="140" spans="1:30" ht="6.65" customHeight="1" x14ac:dyDescent="0.4">
      <c r="A140" s="21">
        <v>140</v>
      </c>
      <c r="B140" s="1" t="s">
        <v>1524</v>
      </c>
      <c r="C140" s="1" t="s">
        <v>1525</v>
      </c>
      <c r="D140" s="1" t="s">
        <v>1593</v>
      </c>
      <c r="E140" s="1" t="s">
        <v>1583</v>
      </c>
      <c r="F140" s="1" t="s">
        <v>516</v>
      </c>
      <c r="G140" s="7" t="s">
        <v>9</v>
      </c>
      <c r="H140" s="83" t="s">
        <v>9</v>
      </c>
      <c r="I140" s="83" t="s">
        <v>9</v>
      </c>
      <c r="J140" s="7" t="s">
        <v>9</v>
      </c>
      <c r="K140" s="7" t="s">
        <v>9</v>
      </c>
      <c r="L140" s="24" t="str">
        <f t="shared" si="48"/>
        <v>Arquitetônicos</v>
      </c>
      <c r="M140" s="24" t="str">
        <f t="shared" si="49"/>
        <v>Elementos.de.Camadas</v>
      </c>
      <c r="N140" s="24" t="str">
        <f t="shared" si="50"/>
        <v>Pisos Resistentes</v>
      </c>
      <c r="O140" s="24" t="str">
        <f t="shared" si="51"/>
        <v>Piso Concretado</v>
      </c>
      <c r="P140" s="19" t="s">
        <v>558</v>
      </c>
      <c r="Q140" s="29" t="s">
        <v>571</v>
      </c>
      <c r="R140" s="19" t="s">
        <v>1741</v>
      </c>
      <c r="S140" s="43" t="s">
        <v>9</v>
      </c>
      <c r="T140" s="25" t="str">
        <f t="shared" si="52"/>
        <v>Arquitetônicos</v>
      </c>
      <c r="U140" s="25" t="str">
        <f t="shared" si="53"/>
        <v>Elementos de Camadas</v>
      </c>
      <c r="V140" s="25" t="str">
        <f t="shared" si="54"/>
        <v>Pisos Resistentes</v>
      </c>
      <c r="W140" s="19" t="s">
        <v>74</v>
      </c>
      <c r="X140" s="57" t="str">
        <f t="shared" si="55"/>
        <v>Key-ARQ-140</v>
      </c>
      <c r="Y140" s="19" t="s">
        <v>2087</v>
      </c>
      <c r="Z140" s="25" t="s">
        <v>9</v>
      </c>
      <c r="AA140" s="25" t="s">
        <v>1345</v>
      </c>
      <c r="AB140" s="25" t="s">
        <v>9</v>
      </c>
      <c r="AC140" s="25" t="s">
        <v>1563</v>
      </c>
      <c r="AD140" s="25" t="s">
        <v>9</v>
      </c>
    </row>
    <row r="141" spans="1:30" ht="6.65" customHeight="1" x14ac:dyDescent="0.4">
      <c r="A141" s="21">
        <v>141</v>
      </c>
      <c r="B141" s="1" t="s">
        <v>1524</v>
      </c>
      <c r="C141" s="1" t="s">
        <v>1525</v>
      </c>
      <c r="D141" s="1" t="s">
        <v>1593</v>
      </c>
      <c r="E141" s="1" t="s">
        <v>1583</v>
      </c>
      <c r="F141" s="1" t="s">
        <v>523</v>
      </c>
      <c r="G141" s="7" t="s">
        <v>9</v>
      </c>
      <c r="H141" s="83" t="s">
        <v>9</v>
      </c>
      <c r="I141" s="83" t="s">
        <v>9</v>
      </c>
      <c r="J141" s="7" t="s">
        <v>9</v>
      </c>
      <c r="K141" s="7" t="s">
        <v>9</v>
      </c>
      <c r="L141" s="24" t="str">
        <f t="shared" si="48"/>
        <v>Arquitetônicos</v>
      </c>
      <c r="M141" s="24" t="str">
        <f t="shared" si="49"/>
        <v>Elementos.de.Camadas</v>
      </c>
      <c r="N141" s="24" t="str">
        <f t="shared" si="50"/>
        <v>Pisos Resistentes</v>
      </c>
      <c r="O141" s="24" t="str">
        <f t="shared" si="51"/>
        <v>Piso Automotivo</v>
      </c>
      <c r="P141" s="19" t="s">
        <v>557</v>
      </c>
      <c r="Q141" s="29" t="s">
        <v>535</v>
      </c>
      <c r="R141" s="19" t="s">
        <v>1742</v>
      </c>
      <c r="S141" s="43" t="s">
        <v>9</v>
      </c>
      <c r="T141" s="25" t="str">
        <f t="shared" si="52"/>
        <v>Arquitetônicos</v>
      </c>
      <c r="U141" s="25" t="str">
        <f t="shared" si="53"/>
        <v>Elementos de Camadas</v>
      </c>
      <c r="V141" s="25" t="str">
        <f t="shared" si="54"/>
        <v>Pisos Resistentes</v>
      </c>
      <c r="W141" s="19" t="s">
        <v>74</v>
      </c>
      <c r="X141" s="57" t="str">
        <f t="shared" si="55"/>
        <v>Key-ARQ-141</v>
      </c>
      <c r="Y141" s="19" t="s">
        <v>2087</v>
      </c>
      <c r="Z141" s="25" t="s">
        <v>9</v>
      </c>
      <c r="AA141" s="25" t="s">
        <v>1345</v>
      </c>
      <c r="AB141" s="25" t="s">
        <v>9</v>
      </c>
      <c r="AC141" s="25" t="s">
        <v>1563</v>
      </c>
      <c r="AD141" s="25" t="s">
        <v>9</v>
      </c>
    </row>
    <row r="142" spans="1:30" ht="6.65" customHeight="1" x14ac:dyDescent="0.4">
      <c r="A142" s="21">
        <v>142</v>
      </c>
      <c r="B142" s="1" t="s">
        <v>1524</v>
      </c>
      <c r="C142" s="1" t="s">
        <v>1525</v>
      </c>
      <c r="D142" s="1" t="s">
        <v>1593</v>
      </c>
      <c r="E142" s="1" t="s">
        <v>1583</v>
      </c>
      <c r="F142" s="1" t="s">
        <v>515</v>
      </c>
      <c r="G142" s="7" t="s">
        <v>9</v>
      </c>
      <c r="H142" s="83" t="s">
        <v>9</v>
      </c>
      <c r="I142" s="83" t="s">
        <v>9</v>
      </c>
      <c r="J142" s="7" t="s">
        <v>9</v>
      </c>
      <c r="K142" s="7" t="s">
        <v>9</v>
      </c>
      <c r="L142" s="24" t="str">
        <f t="shared" si="48"/>
        <v>Arquitetônicos</v>
      </c>
      <c r="M142" s="24" t="str">
        <f t="shared" si="49"/>
        <v>Elementos.de.Camadas</v>
      </c>
      <c r="N142" s="24" t="str">
        <f t="shared" si="50"/>
        <v>Pisos Resistentes</v>
      </c>
      <c r="O142" s="24" t="str">
        <f t="shared" si="51"/>
        <v>Piso Bloquete Carro</v>
      </c>
      <c r="P142" s="19" t="s">
        <v>556</v>
      </c>
      <c r="Q142" s="29" t="s">
        <v>572</v>
      </c>
      <c r="R142" s="19" t="s">
        <v>1743</v>
      </c>
      <c r="S142" s="43" t="s">
        <v>9</v>
      </c>
      <c r="T142" s="25" t="str">
        <f t="shared" si="52"/>
        <v>Arquitetônicos</v>
      </c>
      <c r="U142" s="25" t="str">
        <f t="shared" si="53"/>
        <v>Elementos de Camadas</v>
      </c>
      <c r="V142" s="25" t="str">
        <f t="shared" si="54"/>
        <v>Pisos Resistentes</v>
      </c>
      <c r="W142" s="19" t="s">
        <v>74</v>
      </c>
      <c r="X142" s="57" t="str">
        <f t="shared" si="55"/>
        <v>Key-ARQ-142</v>
      </c>
      <c r="Y142" s="19" t="s">
        <v>2087</v>
      </c>
      <c r="Z142" s="25" t="s">
        <v>9</v>
      </c>
      <c r="AA142" s="25" t="s">
        <v>1345</v>
      </c>
      <c r="AB142" s="25" t="s">
        <v>9</v>
      </c>
      <c r="AC142" s="25" t="s">
        <v>1563</v>
      </c>
      <c r="AD142" s="25" t="s">
        <v>9</v>
      </c>
    </row>
    <row r="143" spans="1:30" ht="6.65" customHeight="1" x14ac:dyDescent="0.4">
      <c r="A143" s="21">
        <v>143</v>
      </c>
      <c r="B143" s="1" t="s">
        <v>1524</v>
      </c>
      <c r="C143" s="1" t="s">
        <v>1525</v>
      </c>
      <c r="D143" s="1" t="s">
        <v>1593</v>
      </c>
      <c r="E143" s="1" t="s">
        <v>1584</v>
      </c>
      <c r="F143" s="1" t="s">
        <v>520</v>
      </c>
      <c r="G143" s="7" t="s">
        <v>9</v>
      </c>
      <c r="H143" s="83" t="s">
        <v>9</v>
      </c>
      <c r="I143" s="83" t="s">
        <v>9</v>
      </c>
      <c r="J143" s="7" t="s">
        <v>9</v>
      </c>
      <c r="K143" s="7" t="s">
        <v>9</v>
      </c>
      <c r="L143" s="24" t="str">
        <f t="shared" si="48"/>
        <v>Arquitetônicos</v>
      </c>
      <c r="M143" s="24" t="str">
        <f t="shared" si="49"/>
        <v>Elementos.de.Camadas</v>
      </c>
      <c r="N143" s="24" t="str">
        <f t="shared" si="50"/>
        <v>Pisos Drenantes</v>
      </c>
      <c r="O143" s="24" t="str">
        <f t="shared" si="51"/>
        <v>Piso Intertravado</v>
      </c>
      <c r="P143" s="19" t="s">
        <v>534</v>
      </c>
      <c r="Q143" s="29" t="s">
        <v>536</v>
      </c>
      <c r="R143" s="19" t="s">
        <v>1744</v>
      </c>
      <c r="S143" s="43" t="s">
        <v>9</v>
      </c>
      <c r="T143" s="25" t="str">
        <f t="shared" si="52"/>
        <v>Arquitetônicos</v>
      </c>
      <c r="U143" s="25" t="str">
        <f t="shared" si="53"/>
        <v>Elementos de Camadas</v>
      </c>
      <c r="V143" s="25" t="str">
        <f t="shared" si="54"/>
        <v>Pisos Drenantes</v>
      </c>
      <c r="W143" s="19" t="s">
        <v>74</v>
      </c>
      <c r="X143" s="57" t="str">
        <f t="shared" si="55"/>
        <v>Key-ARQ-143</v>
      </c>
      <c r="Y143" s="19" t="s">
        <v>2087</v>
      </c>
      <c r="Z143" s="25" t="s">
        <v>9</v>
      </c>
      <c r="AA143" s="25" t="s">
        <v>1345</v>
      </c>
      <c r="AB143" s="25" t="s">
        <v>9</v>
      </c>
      <c r="AC143" s="25" t="s">
        <v>1563</v>
      </c>
      <c r="AD143" s="25" t="s">
        <v>9</v>
      </c>
    </row>
    <row r="144" spans="1:30" ht="6.65" customHeight="1" x14ac:dyDescent="0.4">
      <c r="A144" s="21">
        <v>144</v>
      </c>
      <c r="B144" s="1" t="s">
        <v>1524</v>
      </c>
      <c r="C144" s="1" t="s">
        <v>1525</v>
      </c>
      <c r="D144" s="1" t="s">
        <v>1593</v>
      </c>
      <c r="E144" s="1" t="s">
        <v>1584</v>
      </c>
      <c r="F144" s="1" t="s">
        <v>521</v>
      </c>
      <c r="G144" s="7" t="s">
        <v>9</v>
      </c>
      <c r="H144" s="83" t="s">
        <v>9</v>
      </c>
      <c r="I144" s="83" t="s">
        <v>9</v>
      </c>
      <c r="J144" s="7" t="s">
        <v>9</v>
      </c>
      <c r="K144" s="7" t="s">
        <v>9</v>
      </c>
      <c r="L144" s="24" t="str">
        <f t="shared" si="48"/>
        <v>Arquitetônicos</v>
      </c>
      <c r="M144" s="24" t="str">
        <f t="shared" si="49"/>
        <v>Elementos.de.Camadas</v>
      </c>
      <c r="N144" s="24" t="str">
        <f t="shared" si="50"/>
        <v>Pisos Drenantes</v>
      </c>
      <c r="O144" s="24" t="str">
        <f t="shared" si="51"/>
        <v>Piso Fulget</v>
      </c>
      <c r="P144" s="19" t="s">
        <v>555</v>
      </c>
      <c r="Q144" s="29" t="s">
        <v>573</v>
      </c>
      <c r="R144" s="19" t="s">
        <v>1745</v>
      </c>
      <c r="S144" s="43" t="s">
        <v>9</v>
      </c>
      <c r="T144" s="25" t="str">
        <f t="shared" si="52"/>
        <v>Arquitetônicos</v>
      </c>
      <c r="U144" s="25" t="str">
        <f t="shared" si="53"/>
        <v>Elementos de Camadas</v>
      </c>
      <c r="V144" s="25" t="str">
        <f t="shared" si="54"/>
        <v>Pisos Drenantes</v>
      </c>
      <c r="W144" s="19" t="s">
        <v>74</v>
      </c>
      <c r="X144" s="57" t="str">
        <f t="shared" si="55"/>
        <v>Key-ARQ-144</v>
      </c>
      <c r="Y144" s="19" t="s">
        <v>2087</v>
      </c>
      <c r="Z144" s="25" t="s">
        <v>9</v>
      </c>
      <c r="AA144" s="25" t="s">
        <v>1345</v>
      </c>
      <c r="AB144" s="25" t="s">
        <v>9</v>
      </c>
      <c r="AC144" s="25" t="s">
        <v>1563</v>
      </c>
      <c r="AD144" s="25" t="s">
        <v>9</v>
      </c>
    </row>
    <row r="145" spans="1:30" ht="6.65" customHeight="1" x14ac:dyDescent="0.4">
      <c r="A145" s="21">
        <v>145</v>
      </c>
      <c r="B145" s="1" t="s">
        <v>1524</v>
      </c>
      <c r="C145" s="1" t="s">
        <v>1525</v>
      </c>
      <c r="D145" s="1" t="s">
        <v>1593</v>
      </c>
      <c r="E145" s="1" t="s">
        <v>1584</v>
      </c>
      <c r="F145" s="1" t="s">
        <v>522</v>
      </c>
      <c r="G145" s="7" t="s">
        <v>9</v>
      </c>
      <c r="H145" s="83" t="s">
        <v>9</v>
      </c>
      <c r="I145" s="83" t="s">
        <v>9</v>
      </c>
      <c r="J145" s="7" t="s">
        <v>9</v>
      </c>
      <c r="K145" s="7" t="s">
        <v>9</v>
      </c>
      <c r="L145" s="24" t="str">
        <f t="shared" si="48"/>
        <v>Arquitetônicos</v>
      </c>
      <c r="M145" s="24" t="str">
        <f t="shared" si="49"/>
        <v>Elementos.de.Camadas</v>
      </c>
      <c r="N145" s="24" t="str">
        <f t="shared" si="50"/>
        <v>Pisos Drenantes</v>
      </c>
      <c r="O145" s="24" t="str">
        <f t="shared" si="51"/>
        <v>Piso Bloquete Grama</v>
      </c>
      <c r="P145" s="19" t="s">
        <v>554</v>
      </c>
      <c r="Q145" s="29" t="s">
        <v>574</v>
      </c>
      <c r="R145" s="19" t="s">
        <v>1746</v>
      </c>
      <c r="S145" s="43" t="s">
        <v>9</v>
      </c>
      <c r="T145" s="25" t="str">
        <f t="shared" si="52"/>
        <v>Arquitetônicos</v>
      </c>
      <c r="U145" s="25" t="str">
        <f t="shared" si="53"/>
        <v>Elementos de Camadas</v>
      </c>
      <c r="V145" s="25" t="str">
        <f t="shared" si="54"/>
        <v>Pisos Drenantes</v>
      </c>
      <c r="W145" s="19" t="s">
        <v>74</v>
      </c>
      <c r="X145" s="57" t="str">
        <f t="shared" si="55"/>
        <v>Key-ARQ-145</v>
      </c>
      <c r="Y145" s="19" t="s">
        <v>2087</v>
      </c>
      <c r="Z145" s="25" t="s">
        <v>9</v>
      </c>
      <c r="AA145" s="25" t="s">
        <v>1345</v>
      </c>
      <c r="AB145" s="25" t="s">
        <v>9</v>
      </c>
      <c r="AC145" s="25" t="s">
        <v>1563</v>
      </c>
      <c r="AD145" s="25" t="s">
        <v>9</v>
      </c>
    </row>
    <row r="146" spans="1:30" ht="6.65" customHeight="1" x14ac:dyDescent="0.4">
      <c r="A146" s="21">
        <v>146</v>
      </c>
      <c r="B146" s="1" t="s">
        <v>1524</v>
      </c>
      <c r="C146" s="1" t="s">
        <v>1525</v>
      </c>
      <c r="D146" s="1" t="s">
        <v>1593</v>
      </c>
      <c r="E146" s="1" t="s">
        <v>1585</v>
      </c>
      <c r="F146" s="1" t="s">
        <v>547</v>
      </c>
      <c r="G146" s="7" t="s">
        <v>9</v>
      </c>
      <c r="H146" s="83" t="s">
        <v>9</v>
      </c>
      <c r="I146" s="83" t="s">
        <v>9</v>
      </c>
      <c r="J146" s="7" t="s">
        <v>9</v>
      </c>
      <c r="K146" s="7" t="s">
        <v>9</v>
      </c>
      <c r="L146" s="24" t="str">
        <f t="shared" si="48"/>
        <v>Arquitetônicos</v>
      </c>
      <c r="M146" s="24" t="str">
        <f t="shared" si="49"/>
        <v>Elementos.de.Camadas</v>
      </c>
      <c r="N146" s="24" t="str">
        <f t="shared" si="50"/>
        <v>Pisos Paginados</v>
      </c>
      <c r="O146" s="24" t="str">
        <f t="shared" si="51"/>
        <v>Piso Cerâmico</v>
      </c>
      <c r="P146" s="19" t="s">
        <v>552</v>
      </c>
      <c r="Q146" s="29" t="s">
        <v>575</v>
      </c>
      <c r="R146" s="19" t="s">
        <v>1747</v>
      </c>
      <c r="S146" s="43" t="s">
        <v>9</v>
      </c>
      <c r="T146" s="25" t="str">
        <f t="shared" si="52"/>
        <v>Arquitetônicos</v>
      </c>
      <c r="U146" s="25" t="str">
        <f t="shared" si="53"/>
        <v>Elementos de Camadas</v>
      </c>
      <c r="V146" s="25" t="str">
        <f t="shared" si="54"/>
        <v>Pisos Paginados</v>
      </c>
      <c r="W146" s="19" t="s">
        <v>74</v>
      </c>
      <c r="X146" s="57" t="str">
        <f t="shared" si="55"/>
        <v>Key-ARQ-146</v>
      </c>
      <c r="Y146" s="19" t="s">
        <v>2087</v>
      </c>
      <c r="Z146" s="25" t="s">
        <v>9</v>
      </c>
      <c r="AA146" s="25" t="s">
        <v>1345</v>
      </c>
      <c r="AB146" s="25" t="s">
        <v>9</v>
      </c>
      <c r="AC146" s="25" t="s">
        <v>1563</v>
      </c>
      <c r="AD146" s="25" t="s">
        <v>9</v>
      </c>
    </row>
    <row r="147" spans="1:30" ht="6.65" customHeight="1" x14ac:dyDescent="0.4">
      <c r="A147" s="21">
        <v>147</v>
      </c>
      <c r="B147" s="1" t="s">
        <v>1524</v>
      </c>
      <c r="C147" s="1" t="s">
        <v>1525</v>
      </c>
      <c r="D147" s="1" t="s">
        <v>1593</v>
      </c>
      <c r="E147" s="1" t="s">
        <v>1585</v>
      </c>
      <c r="F147" s="1" t="s">
        <v>546</v>
      </c>
      <c r="G147" s="7" t="s">
        <v>9</v>
      </c>
      <c r="H147" s="83" t="s">
        <v>9</v>
      </c>
      <c r="I147" s="83" t="s">
        <v>9</v>
      </c>
      <c r="J147" s="7" t="s">
        <v>9</v>
      </c>
      <c r="K147" s="7" t="s">
        <v>9</v>
      </c>
      <c r="L147" s="24" t="str">
        <f t="shared" si="48"/>
        <v>Arquitetônicos</v>
      </c>
      <c r="M147" s="24" t="str">
        <f t="shared" si="49"/>
        <v>Elementos.de.Camadas</v>
      </c>
      <c r="N147" s="24" t="str">
        <f t="shared" si="50"/>
        <v>Pisos Paginados</v>
      </c>
      <c r="O147" s="24" t="str">
        <f t="shared" si="51"/>
        <v>Piso Porcelanato</v>
      </c>
      <c r="P147" s="19" t="s">
        <v>553</v>
      </c>
      <c r="Q147" s="29" t="s">
        <v>576</v>
      </c>
      <c r="R147" s="19" t="s">
        <v>1748</v>
      </c>
      <c r="S147" s="43" t="s">
        <v>9</v>
      </c>
      <c r="T147" s="25" t="str">
        <f t="shared" si="52"/>
        <v>Arquitetônicos</v>
      </c>
      <c r="U147" s="25" t="str">
        <f t="shared" si="53"/>
        <v>Elementos de Camadas</v>
      </c>
      <c r="V147" s="25" t="str">
        <f t="shared" si="54"/>
        <v>Pisos Paginados</v>
      </c>
      <c r="W147" s="19" t="s">
        <v>74</v>
      </c>
      <c r="X147" s="57" t="str">
        <f t="shared" si="55"/>
        <v>Key-ARQ-147</v>
      </c>
      <c r="Y147" s="19" t="s">
        <v>2087</v>
      </c>
      <c r="Z147" s="25" t="s">
        <v>9</v>
      </c>
      <c r="AA147" s="25" t="s">
        <v>1345</v>
      </c>
      <c r="AB147" s="25" t="s">
        <v>9</v>
      </c>
      <c r="AC147" s="25" t="s">
        <v>1563</v>
      </c>
      <c r="AD147" s="25" t="s">
        <v>9</v>
      </c>
    </row>
    <row r="148" spans="1:30" ht="6.65" customHeight="1" x14ac:dyDescent="0.4">
      <c r="A148" s="21">
        <v>148</v>
      </c>
      <c r="B148" s="1" t="s">
        <v>1524</v>
      </c>
      <c r="C148" s="1" t="s">
        <v>1525</v>
      </c>
      <c r="D148" s="1" t="s">
        <v>1593</v>
      </c>
      <c r="E148" s="1" t="s">
        <v>1585</v>
      </c>
      <c r="F148" s="1" t="s">
        <v>510</v>
      </c>
      <c r="G148" s="7" t="s">
        <v>9</v>
      </c>
      <c r="H148" s="83" t="s">
        <v>9</v>
      </c>
      <c r="I148" s="83" t="s">
        <v>9</v>
      </c>
      <c r="J148" s="7" t="s">
        <v>9</v>
      </c>
      <c r="K148" s="7" t="s">
        <v>9</v>
      </c>
      <c r="L148" s="24" t="str">
        <f t="shared" si="48"/>
        <v>Arquitetônicos</v>
      </c>
      <c r="M148" s="24" t="str">
        <f t="shared" si="49"/>
        <v>Elementos.de.Camadas</v>
      </c>
      <c r="N148" s="24" t="str">
        <f t="shared" si="50"/>
        <v>Pisos Paginados</v>
      </c>
      <c r="O148" s="24" t="str">
        <f t="shared" si="51"/>
        <v>Piso Taco</v>
      </c>
      <c r="P148" s="19" t="s">
        <v>525</v>
      </c>
      <c r="Q148" s="29" t="s">
        <v>537</v>
      </c>
      <c r="R148" s="19" t="s">
        <v>1749</v>
      </c>
      <c r="S148" s="43" t="s">
        <v>9</v>
      </c>
      <c r="T148" s="25" t="str">
        <f t="shared" si="52"/>
        <v>Arquitetônicos</v>
      </c>
      <c r="U148" s="25" t="str">
        <f t="shared" si="53"/>
        <v>Elementos de Camadas</v>
      </c>
      <c r="V148" s="25" t="str">
        <f t="shared" si="54"/>
        <v>Pisos Paginados</v>
      </c>
      <c r="W148" s="19" t="s">
        <v>74</v>
      </c>
      <c r="X148" s="57" t="str">
        <f t="shared" si="55"/>
        <v>Key-ARQ-148</v>
      </c>
      <c r="Y148" s="19" t="s">
        <v>2087</v>
      </c>
      <c r="Z148" s="25" t="s">
        <v>9</v>
      </c>
      <c r="AA148" s="25" t="s">
        <v>1345</v>
      </c>
      <c r="AB148" s="25" t="s">
        <v>9</v>
      </c>
      <c r="AC148" s="25" t="s">
        <v>1563</v>
      </c>
      <c r="AD148" s="25" t="s">
        <v>9</v>
      </c>
    </row>
    <row r="149" spans="1:30" ht="6.65" customHeight="1" x14ac:dyDescent="0.4">
      <c r="A149" s="21">
        <v>149</v>
      </c>
      <c r="B149" s="1" t="s">
        <v>1524</v>
      </c>
      <c r="C149" s="1" t="s">
        <v>1525</v>
      </c>
      <c r="D149" s="1" t="s">
        <v>1593</v>
      </c>
      <c r="E149" s="1" t="s">
        <v>1585</v>
      </c>
      <c r="F149" s="1" t="s">
        <v>511</v>
      </c>
      <c r="G149" s="7" t="s">
        <v>9</v>
      </c>
      <c r="H149" s="83" t="s">
        <v>9</v>
      </c>
      <c r="I149" s="83" t="s">
        <v>9</v>
      </c>
      <c r="J149" s="7" t="s">
        <v>9</v>
      </c>
      <c r="K149" s="7" t="s">
        <v>9</v>
      </c>
      <c r="L149" s="24" t="str">
        <f t="shared" si="48"/>
        <v>Arquitetônicos</v>
      </c>
      <c r="M149" s="24" t="str">
        <f t="shared" si="49"/>
        <v>Elementos.de.Camadas</v>
      </c>
      <c r="N149" s="24" t="str">
        <f t="shared" si="50"/>
        <v>Pisos Paginados</v>
      </c>
      <c r="O149" s="24" t="str">
        <f t="shared" si="51"/>
        <v>Piso Vinílico</v>
      </c>
      <c r="P149" s="19" t="s">
        <v>526</v>
      </c>
      <c r="Q149" s="29" t="s">
        <v>538</v>
      </c>
      <c r="R149" s="19" t="s">
        <v>1750</v>
      </c>
      <c r="S149" s="43" t="s">
        <v>9</v>
      </c>
      <c r="T149" s="25" t="str">
        <f t="shared" si="52"/>
        <v>Arquitetônicos</v>
      </c>
      <c r="U149" s="25" t="str">
        <f t="shared" si="53"/>
        <v>Elementos de Camadas</v>
      </c>
      <c r="V149" s="25" t="str">
        <f t="shared" si="54"/>
        <v>Pisos Paginados</v>
      </c>
      <c r="W149" s="19" t="s">
        <v>74</v>
      </c>
      <c r="X149" s="57" t="str">
        <f t="shared" si="55"/>
        <v>Key-ARQ-149</v>
      </c>
      <c r="Y149" s="19" t="s">
        <v>2087</v>
      </c>
      <c r="Z149" s="25" t="s">
        <v>9</v>
      </c>
      <c r="AA149" s="25" t="s">
        <v>1345</v>
      </c>
      <c r="AB149" s="25" t="s">
        <v>9</v>
      </c>
      <c r="AC149" s="25" t="s">
        <v>1563</v>
      </c>
      <c r="AD149" s="25" t="s">
        <v>9</v>
      </c>
    </row>
    <row r="150" spans="1:30" ht="6.65" customHeight="1" x14ac:dyDescent="0.4">
      <c r="A150" s="21">
        <v>150</v>
      </c>
      <c r="B150" s="1" t="s">
        <v>1524</v>
      </c>
      <c r="C150" s="1" t="s">
        <v>1525</v>
      </c>
      <c r="D150" s="1" t="s">
        <v>1593</v>
      </c>
      <c r="E150" s="1" t="s">
        <v>1585</v>
      </c>
      <c r="F150" s="1" t="s">
        <v>548</v>
      </c>
      <c r="G150" s="7" t="s">
        <v>9</v>
      </c>
      <c r="H150" s="83" t="s">
        <v>9</v>
      </c>
      <c r="I150" s="83" t="s">
        <v>9</v>
      </c>
      <c r="J150" s="7" t="s">
        <v>9</v>
      </c>
      <c r="K150" s="7" t="s">
        <v>9</v>
      </c>
      <c r="L150" s="24" t="str">
        <f t="shared" si="48"/>
        <v>Arquitetônicos</v>
      </c>
      <c r="M150" s="24" t="str">
        <f t="shared" si="49"/>
        <v>Elementos.de.Camadas</v>
      </c>
      <c r="N150" s="24" t="str">
        <f t="shared" si="50"/>
        <v>Pisos Paginados</v>
      </c>
      <c r="O150" s="24" t="str">
        <f t="shared" si="51"/>
        <v>Piso Pedra Natural</v>
      </c>
      <c r="P150" s="19" t="s">
        <v>527</v>
      </c>
      <c r="Q150" s="29" t="s">
        <v>539</v>
      </c>
      <c r="R150" s="19" t="s">
        <v>1751</v>
      </c>
      <c r="S150" s="43" t="s">
        <v>9</v>
      </c>
      <c r="T150" s="25" t="str">
        <f t="shared" si="52"/>
        <v>Arquitetônicos</v>
      </c>
      <c r="U150" s="25" t="str">
        <f t="shared" si="53"/>
        <v>Elementos de Camadas</v>
      </c>
      <c r="V150" s="25" t="str">
        <f t="shared" si="54"/>
        <v>Pisos Paginados</v>
      </c>
      <c r="W150" s="19" t="s">
        <v>74</v>
      </c>
      <c r="X150" s="57" t="str">
        <f t="shared" si="55"/>
        <v>Key-ARQ-150</v>
      </c>
      <c r="Y150" s="19" t="s">
        <v>2087</v>
      </c>
      <c r="Z150" s="25" t="s">
        <v>9</v>
      </c>
      <c r="AA150" s="25" t="s">
        <v>1345</v>
      </c>
      <c r="AB150" s="25" t="s">
        <v>9</v>
      </c>
      <c r="AC150" s="25" t="s">
        <v>1563</v>
      </c>
      <c r="AD150" s="25" t="s">
        <v>9</v>
      </c>
    </row>
    <row r="151" spans="1:30" ht="6.65" customHeight="1" x14ac:dyDescent="0.4">
      <c r="A151" s="21">
        <v>151</v>
      </c>
      <c r="B151" s="1" t="s">
        <v>1524</v>
      </c>
      <c r="C151" s="1" t="s">
        <v>1525</v>
      </c>
      <c r="D151" s="1" t="s">
        <v>1593</v>
      </c>
      <c r="E151" s="1" t="s">
        <v>1585</v>
      </c>
      <c r="F151" s="1" t="s">
        <v>549</v>
      </c>
      <c r="G151" s="7" t="s">
        <v>9</v>
      </c>
      <c r="H151" s="83" t="s">
        <v>9</v>
      </c>
      <c r="I151" s="83" t="s">
        <v>9</v>
      </c>
      <c r="J151" s="7" t="s">
        <v>9</v>
      </c>
      <c r="K151" s="7" t="s">
        <v>9</v>
      </c>
      <c r="L151" s="24" t="str">
        <f t="shared" si="48"/>
        <v>Arquitetônicos</v>
      </c>
      <c r="M151" s="24" t="str">
        <f t="shared" si="49"/>
        <v>Elementos.de.Camadas</v>
      </c>
      <c r="N151" s="24" t="str">
        <f t="shared" si="50"/>
        <v>Pisos Paginados</v>
      </c>
      <c r="O151" s="24" t="str">
        <f t="shared" si="51"/>
        <v>Piso Pedra Sintética</v>
      </c>
      <c r="P151" s="19" t="s">
        <v>528</v>
      </c>
      <c r="Q151" s="29" t="s">
        <v>540</v>
      </c>
      <c r="R151" s="19" t="s">
        <v>1752</v>
      </c>
      <c r="S151" s="43" t="s">
        <v>9</v>
      </c>
      <c r="T151" s="25" t="str">
        <f t="shared" si="52"/>
        <v>Arquitetônicos</v>
      </c>
      <c r="U151" s="25" t="str">
        <f t="shared" si="53"/>
        <v>Elementos de Camadas</v>
      </c>
      <c r="V151" s="25" t="str">
        <f t="shared" si="54"/>
        <v>Pisos Paginados</v>
      </c>
      <c r="W151" s="19" t="s">
        <v>74</v>
      </c>
      <c r="X151" s="57" t="str">
        <f t="shared" si="55"/>
        <v>Key-ARQ-151</v>
      </c>
      <c r="Y151" s="19" t="s">
        <v>2087</v>
      </c>
      <c r="Z151" s="25" t="s">
        <v>9</v>
      </c>
      <c r="AA151" s="25" t="s">
        <v>1345</v>
      </c>
      <c r="AB151" s="25" t="s">
        <v>9</v>
      </c>
      <c r="AC151" s="25" t="s">
        <v>1563</v>
      </c>
      <c r="AD151" s="25" t="s">
        <v>9</v>
      </c>
    </row>
    <row r="152" spans="1:30" ht="6.65" customHeight="1" x14ac:dyDescent="0.4">
      <c r="A152" s="21">
        <v>152</v>
      </c>
      <c r="B152" s="1" t="s">
        <v>1524</v>
      </c>
      <c r="C152" s="1" t="s">
        <v>1525</v>
      </c>
      <c r="D152" s="1" t="s">
        <v>1593</v>
      </c>
      <c r="E152" s="1" t="s">
        <v>1585</v>
      </c>
      <c r="F152" s="1" t="s">
        <v>512</v>
      </c>
      <c r="G152" s="7" t="s">
        <v>9</v>
      </c>
      <c r="H152" s="83" t="s">
        <v>9</v>
      </c>
      <c r="I152" s="83" t="s">
        <v>9</v>
      </c>
      <c r="J152" s="7" t="s">
        <v>9</v>
      </c>
      <c r="K152" s="7" t="s">
        <v>9</v>
      </c>
      <c r="L152" s="24" t="str">
        <f t="shared" si="48"/>
        <v>Arquitetônicos</v>
      </c>
      <c r="M152" s="24" t="str">
        <f t="shared" si="49"/>
        <v>Elementos.de.Camadas</v>
      </c>
      <c r="N152" s="24" t="str">
        <f t="shared" si="50"/>
        <v>Pisos Paginados</v>
      </c>
      <c r="O152" s="24" t="str">
        <f t="shared" si="51"/>
        <v>Piso Elevado</v>
      </c>
      <c r="P152" s="19" t="s">
        <v>529</v>
      </c>
      <c r="Q152" s="29" t="s">
        <v>541</v>
      </c>
      <c r="R152" s="19" t="s">
        <v>1753</v>
      </c>
      <c r="S152" s="43" t="s">
        <v>9</v>
      </c>
      <c r="T152" s="25" t="str">
        <f t="shared" si="52"/>
        <v>Arquitetônicos</v>
      </c>
      <c r="U152" s="25" t="str">
        <f t="shared" si="53"/>
        <v>Elementos de Camadas</v>
      </c>
      <c r="V152" s="25" t="str">
        <f t="shared" si="54"/>
        <v>Pisos Paginados</v>
      </c>
      <c r="W152" s="19" t="s">
        <v>74</v>
      </c>
      <c r="X152" s="57" t="str">
        <f t="shared" si="55"/>
        <v>Key-ARQ-152</v>
      </c>
      <c r="Y152" s="19" t="s">
        <v>2087</v>
      </c>
      <c r="Z152" s="25" t="s">
        <v>9</v>
      </c>
      <c r="AA152" s="25" t="s">
        <v>1345</v>
      </c>
      <c r="AB152" s="25" t="s">
        <v>9</v>
      </c>
      <c r="AC152" s="25" t="s">
        <v>1563</v>
      </c>
      <c r="AD152" s="25" t="s">
        <v>9</v>
      </c>
    </row>
    <row r="153" spans="1:30" ht="6.65" customHeight="1" x14ac:dyDescent="0.4">
      <c r="A153" s="21">
        <v>153</v>
      </c>
      <c r="B153" s="1" t="s">
        <v>1524</v>
      </c>
      <c r="C153" s="1" t="s">
        <v>1525</v>
      </c>
      <c r="D153" s="1" t="s">
        <v>1593</v>
      </c>
      <c r="E153" s="1" t="s">
        <v>1585</v>
      </c>
      <c r="F153" s="1" t="s">
        <v>607</v>
      </c>
      <c r="G153" s="7" t="s">
        <v>9</v>
      </c>
      <c r="H153" s="83" t="s">
        <v>9</v>
      </c>
      <c r="I153" s="83" t="s">
        <v>9</v>
      </c>
      <c r="J153" s="7" t="s">
        <v>9</v>
      </c>
      <c r="K153" s="7" t="s">
        <v>9</v>
      </c>
      <c r="L153" s="24" t="str">
        <f t="shared" si="48"/>
        <v>Arquitetônicos</v>
      </c>
      <c r="M153" s="24" t="str">
        <f t="shared" si="49"/>
        <v>Elementos.de.Camadas</v>
      </c>
      <c r="N153" s="24" t="str">
        <f t="shared" si="50"/>
        <v>Pisos Paginados</v>
      </c>
      <c r="O153" s="24" t="str">
        <f t="shared" si="51"/>
        <v>Piso Vidro</v>
      </c>
      <c r="P153" s="19" t="s">
        <v>530</v>
      </c>
      <c r="Q153" s="29" t="s">
        <v>542</v>
      </c>
      <c r="R153" s="19" t="s">
        <v>1754</v>
      </c>
      <c r="S153" s="43" t="s">
        <v>9</v>
      </c>
      <c r="T153" s="25" t="str">
        <f t="shared" si="52"/>
        <v>Arquitetônicos</v>
      </c>
      <c r="U153" s="25" t="str">
        <f t="shared" si="53"/>
        <v>Elementos de Camadas</v>
      </c>
      <c r="V153" s="25" t="str">
        <f t="shared" si="54"/>
        <v>Pisos Paginados</v>
      </c>
      <c r="W153" s="19" t="s">
        <v>74</v>
      </c>
      <c r="X153" s="57" t="str">
        <f t="shared" si="55"/>
        <v>Key-ARQ-153</v>
      </c>
      <c r="Y153" s="19" t="s">
        <v>2087</v>
      </c>
      <c r="Z153" s="25" t="s">
        <v>9</v>
      </c>
      <c r="AA153" s="25" t="s">
        <v>1345</v>
      </c>
      <c r="AB153" s="25" t="s">
        <v>9</v>
      </c>
      <c r="AC153" s="25" t="s">
        <v>1563</v>
      </c>
      <c r="AD153" s="25" t="s">
        <v>9</v>
      </c>
    </row>
    <row r="154" spans="1:30" ht="6.65" customHeight="1" x14ac:dyDescent="0.4">
      <c r="A154" s="21">
        <v>154</v>
      </c>
      <c r="B154" s="1" t="s">
        <v>1524</v>
      </c>
      <c r="C154" s="1" t="s">
        <v>1525</v>
      </c>
      <c r="D154" s="1" t="s">
        <v>1593</v>
      </c>
      <c r="E154" s="1" t="s">
        <v>1585</v>
      </c>
      <c r="F154" s="1" t="s">
        <v>604</v>
      </c>
      <c r="G154" s="7" t="s">
        <v>9</v>
      </c>
      <c r="H154" s="83" t="s">
        <v>9</v>
      </c>
      <c r="I154" s="83" t="s">
        <v>9</v>
      </c>
      <c r="J154" s="7" t="s">
        <v>9</v>
      </c>
      <c r="K154" s="7" t="s">
        <v>9</v>
      </c>
      <c r="L154" s="24" t="str">
        <f t="shared" si="48"/>
        <v>Arquitetônicos</v>
      </c>
      <c r="M154" s="24" t="str">
        <f t="shared" si="49"/>
        <v>Elementos.de.Camadas</v>
      </c>
      <c r="N154" s="24" t="str">
        <f t="shared" si="50"/>
        <v>Pisos Paginados</v>
      </c>
      <c r="O154" s="24" t="str">
        <f t="shared" si="51"/>
        <v>Piso Gradil</v>
      </c>
      <c r="P154" s="19" t="s">
        <v>606</v>
      </c>
      <c r="Q154" s="29" t="s">
        <v>605</v>
      </c>
      <c r="R154" s="19" t="s">
        <v>1755</v>
      </c>
      <c r="S154" s="43" t="s">
        <v>9</v>
      </c>
      <c r="T154" s="25" t="str">
        <f t="shared" si="52"/>
        <v>Arquitetônicos</v>
      </c>
      <c r="U154" s="25" t="str">
        <f t="shared" si="53"/>
        <v>Elementos de Camadas</v>
      </c>
      <c r="V154" s="25" t="str">
        <f t="shared" si="54"/>
        <v>Pisos Paginados</v>
      </c>
      <c r="W154" s="19" t="s">
        <v>74</v>
      </c>
      <c r="X154" s="57" t="str">
        <f t="shared" si="55"/>
        <v>Key-ARQ-154</v>
      </c>
      <c r="Y154" s="19" t="s">
        <v>2087</v>
      </c>
      <c r="Z154" s="25" t="s">
        <v>9</v>
      </c>
      <c r="AA154" s="25" t="s">
        <v>1345</v>
      </c>
      <c r="AB154" s="25" t="s">
        <v>9</v>
      </c>
      <c r="AC154" s="25" t="s">
        <v>1563</v>
      </c>
      <c r="AD154" s="25" t="s">
        <v>9</v>
      </c>
    </row>
    <row r="155" spans="1:30" ht="6.65" customHeight="1" x14ac:dyDescent="0.4">
      <c r="A155" s="21">
        <v>155</v>
      </c>
      <c r="B155" s="1" t="s">
        <v>1524</v>
      </c>
      <c r="C155" s="1" t="s">
        <v>1525</v>
      </c>
      <c r="D155" s="1" t="s">
        <v>1593</v>
      </c>
      <c r="E155" s="1" t="s">
        <v>1587</v>
      </c>
      <c r="F155" s="1" t="s">
        <v>524</v>
      </c>
      <c r="G155" s="7" t="s">
        <v>9</v>
      </c>
      <c r="H155" s="83" t="s">
        <v>9</v>
      </c>
      <c r="I155" s="83" t="s">
        <v>9</v>
      </c>
      <c r="J155" s="7" t="s">
        <v>9</v>
      </c>
      <c r="K155" s="7" t="s">
        <v>9</v>
      </c>
      <c r="L155" s="24" t="str">
        <f t="shared" ref="L155:L157" si="56">CONCATENATE("", C155)</f>
        <v>Arquitetônicos</v>
      </c>
      <c r="M155" s="24" t="str">
        <f t="shared" ref="M155:M157" si="57">CONCATENATE("", D155)</f>
        <v>Elementos.de.Camadas</v>
      </c>
      <c r="N155" s="24" t="str">
        <f t="shared" ref="N155:N157" si="58">(SUBSTITUTE(SUBSTITUTE(CONCATENATE("",E155),"."," ")," De "," de "))</f>
        <v>Pisos Contínuos</v>
      </c>
      <c r="O155" s="24" t="str">
        <f t="shared" ref="O155:O157" si="59">(SUBSTITUTE(SUBSTITUTE(CONCATENATE("",F155),"."," ")," De "," de "))</f>
        <v>Piso Carpete</v>
      </c>
      <c r="P155" s="19" t="s">
        <v>531</v>
      </c>
      <c r="Q155" s="29" t="s">
        <v>543</v>
      </c>
      <c r="R155" s="19" t="s">
        <v>1756</v>
      </c>
      <c r="S155" s="43" t="s">
        <v>9</v>
      </c>
      <c r="T155" s="25" t="str">
        <f t="shared" ref="T155:T157" si="60">SUBSTITUTE(C155, ".", " ")</f>
        <v>Arquitetônicos</v>
      </c>
      <c r="U155" s="25" t="str">
        <f t="shared" ref="U155:U157" si="61">SUBSTITUTE(D155, ".", " ")</f>
        <v>Elementos de Camadas</v>
      </c>
      <c r="V155" s="25" t="str">
        <f t="shared" ref="V155:V157" si="62">SUBSTITUTE(E155, ".", " ")</f>
        <v>Pisos Contínuos</v>
      </c>
      <c r="W155" s="19" t="s">
        <v>74</v>
      </c>
      <c r="X155" s="57" t="str">
        <f t="shared" ref="X155:X157" si="63">CONCATENATE("Key-ARQ-",A155)</f>
        <v>Key-ARQ-155</v>
      </c>
      <c r="Y155" s="19" t="s">
        <v>2087</v>
      </c>
      <c r="Z155" s="25" t="s">
        <v>9</v>
      </c>
      <c r="AA155" s="25" t="s">
        <v>1345</v>
      </c>
      <c r="AB155" s="25" t="s">
        <v>9</v>
      </c>
      <c r="AC155" s="25" t="s">
        <v>1563</v>
      </c>
      <c r="AD155" s="25" t="s">
        <v>9</v>
      </c>
    </row>
    <row r="156" spans="1:30" ht="6.65" customHeight="1" x14ac:dyDescent="0.4">
      <c r="A156" s="21">
        <v>156</v>
      </c>
      <c r="B156" s="1" t="s">
        <v>1524</v>
      </c>
      <c r="C156" s="1" t="s">
        <v>1525</v>
      </c>
      <c r="D156" s="1" t="s">
        <v>1593</v>
      </c>
      <c r="E156" s="1" t="s">
        <v>1587</v>
      </c>
      <c r="F156" s="1" t="s">
        <v>513</v>
      </c>
      <c r="G156" s="7" t="s">
        <v>9</v>
      </c>
      <c r="H156" s="83" t="s">
        <v>9</v>
      </c>
      <c r="I156" s="83" t="s">
        <v>9</v>
      </c>
      <c r="J156" s="7" t="s">
        <v>9</v>
      </c>
      <c r="K156" s="7" t="s">
        <v>9</v>
      </c>
      <c r="L156" s="24" t="str">
        <f t="shared" si="56"/>
        <v>Arquitetônicos</v>
      </c>
      <c r="M156" s="24" t="str">
        <f t="shared" si="57"/>
        <v>Elementos.de.Camadas</v>
      </c>
      <c r="N156" s="24" t="str">
        <f t="shared" si="58"/>
        <v>Pisos Contínuos</v>
      </c>
      <c r="O156" s="24" t="str">
        <f t="shared" si="59"/>
        <v>Piso Cimentado</v>
      </c>
      <c r="P156" s="19" t="s">
        <v>532</v>
      </c>
      <c r="Q156" s="29" t="s">
        <v>544</v>
      </c>
      <c r="R156" s="19" t="s">
        <v>1757</v>
      </c>
      <c r="S156" s="43" t="s">
        <v>9</v>
      </c>
      <c r="T156" s="25" t="str">
        <f t="shared" si="60"/>
        <v>Arquitetônicos</v>
      </c>
      <c r="U156" s="25" t="str">
        <f t="shared" si="61"/>
        <v>Elementos de Camadas</v>
      </c>
      <c r="V156" s="25" t="str">
        <f t="shared" si="62"/>
        <v>Pisos Contínuos</v>
      </c>
      <c r="W156" s="19" t="s">
        <v>74</v>
      </c>
      <c r="X156" s="57" t="str">
        <f t="shared" si="63"/>
        <v>Key-ARQ-156</v>
      </c>
      <c r="Y156" s="19" t="s">
        <v>2087</v>
      </c>
      <c r="Z156" s="25" t="s">
        <v>9</v>
      </c>
      <c r="AA156" s="25" t="s">
        <v>1345</v>
      </c>
      <c r="AB156" s="25" t="s">
        <v>9</v>
      </c>
      <c r="AC156" s="25" t="s">
        <v>1563</v>
      </c>
      <c r="AD156" s="25" t="s">
        <v>9</v>
      </c>
    </row>
    <row r="157" spans="1:30" ht="6.65" customHeight="1" x14ac:dyDescent="0.4">
      <c r="A157" s="21">
        <v>157</v>
      </c>
      <c r="B157" s="1" t="s">
        <v>1524</v>
      </c>
      <c r="C157" s="1" t="s">
        <v>1525</v>
      </c>
      <c r="D157" s="1" t="s">
        <v>1593</v>
      </c>
      <c r="E157" s="1" t="s">
        <v>1587</v>
      </c>
      <c r="F157" s="1" t="s">
        <v>514</v>
      </c>
      <c r="G157" s="7" t="s">
        <v>9</v>
      </c>
      <c r="H157" s="83" t="s">
        <v>9</v>
      </c>
      <c r="I157" s="83" t="s">
        <v>9</v>
      </c>
      <c r="J157" s="7" t="s">
        <v>9</v>
      </c>
      <c r="K157" s="7" t="s">
        <v>9</v>
      </c>
      <c r="L157" s="24" t="str">
        <f t="shared" si="56"/>
        <v>Arquitetônicos</v>
      </c>
      <c r="M157" s="24" t="str">
        <f t="shared" si="57"/>
        <v>Elementos.de.Camadas</v>
      </c>
      <c r="N157" s="24" t="str">
        <f t="shared" si="58"/>
        <v>Pisos Contínuos</v>
      </c>
      <c r="O157" s="24" t="str">
        <f t="shared" si="59"/>
        <v>Piso Gramado</v>
      </c>
      <c r="P157" s="19" t="s">
        <v>533</v>
      </c>
      <c r="Q157" s="29" t="s">
        <v>545</v>
      </c>
      <c r="R157" s="19" t="s">
        <v>1758</v>
      </c>
      <c r="S157" s="43" t="s">
        <v>9</v>
      </c>
      <c r="T157" s="25" t="str">
        <f t="shared" si="60"/>
        <v>Arquitetônicos</v>
      </c>
      <c r="U157" s="25" t="str">
        <f t="shared" si="61"/>
        <v>Elementos de Camadas</v>
      </c>
      <c r="V157" s="25" t="str">
        <f t="shared" si="62"/>
        <v>Pisos Contínuos</v>
      </c>
      <c r="W157" s="19" t="s">
        <v>74</v>
      </c>
      <c r="X157" s="57" t="str">
        <f t="shared" si="63"/>
        <v>Key-ARQ-157</v>
      </c>
      <c r="Y157" s="19" t="s">
        <v>2087</v>
      </c>
      <c r="Z157" s="25" t="s">
        <v>9</v>
      </c>
      <c r="AA157" s="25" t="s">
        <v>1345</v>
      </c>
      <c r="AB157" s="25" t="s">
        <v>9</v>
      </c>
      <c r="AC157" s="25" t="s">
        <v>1563</v>
      </c>
      <c r="AD157" s="25" t="s">
        <v>9</v>
      </c>
    </row>
    <row r="158" spans="1:30" ht="6.65" customHeight="1" x14ac:dyDescent="0.4">
      <c r="A158" s="21">
        <v>158</v>
      </c>
      <c r="B158" s="1" t="s">
        <v>1524</v>
      </c>
      <c r="C158" s="1" t="s">
        <v>1525</v>
      </c>
      <c r="D158" s="1" t="s">
        <v>1593</v>
      </c>
      <c r="E158" s="1" t="s">
        <v>1586</v>
      </c>
      <c r="F158" s="1" t="s">
        <v>1140</v>
      </c>
      <c r="G158" s="7" t="s">
        <v>9</v>
      </c>
      <c r="H158" s="83" t="s">
        <v>9</v>
      </c>
      <c r="I158" s="83" t="s">
        <v>9</v>
      </c>
      <c r="J158" s="7" t="s">
        <v>9</v>
      </c>
      <c r="K158" s="7" t="s">
        <v>9</v>
      </c>
      <c r="L158" s="24" t="str">
        <f t="shared" si="48"/>
        <v>Arquitetônicos</v>
      </c>
      <c r="M158" s="24" t="str">
        <f t="shared" si="49"/>
        <v>Elementos.de.Camadas</v>
      </c>
      <c r="N158" s="24" t="str">
        <f t="shared" si="50"/>
        <v>Rodapés Paginados</v>
      </c>
      <c r="O158" s="24" t="str">
        <f t="shared" si="51"/>
        <v>Rodapé Cerâmico</v>
      </c>
      <c r="P158" s="19" t="s">
        <v>1146</v>
      </c>
      <c r="Q158" s="29" t="s">
        <v>1152</v>
      </c>
      <c r="R158" s="19" t="s">
        <v>1759</v>
      </c>
      <c r="S158" s="43" t="s">
        <v>9</v>
      </c>
      <c r="T158" s="25" t="str">
        <f t="shared" si="52"/>
        <v>Arquitetônicos</v>
      </c>
      <c r="U158" s="25" t="str">
        <f t="shared" si="53"/>
        <v>Elementos de Camadas</v>
      </c>
      <c r="V158" s="25" t="str">
        <f t="shared" si="54"/>
        <v>Rodapés Paginados</v>
      </c>
      <c r="W158" s="19" t="s">
        <v>74</v>
      </c>
      <c r="X158" s="57" t="str">
        <f t="shared" si="55"/>
        <v>Key-ARQ-158</v>
      </c>
      <c r="Y158" s="19" t="s">
        <v>2087</v>
      </c>
      <c r="Z158" s="25" t="s">
        <v>9</v>
      </c>
      <c r="AA158" s="25" t="s">
        <v>1346</v>
      </c>
      <c r="AB158" s="25" t="s">
        <v>9</v>
      </c>
      <c r="AC158" s="25" t="s">
        <v>1563</v>
      </c>
      <c r="AD158" s="25" t="s">
        <v>9</v>
      </c>
    </row>
    <row r="159" spans="1:30" ht="6.65" customHeight="1" x14ac:dyDescent="0.4">
      <c r="A159" s="21">
        <v>159</v>
      </c>
      <c r="B159" s="1" t="s">
        <v>1524</v>
      </c>
      <c r="C159" s="1" t="s">
        <v>1525</v>
      </c>
      <c r="D159" s="1" t="s">
        <v>1593</v>
      </c>
      <c r="E159" s="1" t="s">
        <v>1586</v>
      </c>
      <c r="F159" s="1" t="s">
        <v>1141</v>
      </c>
      <c r="G159" s="7" t="s">
        <v>9</v>
      </c>
      <c r="H159" s="83" t="s">
        <v>9</v>
      </c>
      <c r="I159" s="83" t="s">
        <v>9</v>
      </c>
      <c r="J159" s="7" t="s">
        <v>9</v>
      </c>
      <c r="K159" s="7" t="s">
        <v>9</v>
      </c>
      <c r="L159" s="24" t="str">
        <f t="shared" si="48"/>
        <v>Arquitetônicos</v>
      </c>
      <c r="M159" s="24" t="str">
        <f t="shared" si="49"/>
        <v>Elementos.de.Camadas</v>
      </c>
      <c r="N159" s="24" t="str">
        <f t="shared" si="50"/>
        <v>Rodapés Paginados</v>
      </c>
      <c r="O159" s="24" t="str">
        <f t="shared" si="51"/>
        <v>Rodapé Porcelanato</v>
      </c>
      <c r="P159" s="19" t="s">
        <v>1147</v>
      </c>
      <c r="Q159" s="29" t="s">
        <v>1153</v>
      </c>
      <c r="R159" s="19" t="s">
        <v>1760</v>
      </c>
      <c r="S159" s="43" t="s">
        <v>9</v>
      </c>
      <c r="T159" s="25" t="str">
        <f t="shared" si="52"/>
        <v>Arquitetônicos</v>
      </c>
      <c r="U159" s="25" t="str">
        <f t="shared" si="53"/>
        <v>Elementos de Camadas</v>
      </c>
      <c r="V159" s="25" t="str">
        <f t="shared" si="54"/>
        <v>Rodapés Paginados</v>
      </c>
      <c r="W159" s="19" t="s">
        <v>74</v>
      </c>
      <c r="X159" s="57" t="str">
        <f t="shared" si="55"/>
        <v>Key-ARQ-159</v>
      </c>
      <c r="Y159" s="19" t="s">
        <v>2087</v>
      </c>
      <c r="Z159" s="25" t="s">
        <v>9</v>
      </c>
      <c r="AA159" s="25" t="s">
        <v>1346</v>
      </c>
      <c r="AB159" s="25" t="s">
        <v>9</v>
      </c>
      <c r="AC159" s="25" t="s">
        <v>1563</v>
      </c>
      <c r="AD159" s="25" t="s">
        <v>9</v>
      </c>
    </row>
    <row r="160" spans="1:30" ht="6.65" customHeight="1" x14ac:dyDescent="0.4">
      <c r="A160" s="21">
        <v>160</v>
      </c>
      <c r="B160" s="1" t="s">
        <v>1524</v>
      </c>
      <c r="C160" s="1" t="s">
        <v>1525</v>
      </c>
      <c r="D160" s="1" t="s">
        <v>1593</v>
      </c>
      <c r="E160" s="1" t="s">
        <v>1586</v>
      </c>
      <c r="F160" s="1" t="s">
        <v>1142</v>
      </c>
      <c r="G160" s="7" t="s">
        <v>9</v>
      </c>
      <c r="H160" s="83" t="s">
        <v>9</v>
      </c>
      <c r="I160" s="83" t="s">
        <v>9</v>
      </c>
      <c r="J160" s="7" t="s">
        <v>9</v>
      </c>
      <c r="K160" s="7" t="s">
        <v>9</v>
      </c>
      <c r="L160" s="24" t="str">
        <f t="shared" si="48"/>
        <v>Arquitetônicos</v>
      </c>
      <c r="M160" s="24" t="str">
        <f t="shared" si="49"/>
        <v>Elementos.de.Camadas</v>
      </c>
      <c r="N160" s="24" t="str">
        <f t="shared" si="50"/>
        <v>Rodapés Paginados</v>
      </c>
      <c r="O160" s="24" t="str">
        <f t="shared" si="51"/>
        <v>Rodapé Taco</v>
      </c>
      <c r="P160" s="19" t="s">
        <v>1148</v>
      </c>
      <c r="Q160" s="29" t="s">
        <v>1154</v>
      </c>
      <c r="R160" s="19" t="s">
        <v>1761</v>
      </c>
      <c r="S160" s="43" t="s">
        <v>9</v>
      </c>
      <c r="T160" s="25" t="str">
        <f t="shared" si="52"/>
        <v>Arquitetônicos</v>
      </c>
      <c r="U160" s="25" t="str">
        <f t="shared" si="53"/>
        <v>Elementos de Camadas</v>
      </c>
      <c r="V160" s="25" t="str">
        <f t="shared" si="54"/>
        <v>Rodapés Paginados</v>
      </c>
      <c r="W160" s="19" t="s">
        <v>74</v>
      </c>
      <c r="X160" s="57" t="str">
        <f t="shared" si="55"/>
        <v>Key-ARQ-160</v>
      </c>
      <c r="Y160" s="19" t="s">
        <v>2087</v>
      </c>
      <c r="Z160" s="25" t="s">
        <v>9</v>
      </c>
      <c r="AA160" s="25" t="s">
        <v>1346</v>
      </c>
      <c r="AB160" s="25" t="s">
        <v>9</v>
      </c>
      <c r="AC160" s="25" t="s">
        <v>1563</v>
      </c>
      <c r="AD160" s="25" t="s">
        <v>9</v>
      </c>
    </row>
    <row r="161" spans="1:30" ht="6.65" customHeight="1" x14ac:dyDescent="0.4">
      <c r="A161" s="21">
        <v>161</v>
      </c>
      <c r="B161" s="1" t="s">
        <v>1524</v>
      </c>
      <c r="C161" s="1" t="s">
        <v>1525</v>
      </c>
      <c r="D161" s="1" t="s">
        <v>1593</v>
      </c>
      <c r="E161" s="1" t="s">
        <v>1586</v>
      </c>
      <c r="F161" s="1" t="s">
        <v>1143</v>
      </c>
      <c r="G161" s="7" t="s">
        <v>9</v>
      </c>
      <c r="H161" s="83" t="s">
        <v>9</v>
      </c>
      <c r="I161" s="83" t="s">
        <v>9</v>
      </c>
      <c r="J161" s="7" t="s">
        <v>9</v>
      </c>
      <c r="K161" s="7" t="s">
        <v>9</v>
      </c>
      <c r="L161" s="24" t="str">
        <f t="shared" si="48"/>
        <v>Arquitetônicos</v>
      </c>
      <c r="M161" s="24" t="str">
        <f t="shared" si="49"/>
        <v>Elementos.de.Camadas</v>
      </c>
      <c r="N161" s="24" t="str">
        <f t="shared" si="50"/>
        <v>Rodapés Paginados</v>
      </c>
      <c r="O161" s="24" t="str">
        <f t="shared" si="51"/>
        <v>Rodapé Vinílico</v>
      </c>
      <c r="P161" s="19" t="s">
        <v>1149</v>
      </c>
      <c r="Q161" s="29" t="s">
        <v>1155</v>
      </c>
      <c r="R161" s="19" t="s">
        <v>1762</v>
      </c>
      <c r="S161" s="43" t="s">
        <v>9</v>
      </c>
      <c r="T161" s="25" t="str">
        <f t="shared" si="52"/>
        <v>Arquitetônicos</v>
      </c>
      <c r="U161" s="25" t="str">
        <f t="shared" si="53"/>
        <v>Elementos de Camadas</v>
      </c>
      <c r="V161" s="25" t="str">
        <f t="shared" si="54"/>
        <v>Rodapés Paginados</v>
      </c>
      <c r="W161" s="19" t="s">
        <v>74</v>
      </c>
      <c r="X161" s="57" t="str">
        <f t="shared" si="55"/>
        <v>Key-ARQ-161</v>
      </c>
      <c r="Y161" s="19" t="s">
        <v>2087</v>
      </c>
      <c r="Z161" s="25" t="s">
        <v>9</v>
      </c>
      <c r="AA161" s="25" t="s">
        <v>1346</v>
      </c>
      <c r="AB161" s="25" t="s">
        <v>9</v>
      </c>
      <c r="AC161" s="25" t="s">
        <v>1563</v>
      </c>
      <c r="AD161" s="25" t="s">
        <v>9</v>
      </c>
    </row>
    <row r="162" spans="1:30" ht="6.65" customHeight="1" x14ac:dyDescent="0.4">
      <c r="A162" s="21">
        <v>162</v>
      </c>
      <c r="B162" s="1" t="s">
        <v>1524</v>
      </c>
      <c r="C162" s="1" t="s">
        <v>1525</v>
      </c>
      <c r="D162" s="1" t="s">
        <v>1593</v>
      </c>
      <c r="E162" s="1" t="s">
        <v>1586</v>
      </c>
      <c r="F162" s="1" t="s">
        <v>1144</v>
      </c>
      <c r="G162" s="7" t="s">
        <v>9</v>
      </c>
      <c r="H162" s="83" t="s">
        <v>9</v>
      </c>
      <c r="I162" s="83" t="s">
        <v>9</v>
      </c>
      <c r="J162" s="7" t="s">
        <v>9</v>
      </c>
      <c r="K162" s="7" t="s">
        <v>9</v>
      </c>
      <c r="L162" s="24" t="str">
        <f t="shared" si="48"/>
        <v>Arquitetônicos</v>
      </c>
      <c r="M162" s="24" t="str">
        <f t="shared" si="49"/>
        <v>Elementos.de.Camadas</v>
      </c>
      <c r="N162" s="24" t="str">
        <f t="shared" si="50"/>
        <v>Rodapés Paginados</v>
      </c>
      <c r="O162" s="24" t="str">
        <f t="shared" si="51"/>
        <v>Rodapé Pedra Natural</v>
      </c>
      <c r="P162" s="19" t="s">
        <v>1150</v>
      </c>
      <c r="Q162" s="29" t="s">
        <v>1156</v>
      </c>
      <c r="R162" s="19" t="s">
        <v>1763</v>
      </c>
      <c r="S162" s="43" t="s">
        <v>9</v>
      </c>
      <c r="T162" s="25" t="str">
        <f t="shared" si="52"/>
        <v>Arquitetônicos</v>
      </c>
      <c r="U162" s="25" t="str">
        <f t="shared" si="53"/>
        <v>Elementos de Camadas</v>
      </c>
      <c r="V162" s="25" t="str">
        <f t="shared" si="54"/>
        <v>Rodapés Paginados</v>
      </c>
      <c r="W162" s="19" t="s">
        <v>74</v>
      </c>
      <c r="X162" s="57" t="str">
        <f t="shared" si="55"/>
        <v>Key-ARQ-162</v>
      </c>
      <c r="Y162" s="19" t="s">
        <v>2087</v>
      </c>
      <c r="Z162" s="25" t="s">
        <v>9</v>
      </c>
      <c r="AA162" s="25" t="s">
        <v>1346</v>
      </c>
      <c r="AB162" s="25" t="s">
        <v>9</v>
      </c>
      <c r="AC162" s="25" t="s">
        <v>1563</v>
      </c>
      <c r="AD162" s="25" t="s">
        <v>9</v>
      </c>
    </row>
    <row r="163" spans="1:30" ht="6.65" customHeight="1" x14ac:dyDescent="0.4">
      <c r="A163" s="21">
        <v>163</v>
      </c>
      <c r="B163" s="1" t="s">
        <v>1524</v>
      </c>
      <c r="C163" s="1" t="s">
        <v>1525</v>
      </c>
      <c r="D163" s="1" t="s">
        <v>1593</v>
      </c>
      <c r="E163" s="1" t="s">
        <v>1586</v>
      </c>
      <c r="F163" s="1" t="s">
        <v>1145</v>
      </c>
      <c r="G163" s="7" t="s">
        <v>9</v>
      </c>
      <c r="H163" s="83" t="s">
        <v>9</v>
      </c>
      <c r="I163" s="83" t="s">
        <v>9</v>
      </c>
      <c r="J163" s="7" t="s">
        <v>9</v>
      </c>
      <c r="K163" s="7" t="s">
        <v>9</v>
      </c>
      <c r="L163" s="24" t="str">
        <f t="shared" si="48"/>
        <v>Arquitetônicos</v>
      </c>
      <c r="M163" s="24" t="str">
        <f t="shared" si="49"/>
        <v>Elementos.de.Camadas</v>
      </c>
      <c r="N163" s="24" t="str">
        <f t="shared" si="50"/>
        <v>Rodapés Paginados</v>
      </c>
      <c r="O163" s="24" t="str">
        <f t="shared" si="51"/>
        <v>Rodapé Pedra Sintética</v>
      </c>
      <c r="P163" s="19" t="s">
        <v>1151</v>
      </c>
      <c r="Q163" s="29" t="s">
        <v>1157</v>
      </c>
      <c r="R163" s="19" t="s">
        <v>1764</v>
      </c>
      <c r="S163" s="43" t="s">
        <v>9</v>
      </c>
      <c r="T163" s="25" t="str">
        <f t="shared" si="52"/>
        <v>Arquitetônicos</v>
      </c>
      <c r="U163" s="25" t="str">
        <f t="shared" si="53"/>
        <v>Elementos de Camadas</v>
      </c>
      <c r="V163" s="25" t="str">
        <f t="shared" si="54"/>
        <v>Rodapés Paginados</v>
      </c>
      <c r="W163" s="19" t="s">
        <v>74</v>
      </c>
      <c r="X163" s="57" t="str">
        <f t="shared" si="55"/>
        <v>Key-ARQ-163</v>
      </c>
      <c r="Y163" s="19" t="s">
        <v>2087</v>
      </c>
      <c r="Z163" s="25" t="s">
        <v>9</v>
      </c>
      <c r="AA163" s="25" t="s">
        <v>1346</v>
      </c>
      <c r="AB163" s="25" t="s">
        <v>9</v>
      </c>
      <c r="AC163" s="25" t="s">
        <v>1563</v>
      </c>
      <c r="AD163" s="25" t="s">
        <v>9</v>
      </c>
    </row>
    <row r="164" spans="1:30" ht="6.65" customHeight="1" x14ac:dyDescent="0.4">
      <c r="A164" s="21">
        <v>164</v>
      </c>
      <c r="B164" s="1" t="s">
        <v>1524</v>
      </c>
      <c r="C164" s="1" t="s">
        <v>1525</v>
      </c>
      <c r="D164" s="1" t="s">
        <v>1593</v>
      </c>
      <c r="E164" s="1" t="s">
        <v>1588</v>
      </c>
      <c r="F164" s="23" t="s">
        <v>500</v>
      </c>
      <c r="G164" s="7" t="s">
        <v>9</v>
      </c>
      <c r="H164" s="83" t="s">
        <v>9</v>
      </c>
      <c r="I164" s="83" t="s">
        <v>9</v>
      </c>
      <c r="J164" s="7" t="s">
        <v>9</v>
      </c>
      <c r="K164" s="7" t="s">
        <v>9</v>
      </c>
      <c r="L164" s="24" t="str">
        <f t="shared" si="48"/>
        <v>Arquitetônicos</v>
      </c>
      <c r="M164" s="24" t="str">
        <f t="shared" si="49"/>
        <v>Elementos.de.Camadas</v>
      </c>
      <c r="N164" s="24" t="str">
        <f t="shared" si="50"/>
        <v>Pinturas</v>
      </c>
      <c r="O164" s="24" t="str">
        <f t="shared" si="51"/>
        <v>Pintura Primer</v>
      </c>
      <c r="P164" s="30" t="s">
        <v>239</v>
      </c>
      <c r="Q164" s="29" t="s">
        <v>240</v>
      </c>
      <c r="R164" s="19" t="s">
        <v>1765</v>
      </c>
      <c r="S164" s="43" t="s">
        <v>9</v>
      </c>
      <c r="T164" s="25" t="str">
        <f t="shared" si="52"/>
        <v>Arquitetônicos</v>
      </c>
      <c r="U164" s="25" t="str">
        <f t="shared" si="53"/>
        <v>Elementos de Camadas</v>
      </c>
      <c r="V164" s="25" t="str">
        <f t="shared" si="54"/>
        <v>Pinturas</v>
      </c>
      <c r="W164" s="19" t="s">
        <v>74</v>
      </c>
      <c r="X164" s="57" t="str">
        <f t="shared" si="55"/>
        <v>Key-ARQ-164</v>
      </c>
      <c r="Y164" s="19" t="s">
        <v>2083</v>
      </c>
      <c r="Z164" s="25" t="s">
        <v>9</v>
      </c>
      <c r="AA164" s="25" t="s">
        <v>1348</v>
      </c>
      <c r="AB164" s="25" t="s">
        <v>9</v>
      </c>
      <c r="AC164" s="25" t="s">
        <v>1562</v>
      </c>
      <c r="AD164" s="25" t="s">
        <v>9</v>
      </c>
    </row>
    <row r="165" spans="1:30" ht="6.65" customHeight="1" x14ac:dyDescent="0.4">
      <c r="A165" s="21">
        <v>165</v>
      </c>
      <c r="B165" s="1" t="s">
        <v>1524</v>
      </c>
      <c r="C165" s="1" t="s">
        <v>1525</v>
      </c>
      <c r="D165" s="1" t="s">
        <v>1593</v>
      </c>
      <c r="E165" s="1" t="s">
        <v>1588</v>
      </c>
      <c r="F165" s="23" t="s">
        <v>799</v>
      </c>
      <c r="G165" s="7" t="s">
        <v>9</v>
      </c>
      <c r="H165" s="83" t="s">
        <v>9</v>
      </c>
      <c r="I165" s="83" t="s">
        <v>9</v>
      </c>
      <c r="J165" s="7" t="s">
        <v>9</v>
      </c>
      <c r="K165" s="7" t="s">
        <v>9</v>
      </c>
      <c r="L165" s="24" t="str">
        <f t="shared" si="48"/>
        <v>Arquitetônicos</v>
      </c>
      <c r="M165" s="24" t="str">
        <f t="shared" si="49"/>
        <v>Elementos.de.Camadas</v>
      </c>
      <c r="N165" s="24" t="str">
        <f t="shared" si="50"/>
        <v>Pinturas</v>
      </c>
      <c r="O165" s="24" t="str">
        <f t="shared" si="51"/>
        <v>Pintura Proteção</v>
      </c>
      <c r="P165" s="30" t="s">
        <v>800</v>
      </c>
      <c r="Q165" s="29" t="s">
        <v>801</v>
      </c>
      <c r="R165" s="19" t="s">
        <v>1766</v>
      </c>
      <c r="S165" s="43" t="s">
        <v>9</v>
      </c>
      <c r="T165" s="25" t="str">
        <f t="shared" si="52"/>
        <v>Arquitetônicos</v>
      </c>
      <c r="U165" s="25" t="str">
        <f t="shared" si="53"/>
        <v>Elementos de Camadas</v>
      </c>
      <c r="V165" s="25" t="str">
        <f t="shared" si="54"/>
        <v>Pinturas</v>
      </c>
      <c r="W165" s="19" t="s">
        <v>74</v>
      </c>
      <c r="X165" s="57" t="str">
        <f t="shared" si="55"/>
        <v>Key-ARQ-165</v>
      </c>
      <c r="Y165" s="19" t="s">
        <v>2083</v>
      </c>
      <c r="Z165" s="25" t="s">
        <v>9</v>
      </c>
      <c r="AA165" s="25" t="s">
        <v>1348</v>
      </c>
      <c r="AB165" s="25" t="s">
        <v>9</v>
      </c>
      <c r="AC165" s="25" t="s">
        <v>1562</v>
      </c>
      <c r="AD165" s="25" t="s">
        <v>9</v>
      </c>
    </row>
    <row r="166" spans="1:30" ht="6.65" customHeight="1" x14ac:dyDescent="0.4">
      <c r="A166" s="21">
        <v>166</v>
      </c>
      <c r="B166" s="1" t="s">
        <v>1524</v>
      </c>
      <c r="C166" s="1" t="s">
        <v>1525</v>
      </c>
      <c r="D166" s="1" t="s">
        <v>1593</v>
      </c>
      <c r="E166" s="1" t="s">
        <v>1588</v>
      </c>
      <c r="F166" s="23" t="s">
        <v>501</v>
      </c>
      <c r="G166" s="7" t="s">
        <v>9</v>
      </c>
      <c r="H166" s="83" t="s">
        <v>9</v>
      </c>
      <c r="I166" s="83" t="s">
        <v>9</v>
      </c>
      <c r="J166" s="7" t="s">
        <v>9</v>
      </c>
      <c r="K166" s="7" t="s">
        <v>9</v>
      </c>
      <c r="L166" s="24" t="str">
        <f t="shared" si="48"/>
        <v>Arquitetônicos</v>
      </c>
      <c r="M166" s="24" t="str">
        <f t="shared" si="49"/>
        <v>Elementos.de.Camadas</v>
      </c>
      <c r="N166" s="24" t="str">
        <f t="shared" si="50"/>
        <v>Pinturas</v>
      </c>
      <c r="O166" s="24" t="str">
        <f t="shared" si="51"/>
        <v>Pintura Demão 1</v>
      </c>
      <c r="P166" s="30" t="s">
        <v>504</v>
      </c>
      <c r="Q166" s="29" t="s">
        <v>507</v>
      </c>
      <c r="R166" s="19" t="s">
        <v>1767</v>
      </c>
      <c r="S166" s="43" t="s">
        <v>9</v>
      </c>
      <c r="T166" s="25" t="str">
        <f t="shared" si="52"/>
        <v>Arquitetônicos</v>
      </c>
      <c r="U166" s="25" t="str">
        <f t="shared" si="53"/>
        <v>Elementos de Camadas</v>
      </c>
      <c r="V166" s="25" t="str">
        <f t="shared" si="54"/>
        <v>Pinturas</v>
      </c>
      <c r="W166" s="19" t="s">
        <v>74</v>
      </c>
      <c r="X166" s="57" t="str">
        <f t="shared" si="55"/>
        <v>Key-ARQ-166</v>
      </c>
      <c r="Y166" s="19" t="s">
        <v>2083</v>
      </c>
      <c r="Z166" s="25" t="s">
        <v>9</v>
      </c>
      <c r="AA166" s="25" t="s">
        <v>1348</v>
      </c>
      <c r="AB166" s="25" t="s">
        <v>9</v>
      </c>
      <c r="AC166" s="25" t="s">
        <v>1562</v>
      </c>
      <c r="AD166" s="25" t="s">
        <v>9</v>
      </c>
    </row>
    <row r="167" spans="1:30" ht="6.65" customHeight="1" x14ac:dyDescent="0.4">
      <c r="A167" s="21">
        <v>167</v>
      </c>
      <c r="B167" s="1" t="s">
        <v>1524</v>
      </c>
      <c r="C167" s="1" t="s">
        <v>1525</v>
      </c>
      <c r="D167" s="1" t="s">
        <v>1593</v>
      </c>
      <c r="E167" s="1" t="s">
        <v>1588</v>
      </c>
      <c r="F167" s="23" t="s">
        <v>502</v>
      </c>
      <c r="G167" s="7" t="s">
        <v>9</v>
      </c>
      <c r="H167" s="83" t="s">
        <v>9</v>
      </c>
      <c r="I167" s="83" t="s">
        <v>9</v>
      </c>
      <c r="J167" s="7" t="s">
        <v>9</v>
      </c>
      <c r="K167" s="7" t="s">
        <v>9</v>
      </c>
      <c r="L167" s="24" t="str">
        <f t="shared" si="48"/>
        <v>Arquitetônicos</v>
      </c>
      <c r="M167" s="24" t="str">
        <f t="shared" si="49"/>
        <v>Elementos.de.Camadas</v>
      </c>
      <c r="N167" s="24" t="str">
        <f t="shared" si="50"/>
        <v>Pinturas</v>
      </c>
      <c r="O167" s="24" t="str">
        <f t="shared" si="51"/>
        <v>Pintura Demão 2</v>
      </c>
      <c r="P167" s="30" t="s">
        <v>505</v>
      </c>
      <c r="Q167" s="29" t="s">
        <v>508</v>
      </c>
      <c r="R167" s="19" t="s">
        <v>1768</v>
      </c>
      <c r="S167" s="43" t="s">
        <v>9</v>
      </c>
      <c r="T167" s="25" t="str">
        <f t="shared" si="52"/>
        <v>Arquitetônicos</v>
      </c>
      <c r="U167" s="25" t="str">
        <f t="shared" si="53"/>
        <v>Elementos de Camadas</v>
      </c>
      <c r="V167" s="25" t="str">
        <f t="shared" si="54"/>
        <v>Pinturas</v>
      </c>
      <c r="W167" s="19" t="s">
        <v>74</v>
      </c>
      <c r="X167" s="57" t="str">
        <f t="shared" si="55"/>
        <v>Key-ARQ-167</v>
      </c>
      <c r="Y167" s="19" t="s">
        <v>2083</v>
      </c>
      <c r="Z167" s="25" t="s">
        <v>9</v>
      </c>
      <c r="AA167" s="25" t="s">
        <v>1348</v>
      </c>
      <c r="AB167" s="25" t="s">
        <v>9</v>
      </c>
      <c r="AC167" s="25" t="s">
        <v>1562</v>
      </c>
      <c r="AD167" s="25" t="s">
        <v>9</v>
      </c>
    </row>
    <row r="168" spans="1:30" ht="6.65" customHeight="1" x14ac:dyDescent="0.4">
      <c r="A168" s="21">
        <v>168</v>
      </c>
      <c r="B168" s="1" t="s">
        <v>1524</v>
      </c>
      <c r="C168" s="1" t="s">
        <v>1525</v>
      </c>
      <c r="D168" s="1" t="s">
        <v>1593</v>
      </c>
      <c r="E168" s="1" t="s">
        <v>1588</v>
      </c>
      <c r="F168" s="23" t="s">
        <v>503</v>
      </c>
      <c r="G168" s="7" t="s">
        <v>9</v>
      </c>
      <c r="H168" s="83" t="s">
        <v>9</v>
      </c>
      <c r="I168" s="83" t="s">
        <v>9</v>
      </c>
      <c r="J168" s="7" t="s">
        <v>9</v>
      </c>
      <c r="K168" s="7" t="s">
        <v>9</v>
      </c>
      <c r="L168" s="24" t="str">
        <f t="shared" si="48"/>
        <v>Arquitetônicos</v>
      </c>
      <c r="M168" s="24" t="str">
        <f t="shared" si="49"/>
        <v>Elementos.de.Camadas</v>
      </c>
      <c r="N168" s="24" t="str">
        <f t="shared" si="50"/>
        <v>Pinturas</v>
      </c>
      <c r="O168" s="24" t="str">
        <f t="shared" si="51"/>
        <v>Pintura Demão Final</v>
      </c>
      <c r="P168" s="30" t="s">
        <v>506</v>
      </c>
      <c r="Q168" s="29" t="s">
        <v>509</v>
      </c>
      <c r="R168" s="19" t="s">
        <v>1769</v>
      </c>
      <c r="S168" s="43" t="s">
        <v>9</v>
      </c>
      <c r="T168" s="25" t="str">
        <f t="shared" si="52"/>
        <v>Arquitetônicos</v>
      </c>
      <c r="U168" s="25" t="str">
        <f t="shared" si="53"/>
        <v>Elementos de Camadas</v>
      </c>
      <c r="V168" s="25" t="str">
        <f t="shared" si="54"/>
        <v>Pinturas</v>
      </c>
      <c r="W168" s="19" t="s">
        <v>74</v>
      </c>
      <c r="X168" s="57" t="str">
        <f t="shared" si="55"/>
        <v>Key-ARQ-168</v>
      </c>
      <c r="Y168" s="19" t="s">
        <v>2083</v>
      </c>
      <c r="Z168" s="25" t="s">
        <v>9</v>
      </c>
      <c r="AA168" s="25" t="s">
        <v>1348</v>
      </c>
      <c r="AB168" s="25" t="s">
        <v>9</v>
      </c>
      <c r="AC168" s="25" t="s">
        <v>1562</v>
      </c>
      <c r="AD168" s="25" t="s">
        <v>9</v>
      </c>
    </row>
    <row r="169" spans="1:30" ht="6.65" customHeight="1" x14ac:dyDescent="0.4">
      <c r="A169" s="21">
        <v>169</v>
      </c>
      <c r="B169" s="1" t="s">
        <v>1524</v>
      </c>
      <c r="C169" s="1" t="s">
        <v>1525</v>
      </c>
      <c r="D169" s="1" t="s">
        <v>1593</v>
      </c>
      <c r="E169" s="1" t="s">
        <v>1589</v>
      </c>
      <c r="F169" s="23" t="s">
        <v>128</v>
      </c>
      <c r="G169" s="7" t="s">
        <v>9</v>
      </c>
      <c r="H169" s="83" t="s">
        <v>9</v>
      </c>
      <c r="I169" s="83" t="s">
        <v>9</v>
      </c>
      <c r="J169" s="7" t="s">
        <v>9</v>
      </c>
      <c r="K169" s="7" t="s">
        <v>9</v>
      </c>
      <c r="L169" s="24" t="str">
        <f t="shared" si="48"/>
        <v>Arquitetônicos</v>
      </c>
      <c r="M169" s="24" t="str">
        <f t="shared" si="49"/>
        <v>Elementos.de.Camadas</v>
      </c>
      <c r="N169" s="24" t="str">
        <f t="shared" si="50"/>
        <v>Gessos</v>
      </c>
      <c r="O169" s="24" t="str">
        <f t="shared" si="51"/>
        <v>Gesso</v>
      </c>
      <c r="P169" s="30" t="s">
        <v>129</v>
      </c>
      <c r="Q169" s="29" t="s">
        <v>636</v>
      </c>
      <c r="R169" s="19" t="s">
        <v>1770</v>
      </c>
      <c r="S169" s="43" t="s">
        <v>9</v>
      </c>
      <c r="T169" s="25" t="str">
        <f t="shared" si="52"/>
        <v>Arquitetônicos</v>
      </c>
      <c r="U169" s="25" t="str">
        <f t="shared" si="53"/>
        <v>Elementos de Camadas</v>
      </c>
      <c r="V169" s="25" t="str">
        <f t="shared" si="54"/>
        <v>Gessos</v>
      </c>
      <c r="W169" s="19" t="s">
        <v>74</v>
      </c>
      <c r="X169" s="57" t="str">
        <f t="shared" si="55"/>
        <v>Key-ARQ-169</v>
      </c>
      <c r="Y169" s="19" t="s">
        <v>2088</v>
      </c>
      <c r="Z169" s="25" t="s">
        <v>9</v>
      </c>
      <c r="AA169" s="25" t="s">
        <v>1349</v>
      </c>
      <c r="AB169" s="25" t="s">
        <v>9</v>
      </c>
      <c r="AC169" s="25" t="s">
        <v>1568</v>
      </c>
      <c r="AD169" s="25" t="s">
        <v>9</v>
      </c>
    </row>
    <row r="170" spans="1:30" ht="6.65" customHeight="1" x14ac:dyDescent="0.4">
      <c r="A170" s="21">
        <v>170</v>
      </c>
      <c r="B170" s="1" t="s">
        <v>1524</v>
      </c>
      <c r="C170" s="1" t="s">
        <v>1525</v>
      </c>
      <c r="D170" s="1" t="s">
        <v>1593</v>
      </c>
      <c r="E170" s="1" t="s">
        <v>1589</v>
      </c>
      <c r="F170" s="23" t="s">
        <v>1611</v>
      </c>
      <c r="G170" s="7" t="s">
        <v>9</v>
      </c>
      <c r="H170" s="83" t="s">
        <v>9</v>
      </c>
      <c r="I170" s="83" t="s">
        <v>9</v>
      </c>
      <c r="J170" s="7" t="s">
        <v>9</v>
      </c>
      <c r="K170" s="7" t="s">
        <v>9</v>
      </c>
      <c r="L170" s="24" t="str">
        <f t="shared" si="48"/>
        <v>Arquitetônicos</v>
      </c>
      <c r="M170" s="24" t="str">
        <f t="shared" si="49"/>
        <v>Elementos.de.Camadas</v>
      </c>
      <c r="N170" s="24" t="str">
        <f t="shared" si="50"/>
        <v>Gessos</v>
      </c>
      <c r="O170" s="24" t="str">
        <f t="shared" si="51"/>
        <v>Gesso Placa</v>
      </c>
      <c r="P170" s="30" t="s">
        <v>130</v>
      </c>
      <c r="Q170" s="29" t="s">
        <v>635</v>
      </c>
      <c r="R170" s="19" t="s">
        <v>1771</v>
      </c>
      <c r="S170" s="43" t="s">
        <v>9</v>
      </c>
      <c r="T170" s="25" t="str">
        <f t="shared" si="52"/>
        <v>Arquitetônicos</v>
      </c>
      <c r="U170" s="25" t="str">
        <f t="shared" si="53"/>
        <v>Elementos de Camadas</v>
      </c>
      <c r="V170" s="25" t="str">
        <f t="shared" si="54"/>
        <v>Gessos</v>
      </c>
      <c r="W170" s="19" t="s">
        <v>74</v>
      </c>
      <c r="X170" s="57" t="str">
        <f t="shared" si="55"/>
        <v>Key-ARQ-170</v>
      </c>
      <c r="Y170" s="19" t="s">
        <v>2088</v>
      </c>
      <c r="Z170" s="25" t="s">
        <v>9</v>
      </c>
      <c r="AA170" s="25" t="s">
        <v>1349</v>
      </c>
      <c r="AB170" s="25" t="s">
        <v>9</v>
      </c>
      <c r="AC170" s="25" t="s">
        <v>1568</v>
      </c>
      <c r="AD170" s="25" t="s">
        <v>9</v>
      </c>
    </row>
    <row r="171" spans="1:30" ht="6.65" customHeight="1" x14ac:dyDescent="0.4">
      <c r="A171" s="21">
        <v>171</v>
      </c>
      <c r="B171" s="1" t="s">
        <v>1524</v>
      </c>
      <c r="C171" s="1" t="s">
        <v>1525</v>
      </c>
      <c r="D171" s="1" t="s">
        <v>1593</v>
      </c>
      <c r="E171" s="1" t="s">
        <v>1589</v>
      </c>
      <c r="F171" s="1" t="s">
        <v>1603</v>
      </c>
      <c r="G171" s="7" t="s">
        <v>9</v>
      </c>
      <c r="H171" s="83" t="s">
        <v>9</v>
      </c>
      <c r="I171" s="83" t="s">
        <v>9</v>
      </c>
      <c r="J171" s="7" t="s">
        <v>9</v>
      </c>
      <c r="K171" s="7" t="s">
        <v>9</v>
      </c>
      <c r="L171" s="24" t="str">
        <f t="shared" si="48"/>
        <v>Arquitetônicos</v>
      </c>
      <c r="M171" s="24" t="str">
        <f t="shared" si="49"/>
        <v>Elementos.de.Camadas</v>
      </c>
      <c r="N171" s="24" t="str">
        <f t="shared" si="50"/>
        <v>Gessos</v>
      </c>
      <c r="O171" s="24" t="str">
        <f t="shared" si="51"/>
        <v>Gesso Acartonado</v>
      </c>
      <c r="P171" s="19" t="s">
        <v>274</v>
      </c>
      <c r="Q171" s="29" t="s">
        <v>275</v>
      </c>
      <c r="R171" s="19" t="s">
        <v>1772</v>
      </c>
      <c r="S171" s="43" t="s">
        <v>9</v>
      </c>
      <c r="T171" s="25" t="str">
        <f t="shared" si="52"/>
        <v>Arquitetônicos</v>
      </c>
      <c r="U171" s="25" t="str">
        <f t="shared" si="53"/>
        <v>Elementos de Camadas</v>
      </c>
      <c r="V171" s="25" t="str">
        <f t="shared" si="54"/>
        <v>Gessos</v>
      </c>
      <c r="W171" s="19" t="s">
        <v>74</v>
      </c>
      <c r="X171" s="57" t="str">
        <f t="shared" si="55"/>
        <v>Key-ARQ-171</v>
      </c>
      <c r="Y171" s="19" t="s">
        <v>1535</v>
      </c>
      <c r="Z171" s="25" t="s">
        <v>9</v>
      </c>
      <c r="AA171" s="25" t="s">
        <v>1325</v>
      </c>
      <c r="AB171" s="25" t="s">
        <v>9</v>
      </c>
      <c r="AC171" s="25" t="s">
        <v>1562</v>
      </c>
      <c r="AD171" s="25" t="s">
        <v>9</v>
      </c>
    </row>
    <row r="172" spans="1:30" ht="6.65" customHeight="1" x14ac:dyDescent="0.4">
      <c r="A172" s="21">
        <v>172</v>
      </c>
      <c r="B172" s="1" t="s">
        <v>1524</v>
      </c>
      <c r="C172" s="1" t="s">
        <v>1525</v>
      </c>
      <c r="D172" s="1" t="s">
        <v>1592</v>
      </c>
      <c r="E172" s="1" t="s">
        <v>1590</v>
      </c>
      <c r="F172" s="1" t="s">
        <v>1180</v>
      </c>
      <c r="G172" s="7" t="s">
        <v>9</v>
      </c>
      <c r="H172" s="83" t="s">
        <v>9</v>
      </c>
      <c r="I172" s="83" t="s">
        <v>9</v>
      </c>
      <c r="J172" s="7" t="s">
        <v>9</v>
      </c>
      <c r="K172" s="7" t="s">
        <v>9</v>
      </c>
      <c r="L172" s="24" t="str">
        <f t="shared" ref="L172:L178" si="64">CONCATENATE("", C172)</f>
        <v>Arquitetônicos</v>
      </c>
      <c r="M172" s="24" t="str">
        <f t="shared" ref="M172:M178" si="65">CONCATENATE("", D172)</f>
        <v>Elementos.de.Emplacados</v>
      </c>
      <c r="N172" s="24" t="str">
        <f t="shared" ref="N172:N178" si="66">(SUBSTITUTE(SUBSTITUTE(CONCATENATE("",E172),"."," ")," De "," de "))</f>
        <v>Placas Moduladas</v>
      </c>
      <c r="O172" s="24" t="str">
        <f t="shared" ref="O172:O178" si="67">(SUBSTITUTE(SUBSTITUTE(CONCATENATE("",F172),"."," ")," De "," de "))</f>
        <v>Placa Eucatex</v>
      </c>
      <c r="P172" s="30" t="s">
        <v>690</v>
      </c>
      <c r="Q172" s="29" t="s">
        <v>691</v>
      </c>
      <c r="R172" s="19" t="s">
        <v>1773</v>
      </c>
      <c r="S172" s="43" t="s">
        <v>9</v>
      </c>
      <c r="T172" s="25" t="str">
        <f t="shared" ref="T172:T178" si="68">SUBSTITUTE(C172, ".", " ")</f>
        <v>Arquitetônicos</v>
      </c>
      <c r="U172" s="25" t="str">
        <f t="shared" ref="U172:U178" si="69">SUBSTITUTE(D172, ".", " ")</f>
        <v>Elementos de Emplacados</v>
      </c>
      <c r="V172" s="25" t="str">
        <f t="shared" ref="V172:V178" si="70">SUBSTITUTE(E172, ".", " ")</f>
        <v>Placas Moduladas</v>
      </c>
      <c r="W172" s="19" t="s">
        <v>74</v>
      </c>
      <c r="X172" s="57" t="str">
        <f t="shared" ref="X172:X178" si="71">CONCATENATE("Key-ARQ-",A172)</f>
        <v>Key-ARQ-172</v>
      </c>
      <c r="Y172" s="19" t="s">
        <v>1535</v>
      </c>
      <c r="Z172" s="25" t="s">
        <v>9</v>
      </c>
      <c r="AA172" s="25" t="s">
        <v>1325</v>
      </c>
      <c r="AB172" s="25" t="s">
        <v>9</v>
      </c>
      <c r="AC172" s="25" t="s">
        <v>1562</v>
      </c>
      <c r="AD172" s="25" t="s">
        <v>9</v>
      </c>
    </row>
    <row r="173" spans="1:30" ht="6.65" customHeight="1" x14ac:dyDescent="0.4">
      <c r="A173" s="21">
        <v>173</v>
      </c>
      <c r="B173" s="1" t="s">
        <v>1524</v>
      </c>
      <c r="C173" s="1" t="s">
        <v>1525</v>
      </c>
      <c r="D173" s="1" t="s">
        <v>1592</v>
      </c>
      <c r="E173" s="1" t="s">
        <v>1590</v>
      </c>
      <c r="F173" s="1" t="s">
        <v>1179</v>
      </c>
      <c r="G173" s="7" t="s">
        <v>9</v>
      </c>
      <c r="H173" s="83" t="s">
        <v>9</v>
      </c>
      <c r="I173" s="83" t="s">
        <v>9</v>
      </c>
      <c r="J173" s="7" t="s">
        <v>9</v>
      </c>
      <c r="K173" s="7" t="s">
        <v>9</v>
      </c>
      <c r="L173" s="24" t="str">
        <f t="shared" si="64"/>
        <v>Arquitetônicos</v>
      </c>
      <c r="M173" s="24" t="str">
        <f t="shared" si="65"/>
        <v>Elementos.de.Emplacados</v>
      </c>
      <c r="N173" s="24" t="str">
        <f t="shared" si="66"/>
        <v>Placas Moduladas</v>
      </c>
      <c r="O173" s="24" t="str">
        <f t="shared" si="67"/>
        <v>Placa Metálica</v>
      </c>
      <c r="P173" s="30" t="s">
        <v>270</v>
      </c>
      <c r="Q173" s="29" t="s">
        <v>271</v>
      </c>
      <c r="R173" s="19" t="s">
        <v>1774</v>
      </c>
      <c r="S173" s="43" t="s">
        <v>9</v>
      </c>
      <c r="T173" s="25" t="str">
        <f t="shared" si="68"/>
        <v>Arquitetônicos</v>
      </c>
      <c r="U173" s="25" t="str">
        <f t="shared" si="69"/>
        <v>Elementos de Emplacados</v>
      </c>
      <c r="V173" s="25" t="str">
        <f t="shared" si="70"/>
        <v>Placas Moduladas</v>
      </c>
      <c r="W173" s="19" t="s">
        <v>74</v>
      </c>
      <c r="X173" s="57" t="str">
        <f t="shared" si="71"/>
        <v>Key-ARQ-173</v>
      </c>
      <c r="Y173" s="19" t="s">
        <v>1535</v>
      </c>
      <c r="Z173" s="25" t="s">
        <v>9</v>
      </c>
      <c r="AA173" s="25" t="s">
        <v>1325</v>
      </c>
      <c r="AB173" s="25" t="s">
        <v>9</v>
      </c>
      <c r="AC173" s="25" t="s">
        <v>1562</v>
      </c>
      <c r="AD173" s="25" t="s">
        <v>9</v>
      </c>
    </row>
    <row r="174" spans="1:30" ht="6.65" customHeight="1" x14ac:dyDescent="0.4">
      <c r="A174" s="21">
        <v>174</v>
      </c>
      <c r="B174" s="1" t="s">
        <v>1524</v>
      </c>
      <c r="C174" s="1" t="s">
        <v>1525</v>
      </c>
      <c r="D174" s="1" t="s">
        <v>1592</v>
      </c>
      <c r="E174" s="1" t="s">
        <v>1590</v>
      </c>
      <c r="F174" s="1" t="s">
        <v>1181</v>
      </c>
      <c r="G174" s="7" t="s">
        <v>9</v>
      </c>
      <c r="H174" s="83" t="s">
        <v>9</v>
      </c>
      <c r="I174" s="83" t="s">
        <v>9</v>
      </c>
      <c r="J174" s="7" t="s">
        <v>9</v>
      </c>
      <c r="K174" s="7" t="s">
        <v>9</v>
      </c>
      <c r="L174" s="24" t="str">
        <f t="shared" si="64"/>
        <v>Arquitetônicos</v>
      </c>
      <c r="M174" s="24" t="str">
        <f t="shared" si="65"/>
        <v>Elementos.de.Emplacados</v>
      </c>
      <c r="N174" s="24" t="str">
        <f t="shared" si="66"/>
        <v>Placas Moduladas</v>
      </c>
      <c r="O174" s="24" t="str">
        <f t="shared" si="67"/>
        <v>Placa Alumínio Composto</v>
      </c>
      <c r="P174" s="30" t="s">
        <v>270</v>
      </c>
      <c r="Q174" s="29" t="s">
        <v>271</v>
      </c>
      <c r="R174" s="19" t="s">
        <v>1774</v>
      </c>
      <c r="S174" s="43" t="s">
        <v>9</v>
      </c>
      <c r="T174" s="25" t="str">
        <f t="shared" si="68"/>
        <v>Arquitetônicos</v>
      </c>
      <c r="U174" s="25" t="str">
        <f t="shared" si="69"/>
        <v>Elementos de Emplacados</v>
      </c>
      <c r="V174" s="25" t="str">
        <f t="shared" si="70"/>
        <v>Placas Moduladas</v>
      </c>
      <c r="W174" s="19" t="s">
        <v>74</v>
      </c>
      <c r="X174" s="57" t="str">
        <f t="shared" si="71"/>
        <v>Key-ARQ-174</v>
      </c>
      <c r="Y174" s="19" t="s">
        <v>1535</v>
      </c>
      <c r="Z174" s="25" t="s">
        <v>9</v>
      </c>
      <c r="AA174" s="25" t="s">
        <v>1325</v>
      </c>
      <c r="AB174" s="25" t="s">
        <v>9</v>
      </c>
      <c r="AC174" s="25" t="s">
        <v>1562</v>
      </c>
      <c r="AD174" s="25" t="s">
        <v>9</v>
      </c>
    </row>
    <row r="175" spans="1:30" ht="6.65" customHeight="1" x14ac:dyDescent="0.4">
      <c r="A175" s="21">
        <v>175</v>
      </c>
      <c r="B175" s="1" t="s">
        <v>1524</v>
      </c>
      <c r="C175" s="1" t="s">
        <v>1525</v>
      </c>
      <c r="D175" s="1" t="s">
        <v>1592</v>
      </c>
      <c r="E175" s="1" t="s">
        <v>1590</v>
      </c>
      <c r="F175" s="1" t="s">
        <v>1182</v>
      </c>
      <c r="G175" s="7" t="s">
        <v>9</v>
      </c>
      <c r="H175" s="83" t="s">
        <v>9</v>
      </c>
      <c r="I175" s="83" t="s">
        <v>9</v>
      </c>
      <c r="J175" s="7" t="s">
        <v>9</v>
      </c>
      <c r="K175" s="7" t="s">
        <v>9</v>
      </c>
      <c r="L175" s="24" t="str">
        <f t="shared" si="64"/>
        <v>Arquitetônicos</v>
      </c>
      <c r="M175" s="24" t="str">
        <f t="shared" si="65"/>
        <v>Elementos.de.Emplacados</v>
      </c>
      <c r="N175" s="24" t="str">
        <f t="shared" si="66"/>
        <v>Placas Moduladas</v>
      </c>
      <c r="O175" s="24" t="str">
        <f t="shared" si="67"/>
        <v>Placa Laminada TS</v>
      </c>
      <c r="P175" s="19" t="s">
        <v>294</v>
      </c>
      <c r="Q175" s="29" t="s">
        <v>295</v>
      </c>
      <c r="R175" s="19" t="s">
        <v>1775</v>
      </c>
      <c r="S175" s="43" t="s">
        <v>9</v>
      </c>
      <c r="T175" s="25" t="str">
        <f t="shared" si="68"/>
        <v>Arquitetônicos</v>
      </c>
      <c r="U175" s="25" t="str">
        <f t="shared" si="69"/>
        <v>Elementos de Emplacados</v>
      </c>
      <c r="V175" s="25" t="str">
        <f t="shared" si="70"/>
        <v>Placas Moduladas</v>
      </c>
      <c r="W175" s="19" t="s">
        <v>74</v>
      </c>
      <c r="X175" s="57" t="str">
        <f t="shared" si="71"/>
        <v>Key-ARQ-175</v>
      </c>
      <c r="Y175" s="19" t="s">
        <v>1535</v>
      </c>
      <c r="Z175" s="25" t="s">
        <v>9</v>
      </c>
      <c r="AA175" s="25" t="s">
        <v>1325</v>
      </c>
      <c r="AB175" s="25" t="s">
        <v>9</v>
      </c>
      <c r="AC175" s="25" t="s">
        <v>1562</v>
      </c>
      <c r="AD175" s="25" t="s">
        <v>9</v>
      </c>
    </row>
    <row r="176" spans="1:30" ht="6.65" customHeight="1" x14ac:dyDescent="0.4">
      <c r="A176" s="21">
        <v>176</v>
      </c>
      <c r="B176" s="1" t="s">
        <v>1524</v>
      </c>
      <c r="C176" s="1" t="s">
        <v>1525</v>
      </c>
      <c r="D176" s="1" t="s">
        <v>1592</v>
      </c>
      <c r="E176" s="1" t="s">
        <v>1590</v>
      </c>
      <c r="F176" s="1" t="s">
        <v>1178</v>
      </c>
      <c r="G176" s="7" t="s">
        <v>9</v>
      </c>
      <c r="H176" s="83" t="s">
        <v>9</v>
      </c>
      <c r="I176" s="83" t="s">
        <v>9</v>
      </c>
      <c r="J176" s="7" t="s">
        <v>9</v>
      </c>
      <c r="K176" s="7" t="s">
        <v>9</v>
      </c>
      <c r="L176" s="24" t="str">
        <f t="shared" si="64"/>
        <v>Arquitetônicos</v>
      </c>
      <c r="M176" s="24" t="str">
        <f t="shared" si="65"/>
        <v>Elementos.de.Emplacados</v>
      </c>
      <c r="N176" s="24" t="str">
        <f t="shared" si="66"/>
        <v>Placas Moduladas</v>
      </c>
      <c r="O176" s="24" t="str">
        <f t="shared" si="67"/>
        <v>Placa Cimentícia</v>
      </c>
      <c r="P176" s="19" t="s">
        <v>272</v>
      </c>
      <c r="Q176" s="29" t="s">
        <v>273</v>
      </c>
      <c r="R176" s="19" t="s">
        <v>1776</v>
      </c>
      <c r="S176" s="43" t="s">
        <v>9</v>
      </c>
      <c r="T176" s="25" t="str">
        <f t="shared" si="68"/>
        <v>Arquitetônicos</v>
      </c>
      <c r="U176" s="25" t="str">
        <f t="shared" si="69"/>
        <v>Elementos de Emplacados</v>
      </c>
      <c r="V176" s="25" t="str">
        <f t="shared" si="70"/>
        <v>Placas Moduladas</v>
      </c>
      <c r="W176" s="19" t="s">
        <v>74</v>
      </c>
      <c r="X176" s="57" t="str">
        <f t="shared" si="71"/>
        <v>Key-ARQ-176</v>
      </c>
      <c r="Y176" s="19" t="s">
        <v>1535</v>
      </c>
      <c r="Z176" s="25" t="s">
        <v>9</v>
      </c>
      <c r="AA176" s="25" t="s">
        <v>1325</v>
      </c>
      <c r="AB176" s="25" t="s">
        <v>9</v>
      </c>
      <c r="AC176" s="25" t="s">
        <v>1562</v>
      </c>
      <c r="AD176" s="25" t="s">
        <v>9</v>
      </c>
    </row>
    <row r="177" spans="1:30" ht="6.65" customHeight="1" x14ac:dyDescent="0.4">
      <c r="A177" s="21">
        <v>177</v>
      </c>
      <c r="B177" s="1" t="s">
        <v>1524</v>
      </c>
      <c r="C177" s="1" t="s">
        <v>1525</v>
      </c>
      <c r="D177" s="1" t="s">
        <v>1592</v>
      </c>
      <c r="E177" s="1" t="s">
        <v>1590</v>
      </c>
      <c r="F177" s="1" t="s">
        <v>1183</v>
      </c>
      <c r="G177" s="7" t="s">
        <v>9</v>
      </c>
      <c r="H177" s="83" t="s">
        <v>9</v>
      </c>
      <c r="I177" s="83" t="s">
        <v>9</v>
      </c>
      <c r="J177" s="7" t="s">
        <v>9</v>
      </c>
      <c r="K177" s="7" t="s">
        <v>9</v>
      </c>
      <c r="L177" s="24" t="str">
        <f t="shared" si="64"/>
        <v>Arquitetônicos</v>
      </c>
      <c r="M177" s="24" t="str">
        <f t="shared" si="65"/>
        <v>Elementos.de.Emplacados</v>
      </c>
      <c r="N177" s="24" t="str">
        <f t="shared" si="66"/>
        <v>Placas Moduladas</v>
      </c>
      <c r="O177" s="24" t="str">
        <f t="shared" si="67"/>
        <v>Placa Gesso Acartonado</v>
      </c>
      <c r="P177" s="19" t="s">
        <v>274</v>
      </c>
      <c r="Q177" s="29" t="s">
        <v>275</v>
      </c>
      <c r="R177" s="19" t="s">
        <v>1772</v>
      </c>
      <c r="S177" s="43" t="s">
        <v>9</v>
      </c>
      <c r="T177" s="25" t="str">
        <f t="shared" si="68"/>
        <v>Arquitetônicos</v>
      </c>
      <c r="U177" s="25" t="str">
        <f t="shared" si="69"/>
        <v>Elementos de Emplacados</v>
      </c>
      <c r="V177" s="25" t="str">
        <f t="shared" si="70"/>
        <v>Placas Moduladas</v>
      </c>
      <c r="W177" s="19" t="s">
        <v>74</v>
      </c>
      <c r="X177" s="57" t="str">
        <f t="shared" si="71"/>
        <v>Key-ARQ-177</v>
      </c>
      <c r="Y177" s="19" t="s">
        <v>1535</v>
      </c>
      <c r="Z177" s="25" t="s">
        <v>9</v>
      </c>
      <c r="AA177" s="25" t="s">
        <v>1325</v>
      </c>
      <c r="AB177" s="25" t="s">
        <v>9</v>
      </c>
      <c r="AC177" s="25" t="s">
        <v>1562</v>
      </c>
      <c r="AD177" s="25" t="s">
        <v>9</v>
      </c>
    </row>
    <row r="178" spans="1:30" ht="6.65" customHeight="1" x14ac:dyDescent="0.4">
      <c r="A178" s="21">
        <v>178</v>
      </c>
      <c r="B178" s="1" t="s">
        <v>1524</v>
      </c>
      <c r="C178" s="1" t="s">
        <v>1525</v>
      </c>
      <c r="D178" s="1" t="s">
        <v>1592</v>
      </c>
      <c r="E178" s="1" t="s">
        <v>1590</v>
      </c>
      <c r="F178" s="1" t="s">
        <v>1184</v>
      </c>
      <c r="G178" s="7" t="s">
        <v>9</v>
      </c>
      <c r="H178" s="83" t="s">
        <v>9</v>
      </c>
      <c r="I178" s="83" t="s">
        <v>9</v>
      </c>
      <c r="J178" s="7" t="s">
        <v>9</v>
      </c>
      <c r="K178" s="7" t="s">
        <v>9</v>
      </c>
      <c r="L178" s="24" t="str">
        <f t="shared" si="64"/>
        <v>Arquitetônicos</v>
      </c>
      <c r="M178" s="24" t="str">
        <f t="shared" si="65"/>
        <v>Elementos.de.Emplacados</v>
      </c>
      <c r="N178" s="24" t="str">
        <f t="shared" si="66"/>
        <v>Placas Moduladas</v>
      </c>
      <c r="O178" s="24" t="str">
        <f t="shared" si="67"/>
        <v>Placa Pedra</v>
      </c>
      <c r="P178" s="19" t="s">
        <v>296</v>
      </c>
      <c r="Q178" s="29" t="s">
        <v>297</v>
      </c>
      <c r="R178" s="19" t="s">
        <v>1777</v>
      </c>
      <c r="S178" s="43" t="s">
        <v>9</v>
      </c>
      <c r="T178" s="25" t="str">
        <f t="shared" si="68"/>
        <v>Arquitetônicos</v>
      </c>
      <c r="U178" s="25" t="str">
        <f t="shared" si="69"/>
        <v>Elementos de Emplacados</v>
      </c>
      <c r="V178" s="25" t="str">
        <f t="shared" si="70"/>
        <v>Placas Moduladas</v>
      </c>
      <c r="W178" s="19" t="s">
        <v>74</v>
      </c>
      <c r="X178" s="57" t="str">
        <f t="shared" si="71"/>
        <v>Key-ARQ-178</v>
      </c>
      <c r="Y178" s="19" t="s">
        <v>1535</v>
      </c>
      <c r="Z178" s="25" t="s">
        <v>9</v>
      </c>
      <c r="AA178" s="25" t="s">
        <v>1325</v>
      </c>
      <c r="AB178" s="25" t="s">
        <v>9</v>
      </c>
      <c r="AC178" s="25" t="s">
        <v>1562</v>
      </c>
      <c r="AD178" s="25" t="s">
        <v>9</v>
      </c>
    </row>
    <row r="179" spans="1:30" ht="6.65" customHeight="1" x14ac:dyDescent="0.4">
      <c r="A179" s="21">
        <v>179</v>
      </c>
      <c r="B179" s="1" t="s">
        <v>1524</v>
      </c>
      <c r="C179" s="1" t="s">
        <v>1525</v>
      </c>
      <c r="D179" s="1" t="s">
        <v>1592</v>
      </c>
      <c r="E179" s="1" t="s">
        <v>1590</v>
      </c>
      <c r="F179" s="23" t="s">
        <v>131</v>
      </c>
      <c r="G179" s="7" t="s">
        <v>9</v>
      </c>
      <c r="H179" s="83" t="s">
        <v>9</v>
      </c>
      <c r="I179" s="83" t="s">
        <v>9</v>
      </c>
      <c r="J179" s="7" t="s">
        <v>9</v>
      </c>
      <c r="K179" s="7" t="s">
        <v>9</v>
      </c>
      <c r="L179" s="24" t="str">
        <f t="shared" si="48"/>
        <v>Arquitetônicos</v>
      </c>
      <c r="M179" s="24" t="str">
        <f t="shared" si="49"/>
        <v>Elementos.de.Emplacados</v>
      </c>
      <c r="N179" s="24" t="str">
        <f t="shared" si="50"/>
        <v>Placas Moduladas</v>
      </c>
      <c r="O179" s="24" t="str">
        <f t="shared" si="51"/>
        <v>Placa EPS</v>
      </c>
      <c r="P179" s="30" t="s">
        <v>132</v>
      </c>
      <c r="Q179" s="29" t="s">
        <v>133</v>
      </c>
      <c r="R179" s="19" t="s">
        <v>1778</v>
      </c>
      <c r="S179" s="43" t="s">
        <v>9</v>
      </c>
      <c r="T179" s="25" t="str">
        <f t="shared" si="52"/>
        <v>Arquitetônicos</v>
      </c>
      <c r="U179" s="25" t="str">
        <f t="shared" si="53"/>
        <v>Elementos de Emplacados</v>
      </c>
      <c r="V179" s="25" t="str">
        <f t="shared" si="54"/>
        <v>Placas Moduladas</v>
      </c>
      <c r="W179" s="19" t="s">
        <v>74</v>
      </c>
      <c r="X179" s="57" t="str">
        <f t="shared" si="55"/>
        <v>Key-ARQ-179</v>
      </c>
      <c r="Y179" s="19" t="s">
        <v>2088</v>
      </c>
      <c r="Z179" s="25" t="s">
        <v>9</v>
      </c>
      <c r="AA179" s="25" t="s">
        <v>1349</v>
      </c>
      <c r="AB179" s="25" t="s">
        <v>9</v>
      </c>
      <c r="AC179" s="25" t="s">
        <v>1568</v>
      </c>
      <c r="AD179" s="25" t="s">
        <v>9</v>
      </c>
    </row>
    <row r="180" spans="1:30" ht="6.65" customHeight="1" x14ac:dyDescent="0.4">
      <c r="A180" s="21">
        <v>180</v>
      </c>
      <c r="B180" s="1" t="s">
        <v>1524</v>
      </c>
      <c r="C180" s="1" t="s">
        <v>1525</v>
      </c>
      <c r="D180" s="1" t="s">
        <v>1592</v>
      </c>
      <c r="E180" s="1" t="s">
        <v>1590</v>
      </c>
      <c r="F180" s="23" t="s">
        <v>134</v>
      </c>
      <c r="G180" s="7" t="s">
        <v>9</v>
      </c>
      <c r="H180" s="83" t="s">
        <v>9</v>
      </c>
      <c r="I180" s="83" t="s">
        <v>9</v>
      </c>
      <c r="J180" s="7" t="s">
        <v>9</v>
      </c>
      <c r="K180" s="7" t="s">
        <v>9</v>
      </c>
      <c r="L180" s="24" t="str">
        <f t="shared" si="48"/>
        <v>Arquitetônicos</v>
      </c>
      <c r="M180" s="24" t="str">
        <f t="shared" si="49"/>
        <v>Elementos.de.Emplacados</v>
      </c>
      <c r="N180" s="24" t="str">
        <f t="shared" si="50"/>
        <v>Placas Moduladas</v>
      </c>
      <c r="O180" s="24" t="str">
        <f t="shared" si="51"/>
        <v>Placa Mineral</v>
      </c>
      <c r="P180" s="30" t="s">
        <v>135</v>
      </c>
      <c r="Q180" s="29" t="s">
        <v>136</v>
      </c>
      <c r="R180" s="19" t="s">
        <v>1779</v>
      </c>
      <c r="S180" s="43" t="s">
        <v>9</v>
      </c>
      <c r="T180" s="25" t="str">
        <f t="shared" si="52"/>
        <v>Arquitetônicos</v>
      </c>
      <c r="U180" s="25" t="str">
        <f t="shared" si="53"/>
        <v>Elementos de Emplacados</v>
      </c>
      <c r="V180" s="25" t="str">
        <f t="shared" si="54"/>
        <v>Placas Moduladas</v>
      </c>
      <c r="W180" s="19" t="s">
        <v>74</v>
      </c>
      <c r="X180" s="57" t="str">
        <f t="shared" si="55"/>
        <v>Key-ARQ-180</v>
      </c>
      <c r="Y180" s="19" t="s">
        <v>2088</v>
      </c>
      <c r="Z180" s="25" t="s">
        <v>9</v>
      </c>
      <c r="AA180" s="25" t="s">
        <v>1349</v>
      </c>
      <c r="AB180" s="25" t="s">
        <v>9</v>
      </c>
      <c r="AC180" s="25" t="s">
        <v>1568</v>
      </c>
      <c r="AD180" s="25" t="s">
        <v>9</v>
      </c>
    </row>
    <row r="181" spans="1:30" ht="6.65" customHeight="1" x14ac:dyDescent="0.4">
      <c r="A181" s="21">
        <v>181</v>
      </c>
      <c r="B181" s="1" t="s">
        <v>1524</v>
      </c>
      <c r="C181" s="1" t="s">
        <v>1525</v>
      </c>
      <c r="D181" s="1" t="s">
        <v>1592</v>
      </c>
      <c r="E181" s="1" t="s">
        <v>1591</v>
      </c>
      <c r="F181" s="23" t="s">
        <v>137</v>
      </c>
      <c r="G181" s="7" t="s">
        <v>9</v>
      </c>
      <c r="H181" s="83" t="s">
        <v>9</v>
      </c>
      <c r="I181" s="83" t="s">
        <v>9</v>
      </c>
      <c r="J181" s="7" t="s">
        <v>9</v>
      </c>
      <c r="K181" s="7" t="s">
        <v>9</v>
      </c>
      <c r="L181" s="24" t="str">
        <f t="shared" si="48"/>
        <v>Arquitetônicos</v>
      </c>
      <c r="M181" s="24" t="str">
        <f t="shared" si="49"/>
        <v>Elementos.de.Emplacados</v>
      </c>
      <c r="N181" s="24" t="str">
        <f t="shared" si="50"/>
        <v>Placas Acústicas</v>
      </c>
      <c r="O181" s="24" t="str">
        <f t="shared" si="51"/>
        <v>Placa Espuma</v>
      </c>
      <c r="P181" s="30" t="s">
        <v>138</v>
      </c>
      <c r="Q181" s="29" t="s">
        <v>640</v>
      </c>
      <c r="R181" s="19" t="s">
        <v>1780</v>
      </c>
      <c r="S181" s="43" t="s">
        <v>9</v>
      </c>
      <c r="T181" s="25" t="str">
        <f t="shared" si="52"/>
        <v>Arquitetônicos</v>
      </c>
      <c r="U181" s="25" t="str">
        <f t="shared" si="53"/>
        <v>Elementos de Emplacados</v>
      </c>
      <c r="V181" s="25" t="str">
        <f t="shared" si="54"/>
        <v>Placas Acústicas</v>
      </c>
      <c r="W181" s="19" t="s">
        <v>74</v>
      </c>
      <c r="X181" s="57" t="str">
        <f t="shared" si="55"/>
        <v>Key-ARQ-181</v>
      </c>
      <c r="Y181" s="19" t="s">
        <v>2088</v>
      </c>
      <c r="Z181" s="25" t="s">
        <v>9</v>
      </c>
      <c r="AA181" s="25" t="s">
        <v>1349</v>
      </c>
      <c r="AB181" s="25" t="s">
        <v>9</v>
      </c>
      <c r="AC181" s="25" t="s">
        <v>1568</v>
      </c>
      <c r="AD181" s="25" t="s">
        <v>9</v>
      </c>
    </row>
    <row r="182" spans="1:30" ht="6.65" customHeight="1" x14ac:dyDescent="0.4">
      <c r="A182" s="21">
        <v>182</v>
      </c>
      <c r="B182" s="1" t="s">
        <v>1524</v>
      </c>
      <c r="C182" s="1" t="s">
        <v>1525</v>
      </c>
      <c r="D182" s="1" t="s">
        <v>1592</v>
      </c>
      <c r="E182" s="1" t="s">
        <v>1591</v>
      </c>
      <c r="F182" s="23" t="s">
        <v>139</v>
      </c>
      <c r="G182" s="7" t="s">
        <v>9</v>
      </c>
      <c r="H182" s="83" t="s">
        <v>9</v>
      </c>
      <c r="I182" s="83" t="s">
        <v>9</v>
      </c>
      <c r="J182" s="7" t="s">
        <v>9</v>
      </c>
      <c r="K182" s="7" t="s">
        <v>9</v>
      </c>
      <c r="L182" s="24" t="str">
        <f t="shared" si="48"/>
        <v>Arquitetônicos</v>
      </c>
      <c r="M182" s="24" t="str">
        <f t="shared" si="49"/>
        <v>Elementos.de.Emplacados</v>
      </c>
      <c r="N182" s="24" t="str">
        <f t="shared" si="50"/>
        <v>Placas Acústicas</v>
      </c>
      <c r="O182" s="24" t="str">
        <f t="shared" si="51"/>
        <v>Placa 3D</v>
      </c>
      <c r="P182" s="30" t="s">
        <v>140</v>
      </c>
      <c r="Q182" s="29" t="s">
        <v>641</v>
      </c>
      <c r="R182" s="19" t="s">
        <v>1781</v>
      </c>
      <c r="S182" s="43" t="s">
        <v>9</v>
      </c>
      <c r="T182" s="25" t="str">
        <f t="shared" si="52"/>
        <v>Arquitetônicos</v>
      </c>
      <c r="U182" s="25" t="str">
        <f t="shared" si="53"/>
        <v>Elementos de Emplacados</v>
      </c>
      <c r="V182" s="25" t="str">
        <f t="shared" si="54"/>
        <v>Placas Acústicas</v>
      </c>
      <c r="W182" s="19" t="s">
        <v>74</v>
      </c>
      <c r="X182" s="57" t="str">
        <f t="shared" si="55"/>
        <v>Key-ARQ-182</v>
      </c>
      <c r="Y182" s="19" t="s">
        <v>2088</v>
      </c>
      <c r="Z182" s="25" t="s">
        <v>9</v>
      </c>
      <c r="AA182" s="25" t="s">
        <v>1349</v>
      </c>
      <c r="AB182" s="25" t="s">
        <v>9</v>
      </c>
      <c r="AC182" s="25" t="s">
        <v>1568</v>
      </c>
      <c r="AD182" s="25" t="s">
        <v>9</v>
      </c>
    </row>
    <row r="183" spans="1:30" ht="6.65" customHeight="1" x14ac:dyDescent="0.4">
      <c r="A183" s="21">
        <v>183</v>
      </c>
      <c r="B183" s="1" t="s">
        <v>1524</v>
      </c>
      <c r="C183" s="1" t="s">
        <v>1525</v>
      </c>
      <c r="D183" s="1" t="s">
        <v>1592</v>
      </c>
      <c r="E183" s="1" t="s">
        <v>1591</v>
      </c>
      <c r="F183" s="23" t="s">
        <v>141</v>
      </c>
      <c r="G183" s="7" t="s">
        <v>9</v>
      </c>
      <c r="H183" s="83" t="s">
        <v>9</v>
      </c>
      <c r="I183" s="83" t="s">
        <v>9</v>
      </c>
      <c r="J183" s="7" t="s">
        <v>9</v>
      </c>
      <c r="K183" s="7" t="s">
        <v>9</v>
      </c>
      <c r="L183" s="24" t="str">
        <f t="shared" si="48"/>
        <v>Arquitetônicos</v>
      </c>
      <c r="M183" s="24" t="str">
        <f t="shared" si="49"/>
        <v>Elementos.de.Emplacados</v>
      </c>
      <c r="N183" s="24" t="str">
        <f t="shared" si="50"/>
        <v>Placas Acústicas</v>
      </c>
      <c r="O183" s="24" t="str">
        <f t="shared" si="51"/>
        <v>Placa Shell</v>
      </c>
      <c r="P183" s="30" t="s">
        <v>142</v>
      </c>
      <c r="Q183" s="29" t="s">
        <v>642</v>
      </c>
      <c r="R183" s="19" t="s">
        <v>1782</v>
      </c>
      <c r="S183" s="43" t="s">
        <v>9</v>
      </c>
      <c r="T183" s="25" t="str">
        <f t="shared" si="52"/>
        <v>Arquitetônicos</v>
      </c>
      <c r="U183" s="25" t="str">
        <f t="shared" si="53"/>
        <v>Elementos de Emplacados</v>
      </c>
      <c r="V183" s="25" t="str">
        <f t="shared" si="54"/>
        <v>Placas Acústicas</v>
      </c>
      <c r="W183" s="19" t="s">
        <v>74</v>
      </c>
      <c r="X183" s="57" t="str">
        <f t="shared" si="55"/>
        <v>Key-ARQ-183</v>
      </c>
      <c r="Y183" s="19" t="s">
        <v>2088</v>
      </c>
      <c r="Z183" s="25" t="s">
        <v>9</v>
      </c>
      <c r="AA183" s="25" t="s">
        <v>1349</v>
      </c>
      <c r="AB183" s="25" t="s">
        <v>9</v>
      </c>
      <c r="AC183" s="25" t="s">
        <v>1568</v>
      </c>
      <c r="AD183" s="25" t="s">
        <v>9</v>
      </c>
    </row>
    <row r="184" spans="1:30" ht="6.65" customHeight="1" x14ac:dyDescent="0.4">
      <c r="A184" s="21">
        <v>184</v>
      </c>
      <c r="B184" s="1" t="s">
        <v>1524</v>
      </c>
      <c r="C184" s="1" t="s">
        <v>1525</v>
      </c>
      <c r="D184" s="1" t="s">
        <v>1592</v>
      </c>
      <c r="E184" s="1" t="s">
        <v>1591</v>
      </c>
      <c r="F184" s="23" t="s">
        <v>143</v>
      </c>
      <c r="G184" s="7" t="s">
        <v>9</v>
      </c>
      <c r="H184" s="83" t="s">
        <v>9</v>
      </c>
      <c r="I184" s="83" t="s">
        <v>9</v>
      </c>
      <c r="J184" s="7" t="s">
        <v>9</v>
      </c>
      <c r="K184" s="7" t="s">
        <v>9</v>
      </c>
      <c r="L184" s="24" t="str">
        <f t="shared" si="48"/>
        <v>Arquitetônicos</v>
      </c>
      <c r="M184" s="24" t="str">
        <f t="shared" si="49"/>
        <v>Elementos.de.Emplacados</v>
      </c>
      <c r="N184" s="24" t="str">
        <f t="shared" si="50"/>
        <v>Placas Acústicas</v>
      </c>
      <c r="O184" s="24" t="str">
        <f t="shared" si="51"/>
        <v>Baffle Cilíndrico</v>
      </c>
      <c r="P184" s="30" t="s">
        <v>637</v>
      </c>
      <c r="Q184" s="29" t="s">
        <v>643</v>
      </c>
      <c r="R184" s="19" t="s">
        <v>1783</v>
      </c>
      <c r="S184" s="43" t="s">
        <v>9</v>
      </c>
      <c r="T184" s="25" t="str">
        <f t="shared" si="52"/>
        <v>Arquitetônicos</v>
      </c>
      <c r="U184" s="25" t="str">
        <f t="shared" si="53"/>
        <v>Elementos de Emplacados</v>
      </c>
      <c r="V184" s="25" t="str">
        <f t="shared" si="54"/>
        <v>Placas Acústicas</v>
      </c>
      <c r="W184" s="19" t="s">
        <v>74</v>
      </c>
      <c r="X184" s="57" t="str">
        <f t="shared" si="55"/>
        <v>Key-ARQ-184</v>
      </c>
      <c r="Y184" s="19" t="s">
        <v>2088</v>
      </c>
      <c r="Z184" s="25" t="s">
        <v>9</v>
      </c>
      <c r="AA184" s="25" t="s">
        <v>1349</v>
      </c>
      <c r="AB184" s="25" t="s">
        <v>9</v>
      </c>
      <c r="AC184" s="25" t="s">
        <v>1568</v>
      </c>
      <c r="AD184" s="25" t="s">
        <v>9</v>
      </c>
    </row>
    <row r="185" spans="1:30" ht="6.65" customHeight="1" x14ac:dyDescent="0.4">
      <c r="A185" s="21">
        <v>185</v>
      </c>
      <c r="B185" s="1" t="s">
        <v>1524</v>
      </c>
      <c r="C185" s="1" t="s">
        <v>1525</v>
      </c>
      <c r="D185" s="1" t="s">
        <v>1592</v>
      </c>
      <c r="E185" s="1" t="s">
        <v>1591</v>
      </c>
      <c r="F185" s="23" t="s">
        <v>144</v>
      </c>
      <c r="G185" s="7" t="s">
        <v>9</v>
      </c>
      <c r="H185" s="83" t="s">
        <v>9</v>
      </c>
      <c r="I185" s="83" t="s">
        <v>9</v>
      </c>
      <c r="J185" s="7" t="s">
        <v>9</v>
      </c>
      <c r="K185" s="7" t="s">
        <v>9</v>
      </c>
      <c r="L185" s="24" t="str">
        <f t="shared" si="48"/>
        <v>Arquitetônicos</v>
      </c>
      <c r="M185" s="24" t="str">
        <f t="shared" si="49"/>
        <v>Elementos.de.Emplacados</v>
      </c>
      <c r="N185" s="24" t="str">
        <f t="shared" si="50"/>
        <v>Placas Acústicas</v>
      </c>
      <c r="O185" s="24" t="str">
        <f t="shared" si="51"/>
        <v>Baffle Linear</v>
      </c>
      <c r="P185" s="30" t="s">
        <v>638</v>
      </c>
      <c r="Q185" s="29" t="s">
        <v>644</v>
      </c>
      <c r="R185" s="19" t="s">
        <v>1784</v>
      </c>
      <c r="S185" s="43" t="s">
        <v>9</v>
      </c>
      <c r="T185" s="25" t="str">
        <f t="shared" si="52"/>
        <v>Arquitetônicos</v>
      </c>
      <c r="U185" s="25" t="str">
        <f t="shared" si="53"/>
        <v>Elementos de Emplacados</v>
      </c>
      <c r="V185" s="25" t="str">
        <f t="shared" si="54"/>
        <v>Placas Acústicas</v>
      </c>
      <c r="W185" s="19" t="s">
        <v>74</v>
      </c>
      <c r="X185" s="57" t="str">
        <f t="shared" si="55"/>
        <v>Key-ARQ-185</v>
      </c>
      <c r="Y185" s="19" t="s">
        <v>2088</v>
      </c>
      <c r="Z185" s="25" t="s">
        <v>9</v>
      </c>
      <c r="AA185" s="25" t="s">
        <v>1349</v>
      </c>
      <c r="AB185" s="25" t="s">
        <v>9</v>
      </c>
      <c r="AC185" s="25" t="s">
        <v>1568</v>
      </c>
      <c r="AD185" s="25" t="s">
        <v>9</v>
      </c>
    </row>
    <row r="186" spans="1:30" ht="6.65" customHeight="1" x14ac:dyDescent="0.4">
      <c r="A186" s="21">
        <v>186</v>
      </c>
      <c r="B186" s="1" t="s">
        <v>1524</v>
      </c>
      <c r="C186" s="1" t="s">
        <v>1525</v>
      </c>
      <c r="D186" s="1" t="s">
        <v>1592</v>
      </c>
      <c r="E186" s="1" t="s">
        <v>1591</v>
      </c>
      <c r="F186" s="23" t="s">
        <v>145</v>
      </c>
      <c r="G186" s="7" t="s">
        <v>9</v>
      </c>
      <c r="H186" s="83" t="s">
        <v>9</v>
      </c>
      <c r="I186" s="83" t="s">
        <v>9</v>
      </c>
      <c r="J186" s="7" t="s">
        <v>9</v>
      </c>
      <c r="K186" s="7" t="s">
        <v>9</v>
      </c>
      <c r="L186" s="24" t="str">
        <f t="shared" si="48"/>
        <v>Arquitetônicos</v>
      </c>
      <c r="M186" s="24" t="str">
        <f t="shared" si="49"/>
        <v>Elementos.de.Emplacados</v>
      </c>
      <c r="N186" s="24" t="str">
        <f t="shared" si="50"/>
        <v>Placas Acústicas</v>
      </c>
      <c r="O186" s="24" t="str">
        <f t="shared" si="51"/>
        <v>Nuvem Quadrada</v>
      </c>
      <c r="P186" s="30" t="s">
        <v>646</v>
      </c>
      <c r="Q186" s="29" t="s">
        <v>649</v>
      </c>
      <c r="R186" s="19" t="s">
        <v>1785</v>
      </c>
      <c r="S186" s="43" t="s">
        <v>9</v>
      </c>
      <c r="T186" s="25" t="str">
        <f t="shared" si="52"/>
        <v>Arquitetônicos</v>
      </c>
      <c r="U186" s="25" t="str">
        <f t="shared" si="53"/>
        <v>Elementos de Emplacados</v>
      </c>
      <c r="V186" s="25" t="str">
        <f t="shared" si="54"/>
        <v>Placas Acústicas</v>
      </c>
      <c r="W186" s="19" t="s">
        <v>74</v>
      </c>
      <c r="X186" s="57" t="str">
        <f t="shared" si="55"/>
        <v>Key-ARQ-186</v>
      </c>
      <c r="Y186" s="19" t="s">
        <v>2088</v>
      </c>
      <c r="Z186" s="25" t="s">
        <v>9</v>
      </c>
      <c r="AA186" s="25" t="s">
        <v>1349</v>
      </c>
      <c r="AB186" s="25" t="s">
        <v>9</v>
      </c>
      <c r="AC186" s="25" t="s">
        <v>1568</v>
      </c>
      <c r="AD186" s="25" t="s">
        <v>9</v>
      </c>
    </row>
    <row r="187" spans="1:30" ht="6.65" customHeight="1" x14ac:dyDescent="0.4">
      <c r="A187" s="21">
        <v>187</v>
      </c>
      <c r="B187" s="1" t="s">
        <v>1524</v>
      </c>
      <c r="C187" s="1" t="s">
        <v>1525</v>
      </c>
      <c r="D187" s="1" t="s">
        <v>1592</v>
      </c>
      <c r="E187" s="1" t="s">
        <v>1591</v>
      </c>
      <c r="F187" s="23" t="s">
        <v>146</v>
      </c>
      <c r="G187" s="7" t="s">
        <v>9</v>
      </c>
      <c r="H187" s="83" t="s">
        <v>9</v>
      </c>
      <c r="I187" s="83" t="s">
        <v>9</v>
      </c>
      <c r="J187" s="7" t="s">
        <v>9</v>
      </c>
      <c r="K187" s="7" t="s">
        <v>9</v>
      </c>
      <c r="L187" s="24" t="str">
        <f t="shared" si="48"/>
        <v>Arquitetônicos</v>
      </c>
      <c r="M187" s="24" t="str">
        <f t="shared" si="49"/>
        <v>Elementos.de.Emplacados</v>
      </c>
      <c r="N187" s="24" t="str">
        <f t="shared" si="50"/>
        <v>Placas Acústicas</v>
      </c>
      <c r="O187" s="24" t="str">
        <f t="shared" si="51"/>
        <v>Nuvem Circular</v>
      </c>
      <c r="P187" s="30" t="s">
        <v>647</v>
      </c>
      <c r="Q187" s="29" t="s">
        <v>648</v>
      </c>
      <c r="R187" s="19" t="s">
        <v>1786</v>
      </c>
      <c r="S187" s="43" t="s">
        <v>9</v>
      </c>
      <c r="T187" s="25" t="str">
        <f t="shared" si="52"/>
        <v>Arquitetônicos</v>
      </c>
      <c r="U187" s="25" t="str">
        <f t="shared" si="53"/>
        <v>Elementos de Emplacados</v>
      </c>
      <c r="V187" s="25" t="str">
        <f t="shared" si="54"/>
        <v>Placas Acústicas</v>
      </c>
      <c r="W187" s="19" t="s">
        <v>74</v>
      </c>
      <c r="X187" s="57" t="str">
        <f t="shared" si="55"/>
        <v>Key-ARQ-187</v>
      </c>
      <c r="Y187" s="19" t="s">
        <v>2088</v>
      </c>
      <c r="Z187" s="25" t="s">
        <v>9</v>
      </c>
      <c r="AA187" s="25" t="s">
        <v>1349</v>
      </c>
      <c r="AB187" s="25" t="s">
        <v>9</v>
      </c>
      <c r="AC187" s="25" t="s">
        <v>1568</v>
      </c>
      <c r="AD187" s="25" t="s">
        <v>9</v>
      </c>
    </row>
    <row r="188" spans="1:30" ht="6.65" customHeight="1" x14ac:dyDescent="0.4">
      <c r="A188" s="21">
        <v>188</v>
      </c>
      <c r="B188" s="1" t="s">
        <v>1524</v>
      </c>
      <c r="C188" s="1" t="s">
        <v>1525</v>
      </c>
      <c r="D188" s="1" t="s">
        <v>1592</v>
      </c>
      <c r="E188" s="1" t="s">
        <v>1591</v>
      </c>
      <c r="F188" s="23" t="s">
        <v>147</v>
      </c>
      <c r="G188" s="7" t="s">
        <v>9</v>
      </c>
      <c r="H188" s="83" t="s">
        <v>9</v>
      </c>
      <c r="I188" s="83" t="s">
        <v>9</v>
      </c>
      <c r="J188" s="7" t="s">
        <v>9</v>
      </c>
      <c r="K188" s="7" t="s">
        <v>9</v>
      </c>
      <c r="L188" s="24" t="str">
        <f t="shared" si="48"/>
        <v>Arquitetônicos</v>
      </c>
      <c r="M188" s="24" t="str">
        <f t="shared" si="49"/>
        <v>Elementos.de.Emplacados</v>
      </c>
      <c r="N188" s="24" t="str">
        <f t="shared" si="50"/>
        <v>Placas Acústicas</v>
      </c>
      <c r="O188" s="24" t="str">
        <f t="shared" si="51"/>
        <v>Nuvem Geométrica</v>
      </c>
      <c r="P188" s="30" t="s">
        <v>639</v>
      </c>
      <c r="Q188" s="29" t="s">
        <v>645</v>
      </c>
      <c r="R188" s="19" t="s">
        <v>1787</v>
      </c>
      <c r="S188" s="43" t="s">
        <v>9</v>
      </c>
      <c r="T188" s="25" t="str">
        <f t="shared" si="52"/>
        <v>Arquitetônicos</v>
      </c>
      <c r="U188" s="25" t="str">
        <f t="shared" si="53"/>
        <v>Elementos de Emplacados</v>
      </c>
      <c r="V188" s="25" t="str">
        <f t="shared" si="54"/>
        <v>Placas Acústicas</v>
      </c>
      <c r="W188" s="19" t="s">
        <v>74</v>
      </c>
      <c r="X188" s="57" t="str">
        <f t="shared" si="55"/>
        <v>Key-ARQ-188</v>
      </c>
      <c r="Y188" s="19" t="s">
        <v>2088</v>
      </c>
      <c r="Z188" s="25" t="s">
        <v>9</v>
      </c>
      <c r="AA188" s="25" t="s">
        <v>1349</v>
      </c>
      <c r="AB188" s="25" t="s">
        <v>9</v>
      </c>
      <c r="AC188" s="25" t="s">
        <v>1568</v>
      </c>
      <c r="AD188" s="25" t="s">
        <v>9</v>
      </c>
    </row>
    <row r="189" spans="1:30" ht="6.65" customHeight="1" x14ac:dyDescent="0.4">
      <c r="A189" s="21">
        <v>189</v>
      </c>
      <c r="B189" s="1" t="s">
        <v>1524</v>
      </c>
      <c r="C189" s="1" t="s">
        <v>1525</v>
      </c>
      <c r="D189" s="1" t="s">
        <v>1600</v>
      </c>
      <c r="E189" s="1" t="s">
        <v>948</v>
      </c>
      <c r="F189" s="1" t="s">
        <v>276</v>
      </c>
      <c r="G189" s="7" t="s">
        <v>9</v>
      </c>
      <c r="H189" s="83" t="s">
        <v>9</v>
      </c>
      <c r="I189" s="83" t="s">
        <v>9</v>
      </c>
      <c r="J189" s="7" t="s">
        <v>9</v>
      </c>
      <c r="K189" s="7" t="s">
        <v>9</v>
      </c>
      <c r="L189" s="24" t="str">
        <f t="shared" si="48"/>
        <v>Arquitetônicos</v>
      </c>
      <c r="M189" s="24" t="str">
        <f t="shared" si="49"/>
        <v>Elementos.de.Envidraçados</v>
      </c>
      <c r="N189" s="24" t="str">
        <f t="shared" si="50"/>
        <v>Vidros</v>
      </c>
      <c r="O189" s="24" t="str">
        <f t="shared" si="51"/>
        <v>Vidro Temperado</v>
      </c>
      <c r="P189" s="19" t="s">
        <v>277</v>
      </c>
      <c r="Q189" s="29" t="s">
        <v>278</v>
      </c>
      <c r="R189" s="19" t="s">
        <v>1788</v>
      </c>
      <c r="S189" s="43" t="s">
        <v>9</v>
      </c>
      <c r="T189" s="25" t="str">
        <f t="shared" si="52"/>
        <v>Arquitetônicos</v>
      </c>
      <c r="U189" s="25" t="str">
        <f t="shared" si="53"/>
        <v>Elementos de Envidraçados</v>
      </c>
      <c r="V189" s="25" t="str">
        <f t="shared" si="54"/>
        <v>Vidros</v>
      </c>
      <c r="W189" s="19" t="s">
        <v>74</v>
      </c>
      <c r="X189" s="57" t="str">
        <f t="shared" si="55"/>
        <v>Key-ARQ-189</v>
      </c>
      <c r="Y189" s="19" t="s">
        <v>1535</v>
      </c>
      <c r="Z189" s="25" t="s">
        <v>9</v>
      </c>
      <c r="AA189" s="25" t="s">
        <v>1325</v>
      </c>
      <c r="AB189" s="25" t="s">
        <v>9</v>
      </c>
      <c r="AC189" s="25" t="s">
        <v>1562</v>
      </c>
      <c r="AD189" s="25" t="s">
        <v>9</v>
      </c>
    </row>
    <row r="190" spans="1:30" ht="6.65" customHeight="1" x14ac:dyDescent="0.4">
      <c r="A190" s="21">
        <v>190</v>
      </c>
      <c r="B190" s="1" t="s">
        <v>1524</v>
      </c>
      <c r="C190" s="1" t="s">
        <v>1525</v>
      </c>
      <c r="D190" s="1" t="s">
        <v>1600</v>
      </c>
      <c r="E190" s="1" t="s">
        <v>948</v>
      </c>
      <c r="F190" s="1" t="s">
        <v>279</v>
      </c>
      <c r="G190" s="7" t="s">
        <v>9</v>
      </c>
      <c r="H190" s="83" t="s">
        <v>9</v>
      </c>
      <c r="I190" s="83" t="s">
        <v>9</v>
      </c>
      <c r="J190" s="7" t="s">
        <v>9</v>
      </c>
      <c r="K190" s="7" t="s">
        <v>9</v>
      </c>
      <c r="L190" s="24" t="str">
        <f t="shared" si="48"/>
        <v>Arquitetônicos</v>
      </c>
      <c r="M190" s="24" t="str">
        <f t="shared" si="49"/>
        <v>Elementos.de.Envidraçados</v>
      </c>
      <c r="N190" s="24" t="str">
        <f t="shared" si="50"/>
        <v>Vidros</v>
      </c>
      <c r="O190" s="24" t="str">
        <f t="shared" si="51"/>
        <v>Vidro Laminado</v>
      </c>
      <c r="P190" s="19" t="s">
        <v>280</v>
      </c>
      <c r="Q190" s="29" t="s">
        <v>281</v>
      </c>
      <c r="R190" s="19" t="s">
        <v>1789</v>
      </c>
      <c r="S190" s="43" t="s">
        <v>9</v>
      </c>
      <c r="T190" s="25" t="str">
        <f t="shared" si="52"/>
        <v>Arquitetônicos</v>
      </c>
      <c r="U190" s="25" t="str">
        <f t="shared" si="53"/>
        <v>Elementos de Envidraçados</v>
      </c>
      <c r="V190" s="25" t="str">
        <f t="shared" si="54"/>
        <v>Vidros</v>
      </c>
      <c r="W190" s="19" t="s">
        <v>74</v>
      </c>
      <c r="X190" s="57" t="str">
        <f t="shared" si="55"/>
        <v>Key-ARQ-190</v>
      </c>
      <c r="Y190" s="19" t="s">
        <v>1535</v>
      </c>
      <c r="Z190" s="25" t="s">
        <v>9</v>
      </c>
      <c r="AA190" s="25" t="s">
        <v>1325</v>
      </c>
      <c r="AB190" s="25" t="s">
        <v>9</v>
      </c>
      <c r="AC190" s="25" t="s">
        <v>1562</v>
      </c>
      <c r="AD190" s="25" t="s">
        <v>9</v>
      </c>
    </row>
    <row r="191" spans="1:30" ht="6.65" customHeight="1" x14ac:dyDescent="0.4">
      <c r="A191" s="21">
        <v>191</v>
      </c>
      <c r="B191" s="1" t="s">
        <v>1524</v>
      </c>
      <c r="C191" s="1" t="s">
        <v>1525</v>
      </c>
      <c r="D191" s="1" t="s">
        <v>1600</v>
      </c>
      <c r="E191" s="1" t="s">
        <v>948</v>
      </c>
      <c r="F191" s="1" t="s">
        <v>282</v>
      </c>
      <c r="G191" s="7" t="s">
        <v>9</v>
      </c>
      <c r="H191" s="83" t="s">
        <v>9</v>
      </c>
      <c r="I191" s="83" t="s">
        <v>9</v>
      </c>
      <c r="J191" s="7" t="s">
        <v>9</v>
      </c>
      <c r="K191" s="7" t="s">
        <v>9</v>
      </c>
      <c r="L191" s="24" t="str">
        <f t="shared" si="48"/>
        <v>Arquitetônicos</v>
      </c>
      <c r="M191" s="24" t="str">
        <f t="shared" si="49"/>
        <v>Elementos.de.Envidraçados</v>
      </c>
      <c r="N191" s="24" t="str">
        <f t="shared" si="50"/>
        <v>Vidros</v>
      </c>
      <c r="O191" s="24" t="str">
        <f t="shared" si="51"/>
        <v>Vidro Polarizado</v>
      </c>
      <c r="P191" s="19" t="s">
        <v>283</v>
      </c>
      <c r="Q191" s="29" t="s">
        <v>284</v>
      </c>
      <c r="R191" s="19" t="s">
        <v>1790</v>
      </c>
      <c r="S191" s="43" t="s">
        <v>9</v>
      </c>
      <c r="T191" s="25" t="str">
        <f t="shared" si="52"/>
        <v>Arquitetônicos</v>
      </c>
      <c r="U191" s="25" t="str">
        <f t="shared" si="53"/>
        <v>Elementos de Envidraçados</v>
      </c>
      <c r="V191" s="25" t="str">
        <f t="shared" si="54"/>
        <v>Vidros</v>
      </c>
      <c r="W191" s="19" t="s">
        <v>74</v>
      </c>
      <c r="X191" s="57" t="str">
        <f t="shared" si="55"/>
        <v>Key-ARQ-191</v>
      </c>
      <c r="Y191" s="19" t="s">
        <v>1535</v>
      </c>
      <c r="Z191" s="25" t="s">
        <v>9</v>
      </c>
      <c r="AA191" s="25" t="s">
        <v>1325</v>
      </c>
      <c r="AB191" s="25" t="s">
        <v>9</v>
      </c>
      <c r="AC191" s="25" t="s">
        <v>1562</v>
      </c>
      <c r="AD191" s="25" t="s">
        <v>9</v>
      </c>
    </row>
    <row r="192" spans="1:30" ht="6.65" customHeight="1" x14ac:dyDescent="0.4">
      <c r="A192" s="21">
        <v>192</v>
      </c>
      <c r="B192" s="1" t="s">
        <v>1524</v>
      </c>
      <c r="C192" s="1" t="s">
        <v>1525</v>
      </c>
      <c r="D192" s="1" t="s">
        <v>1600</v>
      </c>
      <c r="E192" s="1" t="s">
        <v>948</v>
      </c>
      <c r="F192" s="1" t="s">
        <v>285</v>
      </c>
      <c r="G192" s="7" t="s">
        <v>9</v>
      </c>
      <c r="H192" s="83" t="s">
        <v>9</v>
      </c>
      <c r="I192" s="83" t="s">
        <v>9</v>
      </c>
      <c r="J192" s="7" t="s">
        <v>9</v>
      </c>
      <c r="K192" s="7" t="s">
        <v>9</v>
      </c>
      <c r="L192" s="24" t="str">
        <f t="shared" si="48"/>
        <v>Arquitetônicos</v>
      </c>
      <c r="M192" s="24" t="str">
        <f t="shared" si="49"/>
        <v>Elementos.de.Envidraçados</v>
      </c>
      <c r="N192" s="24" t="str">
        <f t="shared" si="50"/>
        <v>Vidros</v>
      </c>
      <c r="O192" s="24" t="str">
        <f t="shared" si="51"/>
        <v>Vidro Low E</v>
      </c>
      <c r="P192" s="29" t="s">
        <v>286</v>
      </c>
      <c r="Q192" s="29" t="s">
        <v>287</v>
      </c>
      <c r="R192" s="19" t="s">
        <v>1791</v>
      </c>
      <c r="S192" s="43" t="s">
        <v>9</v>
      </c>
      <c r="T192" s="25" t="str">
        <f t="shared" si="52"/>
        <v>Arquitetônicos</v>
      </c>
      <c r="U192" s="25" t="str">
        <f t="shared" si="53"/>
        <v>Elementos de Envidraçados</v>
      </c>
      <c r="V192" s="25" t="str">
        <f t="shared" si="54"/>
        <v>Vidros</v>
      </c>
      <c r="W192" s="19" t="s">
        <v>74</v>
      </c>
      <c r="X192" s="57" t="str">
        <f t="shared" si="55"/>
        <v>Key-ARQ-192</v>
      </c>
      <c r="Y192" s="19" t="s">
        <v>1535</v>
      </c>
      <c r="Z192" s="25" t="s">
        <v>9</v>
      </c>
      <c r="AA192" s="25" t="s">
        <v>1325</v>
      </c>
      <c r="AB192" s="25" t="s">
        <v>9</v>
      </c>
      <c r="AC192" s="25" t="s">
        <v>1562</v>
      </c>
      <c r="AD192" s="25" t="s">
        <v>9</v>
      </c>
    </row>
    <row r="193" spans="1:30" ht="6.65" customHeight="1" x14ac:dyDescent="0.4">
      <c r="A193" s="21">
        <v>193</v>
      </c>
      <c r="B193" s="1" t="s">
        <v>1524</v>
      </c>
      <c r="C193" s="1" t="s">
        <v>1525</v>
      </c>
      <c r="D193" s="1" t="s">
        <v>1600</v>
      </c>
      <c r="E193" s="1" t="s">
        <v>948</v>
      </c>
      <c r="F193" s="1" t="s">
        <v>288</v>
      </c>
      <c r="G193" s="7" t="s">
        <v>9</v>
      </c>
      <c r="H193" s="83" t="s">
        <v>9</v>
      </c>
      <c r="I193" s="83" t="s">
        <v>9</v>
      </c>
      <c r="J193" s="7" t="s">
        <v>9</v>
      </c>
      <c r="K193" s="7" t="s">
        <v>9</v>
      </c>
      <c r="L193" s="24" t="str">
        <f t="shared" si="48"/>
        <v>Arquitetônicos</v>
      </c>
      <c r="M193" s="24" t="str">
        <f t="shared" si="49"/>
        <v>Elementos.de.Envidraçados</v>
      </c>
      <c r="N193" s="24" t="str">
        <f t="shared" si="50"/>
        <v>Vidros</v>
      </c>
      <c r="O193" s="24" t="str">
        <f t="shared" si="51"/>
        <v>Vidro Comúm</v>
      </c>
      <c r="P193" s="19" t="s">
        <v>289</v>
      </c>
      <c r="Q193" s="29" t="s">
        <v>290</v>
      </c>
      <c r="R193" s="19" t="s">
        <v>1792</v>
      </c>
      <c r="S193" s="43" t="s">
        <v>9</v>
      </c>
      <c r="T193" s="25" t="str">
        <f t="shared" si="52"/>
        <v>Arquitetônicos</v>
      </c>
      <c r="U193" s="25" t="str">
        <f t="shared" si="53"/>
        <v>Elementos de Envidraçados</v>
      </c>
      <c r="V193" s="25" t="str">
        <f t="shared" si="54"/>
        <v>Vidros</v>
      </c>
      <c r="W193" s="19" t="s">
        <v>74</v>
      </c>
      <c r="X193" s="57" t="str">
        <f t="shared" si="55"/>
        <v>Key-ARQ-193</v>
      </c>
      <c r="Y193" s="19" t="s">
        <v>1535</v>
      </c>
      <c r="Z193" s="25" t="s">
        <v>9</v>
      </c>
      <c r="AA193" s="25" t="s">
        <v>1325</v>
      </c>
      <c r="AB193" s="25" t="s">
        <v>9</v>
      </c>
      <c r="AC193" s="25" t="s">
        <v>1562</v>
      </c>
      <c r="AD193" s="25" t="s">
        <v>9</v>
      </c>
    </row>
    <row r="194" spans="1:30" ht="6.65" customHeight="1" x14ac:dyDescent="0.4">
      <c r="A194" s="21">
        <v>194</v>
      </c>
      <c r="B194" s="1" t="s">
        <v>1524</v>
      </c>
      <c r="C194" s="1" t="s">
        <v>1525</v>
      </c>
      <c r="D194" s="1" t="s">
        <v>1600</v>
      </c>
      <c r="E194" s="1" t="s">
        <v>948</v>
      </c>
      <c r="F194" s="1" t="s">
        <v>291</v>
      </c>
      <c r="G194" s="7" t="s">
        <v>9</v>
      </c>
      <c r="H194" s="83" t="s">
        <v>9</v>
      </c>
      <c r="I194" s="83" t="s">
        <v>9</v>
      </c>
      <c r="J194" s="7" t="s">
        <v>9</v>
      </c>
      <c r="K194" s="7" t="s">
        <v>9</v>
      </c>
      <c r="L194" s="24" t="str">
        <f t="shared" ref="L194:L258" si="72">CONCATENATE("", C194)</f>
        <v>Arquitetônicos</v>
      </c>
      <c r="M194" s="24" t="str">
        <f t="shared" ref="M194:M258" si="73">CONCATENATE("", D194)</f>
        <v>Elementos.de.Envidraçados</v>
      </c>
      <c r="N194" s="24" t="str">
        <f t="shared" ref="N194:N258" si="74">(SUBSTITUTE(SUBSTITUTE(CONCATENATE("",E194),"."," ")," De "," de "))</f>
        <v>Vidros</v>
      </c>
      <c r="O194" s="24" t="str">
        <f t="shared" ref="O194:O258" si="75">(SUBSTITUTE(SUBSTITUTE(CONCATENATE("",F194),"."," ")," De "," de "))</f>
        <v>Vidro Plumbífero</v>
      </c>
      <c r="P194" s="19" t="s">
        <v>292</v>
      </c>
      <c r="Q194" s="29" t="s">
        <v>293</v>
      </c>
      <c r="R194" s="19" t="s">
        <v>1793</v>
      </c>
      <c r="S194" s="43" t="s">
        <v>9</v>
      </c>
      <c r="T194" s="25" t="str">
        <f t="shared" ref="T194:T258" si="76">SUBSTITUTE(C194, ".", " ")</f>
        <v>Arquitetônicos</v>
      </c>
      <c r="U194" s="25" t="str">
        <f t="shared" ref="U194:U258" si="77">SUBSTITUTE(D194, ".", " ")</f>
        <v>Elementos de Envidraçados</v>
      </c>
      <c r="V194" s="25" t="str">
        <f t="shared" ref="V194:V258" si="78">SUBSTITUTE(E194, ".", " ")</f>
        <v>Vidros</v>
      </c>
      <c r="W194" s="19" t="s">
        <v>74</v>
      </c>
      <c r="X194" s="57" t="str">
        <f t="shared" ref="X194:X258" si="79">CONCATENATE("Key-ARQ-",A194)</f>
        <v>Key-ARQ-194</v>
      </c>
      <c r="Y194" s="19" t="s">
        <v>1535</v>
      </c>
      <c r="Z194" s="25" t="s">
        <v>9</v>
      </c>
      <c r="AA194" s="25" t="s">
        <v>1325</v>
      </c>
      <c r="AB194" s="25" t="s">
        <v>9</v>
      </c>
      <c r="AC194" s="25" t="s">
        <v>1562</v>
      </c>
      <c r="AD194" s="25" t="s">
        <v>9</v>
      </c>
    </row>
    <row r="195" spans="1:30" ht="6.65" customHeight="1" x14ac:dyDescent="0.4">
      <c r="A195" s="21">
        <v>195</v>
      </c>
      <c r="B195" s="1" t="s">
        <v>1524</v>
      </c>
      <c r="C195" s="1" t="s">
        <v>1525</v>
      </c>
      <c r="D195" s="1" t="s">
        <v>1600</v>
      </c>
      <c r="E195" s="1" t="s">
        <v>948</v>
      </c>
      <c r="F195" s="1" t="s">
        <v>1036</v>
      </c>
      <c r="G195" s="7" t="s">
        <v>9</v>
      </c>
      <c r="H195" s="83" t="s">
        <v>9</v>
      </c>
      <c r="I195" s="83" t="s">
        <v>9</v>
      </c>
      <c r="J195" s="7" t="s">
        <v>9</v>
      </c>
      <c r="K195" s="7" t="s">
        <v>9</v>
      </c>
      <c r="L195" s="24" t="str">
        <f t="shared" si="72"/>
        <v>Arquitetônicos</v>
      </c>
      <c r="M195" s="24" t="str">
        <f t="shared" si="73"/>
        <v>Elementos.de.Envidraçados</v>
      </c>
      <c r="N195" s="24" t="str">
        <f t="shared" si="74"/>
        <v>Vidros</v>
      </c>
      <c r="O195" s="24" t="str">
        <f t="shared" si="75"/>
        <v>Vidro Serigrafado</v>
      </c>
      <c r="P195" s="19" t="s">
        <v>1037</v>
      </c>
      <c r="Q195" s="19" t="s">
        <v>1038</v>
      </c>
      <c r="R195" s="19" t="s">
        <v>1794</v>
      </c>
      <c r="S195" s="43" t="s">
        <v>9</v>
      </c>
      <c r="T195" s="25" t="str">
        <f t="shared" si="76"/>
        <v>Arquitetônicos</v>
      </c>
      <c r="U195" s="25" t="str">
        <f t="shared" si="77"/>
        <v>Elementos de Envidraçados</v>
      </c>
      <c r="V195" s="25" t="str">
        <f t="shared" si="78"/>
        <v>Vidros</v>
      </c>
      <c r="W195" s="19" t="s">
        <v>74</v>
      </c>
      <c r="X195" s="57" t="str">
        <f t="shared" si="79"/>
        <v>Key-ARQ-195</v>
      </c>
      <c r="Y195" s="19" t="s">
        <v>1535</v>
      </c>
      <c r="Z195" s="25" t="s">
        <v>9</v>
      </c>
      <c r="AA195" s="25" t="s">
        <v>1325</v>
      </c>
      <c r="AB195" s="25" t="s">
        <v>9</v>
      </c>
      <c r="AC195" s="25" t="s">
        <v>1562</v>
      </c>
      <c r="AD195" s="25" t="s">
        <v>9</v>
      </c>
    </row>
    <row r="196" spans="1:30" ht="6.65" customHeight="1" x14ac:dyDescent="0.4">
      <c r="A196" s="21">
        <v>196</v>
      </c>
      <c r="B196" s="1" t="s">
        <v>1524</v>
      </c>
      <c r="C196" s="1" t="s">
        <v>1525</v>
      </c>
      <c r="D196" s="1" t="s">
        <v>1601</v>
      </c>
      <c r="E196" s="1" t="s">
        <v>2054</v>
      </c>
      <c r="F196" s="1" t="s">
        <v>298</v>
      </c>
      <c r="G196" s="7" t="s">
        <v>9</v>
      </c>
      <c r="H196" s="83" t="s">
        <v>9</v>
      </c>
      <c r="I196" s="83" t="s">
        <v>9</v>
      </c>
      <c r="J196" s="7" t="s">
        <v>9</v>
      </c>
      <c r="K196" s="7" t="s">
        <v>9</v>
      </c>
      <c r="L196" s="24" t="str">
        <f t="shared" si="72"/>
        <v>Arquitetônicos</v>
      </c>
      <c r="M196" s="24" t="str">
        <f t="shared" si="73"/>
        <v>Elementos.de.Montagem</v>
      </c>
      <c r="N196" s="24" t="str">
        <f t="shared" si="74"/>
        <v>Guias de Montagem</v>
      </c>
      <c r="O196" s="24" t="str">
        <f t="shared" si="75"/>
        <v>Guia L</v>
      </c>
      <c r="P196" s="19" t="s">
        <v>299</v>
      </c>
      <c r="Q196" s="29" t="s">
        <v>300</v>
      </c>
      <c r="R196" s="19" t="s">
        <v>1795</v>
      </c>
      <c r="S196" s="43" t="s">
        <v>9</v>
      </c>
      <c r="T196" s="25" t="str">
        <f t="shared" si="76"/>
        <v>Arquitetônicos</v>
      </c>
      <c r="U196" s="25" t="str">
        <f t="shared" si="77"/>
        <v>Elementos de Montagem</v>
      </c>
      <c r="V196" s="25" t="str">
        <f t="shared" si="78"/>
        <v>Guias de Montagem</v>
      </c>
      <c r="W196" s="19" t="s">
        <v>74</v>
      </c>
      <c r="X196" s="57" t="str">
        <f t="shared" si="79"/>
        <v>Key-ARQ-196</v>
      </c>
      <c r="Y196" s="19" t="s">
        <v>1536</v>
      </c>
      <c r="Z196" s="25" t="s">
        <v>9</v>
      </c>
      <c r="AA196" s="25" t="s">
        <v>1325</v>
      </c>
      <c r="AB196" s="25" t="s">
        <v>9</v>
      </c>
      <c r="AC196" s="25" t="s">
        <v>1562</v>
      </c>
      <c r="AD196" s="25" t="s">
        <v>9</v>
      </c>
    </row>
    <row r="197" spans="1:30" ht="6.65" customHeight="1" x14ac:dyDescent="0.4">
      <c r="A197" s="21">
        <v>197</v>
      </c>
      <c r="B197" s="1" t="s">
        <v>1524</v>
      </c>
      <c r="C197" s="1" t="s">
        <v>1525</v>
      </c>
      <c r="D197" s="1" t="s">
        <v>1601</v>
      </c>
      <c r="E197" s="1" t="s">
        <v>2054</v>
      </c>
      <c r="F197" s="1" t="s">
        <v>301</v>
      </c>
      <c r="G197" s="7" t="s">
        <v>9</v>
      </c>
      <c r="H197" s="83" t="s">
        <v>9</v>
      </c>
      <c r="I197" s="83" t="s">
        <v>9</v>
      </c>
      <c r="J197" s="7" t="s">
        <v>9</v>
      </c>
      <c r="K197" s="7" t="s">
        <v>9</v>
      </c>
      <c r="L197" s="24" t="str">
        <f t="shared" si="72"/>
        <v>Arquitetônicos</v>
      </c>
      <c r="M197" s="24" t="str">
        <f t="shared" si="73"/>
        <v>Elementos.de.Montagem</v>
      </c>
      <c r="N197" s="24" t="str">
        <f t="shared" si="74"/>
        <v>Guias de Montagem</v>
      </c>
      <c r="O197" s="24" t="str">
        <f t="shared" si="75"/>
        <v>Guia U</v>
      </c>
      <c r="P197" s="19" t="s">
        <v>302</v>
      </c>
      <c r="Q197" s="29" t="s">
        <v>303</v>
      </c>
      <c r="R197" s="19" t="s">
        <v>1796</v>
      </c>
      <c r="S197" s="43" t="s">
        <v>9</v>
      </c>
      <c r="T197" s="25" t="str">
        <f t="shared" si="76"/>
        <v>Arquitetônicos</v>
      </c>
      <c r="U197" s="25" t="str">
        <f t="shared" si="77"/>
        <v>Elementos de Montagem</v>
      </c>
      <c r="V197" s="25" t="str">
        <f t="shared" si="78"/>
        <v>Guias de Montagem</v>
      </c>
      <c r="W197" s="19" t="s">
        <v>74</v>
      </c>
      <c r="X197" s="57" t="str">
        <f t="shared" si="79"/>
        <v>Key-ARQ-197</v>
      </c>
      <c r="Y197" s="19" t="s">
        <v>1536</v>
      </c>
      <c r="Z197" s="25" t="s">
        <v>9</v>
      </c>
      <c r="AA197" s="25" t="s">
        <v>1325</v>
      </c>
      <c r="AB197" s="25" t="s">
        <v>9</v>
      </c>
      <c r="AC197" s="25" t="s">
        <v>1562</v>
      </c>
      <c r="AD197" s="25" t="s">
        <v>9</v>
      </c>
    </row>
    <row r="198" spans="1:30" ht="6.65" customHeight="1" x14ac:dyDescent="0.4">
      <c r="A198" s="21">
        <v>198</v>
      </c>
      <c r="B198" s="1" t="s">
        <v>1524</v>
      </c>
      <c r="C198" s="1" t="s">
        <v>1525</v>
      </c>
      <c r="D198" s="1" t="s">
        <v>1601</v>
      </c>
      <c r="E198" s="1" t="s">
        <v>2054</v>
      </c>
      <c r="F198" s="1" t="s">
        <v>304</v>
      </c>
      <c r="G198" s="7" t="s">
        <v>9</v>
      </c>
      <c r="H198" s="83" t="s">
        <v>9</v>
      </c>
      <c r="I198" s="83" t="s">
        <v>9</v>
      </c>
      <c r="J198" s="7" t="s">
        <v>9</v>
      </c>
      <c r="K198" s="7" t="s">
        <v>9</v>
      </c>
      <c r="L198" s="24" t="str">
        <f t="shared" si="72"/>
        <v>Arquitetônicos</v>
      </c>
      <c r="M198" s="24" t="str">
        <f t="shared" si="73"/>
        <v>Elementos.de.Montagem</v>
      </c>
      <c r="N198" s="24" t="str">
        <f t="shared" si="74"/>
        <v>Guias de Montagem</v>
      </c>
      <c r="O198" s="24" t="str">
        <f t="shared" si="75"/>
        <v>Guia Montante</v>
      </c>
      <c r="P198" s="19" t="s">
        <v>302</v>
      </c>
      <c r="Q198" s="29" t="s">
        <v>303</v>
      </c>
      <c r="R198" s="19" t="s">
        <v>1796</v>
      </c>
      <c r="S198" s="43" t="s">
        <v>9</v>
      </c>
      <c r="T198" s="25" t="str">
        <f t="shared" si="76"/>
        <v>Arquitetônicos</v>
      </c>
      <c r="U198" s="25" t="str">
        <f t="shared" si="77"/>
        <v>Elementos de Montagem</v>
      </c>
      <c r="V198" s="25" t="str">
        <f t="shared" si="78"/>
        <v>Guias de Montagem</v>
      </c>
      <c r="W198" s="19" t="s">
        <v>74</v>
      </c>
      <c r="X198" s="57" t="str">
        <f t="shared" si="79"/>
        <v>Key-ARQ-198</v>
      </c>
      <c r="Y198" s="19" t="s">
        <v>1536</v>
      </c>
      <c r="Z198" s="25" t="s">
        <v>9</v>
      </c>
      <c r="AA198" s="25" t="s">
        <v>1325</v>
      </c>
      <c r="AB198" s="25" t="s">
        <v>9</v>
      </c>
      <c r="AC198" s="25" t="s">
        <v>1562</v>
      </c>
      <c r="AD198" s="25" t="s">
        <v>9</v>
      </c>
    </row>
    <row r="199" spans="1:30" ht="6.65" customHeight="1" x14ac:dyDescent="0.4">
      <c r="A199" s="21">
        <v>199</v>
      </c>
      <c r="B199" s="1" t="s">
        <v>1524</v>
      </c>
      <c r="C199" s="1" t="s">
        <v>1525</v>
      </c>
      <c r="D199" s="1" t="s">
        <v>1594</v>
      </c>
      <c r="E199" s="1" t="s">
        <v>1185</v>
      </c>
      <c r="F199" s="1" t="s">
        <v>305</v>
      </c>
      <c r="G199" s="7" t="s">
        <v>9</v>
      </c>
      <c r="H199" s="83" t="s">
        <v>9</v>
      </c>
      <c r="I199" s="83" t="s">
        <v>9</v>
      </c>
      <c r="J199" s="7" t="s">
        <v>9</v>
      </c>
      <c r="K199" s="7" t="s">
        <v>9</v>
      </c>
      <c r="L199" s="24" t="str">
        <f t="shared" si="72"/>
        <v>Arquitetônicos</v>
      </c>
      <c r="M199" s="24" t="str">
        <f t="shared" si="73"/>
        <v>Elementos.de.Ferragens</v>
      </c>
      <c r="N199" s="24" t="str">
        <f t="shared" si="74"/>
        <v>Fixadores</v>
      </c>
      <c r="O199" s="24" t="str">
        <f t="shared" si="75"/>
        <v>Parafuso</v>
      </c>
      <c r="P199" s="19" t="s">
        <v>306</v>
      </c>
      <c r="Q199" s="29" t="s">
        <v>307</v>
      </c>
      <c r="R199" s="19" t="s">
        <v>1797</v>
      </c>
      <c r="S199" s="43" t="s">
        <v>9</v>
      </c>
      <c r="T199" s="25" t="str">
        <f t="shared" si="76"/>
        <v>Arquitetônicos</v>
      </c>
      <c r="U199" s="25" t="str">
        <f t="shared" si="77"/>
        <v>Elementos de Ferragens</v>
      </c>
      <c r="V199" s="25" t="str">
        <f t="shared" si="78"/>
        <v>Fixadores</v>
      </c>
      <c r="W199" s="19" t="s">
        <v>74</v>
      </c>
      <c r="X199" s="57" t="str">
        <f t="shared" si="79"/>
        <v>Key-ARQ-199</v>
      </c>
      <c r="Y199" s="19" t="s">
        <v>1426</v>
      </c>
      <c r="Z199" s="25" t="s">
        <v>9</v>
      </c>
      <c r="AA199" s="25" t="s">
        <v>1350</v>
      </c>
      <c r="AB199" s="25" t="s">
        <v>9</v>
      </c>
      <c r="AC199" s="25" t="s">
        <v>1569</v>
      </c>
      <c r="AD199" s="25" t="s">
        <v>9</v>
      </c>
    </row>
    <row r="200" spans="1:30" ht="6.65" customHeight="1" x14ac:dyDescent="0.4">
      <c r="A200" s="21">
        <v>200</v>
      </c>
      <c r="B200" s="1" t="s">
        <v>1524</v>
      </c>
      <c r="C200" s="1" t="s">
        <v>1525</v>
      </c>
      <c r="D200" s="1" t="s">
        <v>1594</v>
      </c>
      <c r="E200" s="1" t="s">
        <v>1185</v>
      </c>
      <c r="F200" s="1" t="s">
        <v>308</v>
      </c>
      <c r="G200" s="7" t="s">
        <v>9</v>
      </c>
      <c r="H200" s="83" t="s">
        <v>9</v>
      </c>
      <c r="I200" s="83" t="s">
        <v>9</v>
      </c>
      <c r="J200" s="7" t="s">
        <v>9</v>
      </c>
      <c r="K200" s="7" t="s">
        <v>9</v>
      </c>
      <c r="L200" s="24" t="str">
        <f t="shared" si="72"/>
        <v>Arquitetônicos</v>
      </c>
      <c r="M200" s="24" t="str">
        <f t="shared" si="73"/>
        <v>Elementos.de.Ferragens</v>
      </c>
      <c r="N200" s="24" t="str">
        <f t="shared" si="74"/>
        <v>Fixadores</v>
      </c>
      <c r="O200" s="24" t="str">
        <f t="shared" si="75"/>
        <v>Bucha</v>
      </c>
      <c r="P200" s="19" t="s">
        <v>309</v>
      </c>
      <c r="Q200" s="29" t="s">
        <v>310</v>
      </c>
      <c r="R200" s="19" t="s">
        <v>1798</v>
      </c>
      <c r="S200" s="43" t="s">
        <v>9</v>
      </c>
      <c r="T200" s="25" t="str">
        <f t="shared" si="76"/>
        <v>Arquitetônicos</v>
      </c>
      <c r="U200" s="25" t="str">
        <f t="shared" si="77"/>
        <v>Elementos de Ferragens</v>
      </c>
      <c r="V200" s="25" t="str">
        <f t="shared" si="78"/>
        <v>Fixadores</v>
      </c>
      <c r="W200" s="19" t="s">
        <v>74</v>
      </c>
      <c r="X200" s="57" t="str">
        <f t="shared" si="79"/>
        <v>Key-ARQ-200</v>
      </c>
      <c r="Y200" s="19" t="s">
        <v>1426</v>
      </c>
      <c r="Z200" s="25" t="s">
        <v>9</v>
      </c>
      <c r="AA200" s="25" t="s">
        <v>1350</v>
      </c>
      <c r="AB200" s="25" t="s">
        <v>9</v>
      </c>
      <c r="AC200" s="25" t="s">
        <v>1569</v>
      </c>
      <c r="AD200" s="25" t="s">
        <v>9</v>
      </c>
    </row>
    <row r="201" spans="1:30" ht="6.65" customHeight="1" x14ac:dyDescent="0.4">
      <c r="A201" s="21">
        <v>201</v>
      </c>
      <c r="B201" s="1" t="s">
        <v>1524</v>
      </c>
      <c r="C201" s="1" t="s">
        <v>1525</v>
      </c>
      <c r="D201" s="1" t="s">
        <v>1594</v>
      </c>
      <c r="E201" s="1" t="s">
        <v>1185</v>
      </c>
      <c r="F201" s="1" t="s">
        <v>311</v>
      </c>
      <c r="G201" s="7" t="s">
        <v>9</v>
      </c>
      <c r="H201" s="83" t="s">
        <v>9</v>
      </c>
      <c r="I201" s="83" t="s">
        <v>9</v>
      </c>
      <c r="J201" s="7" t="s">
        <v>9</v>
      </c>
      <c r="K201" s="7" t="s">
        <v>9</v>
      </c>
      <c r="L201" s="24" t="str">
        <f t="shared" si="72"/>
        <v>Arquitetônicos</v>
      </c>
      <c r="M201" s="24" t="str">
        <f t="shared" si="73"/>
        <v>Elementos.de.Ferragens</v>
      </c>
      <c r="N201" s="24" t="str">
        <f t="shared" si="74"/>
        <v>Fixadores</v>
      </c>
      <c r="O201" s="24" t="str">
        <f t="shared" si="75"/>
        <v>Fixador Pinça</v>
      </c>
      <c r="P201" s="19" t="s">
        <v>312</v>
      </c>
      <c r="Q201" s="29" t="s">
        <v>313</v>
      </c>
      <c r="R201" s="19" t="s">
        <v>1799</v>
      </c>
      <c r="S201" s="43" t="s">
        <v>9</v>
      </c>
      <c r="T201" s="25" t="str">
        <f t="shared" si="76"/>
        <v>Arquitetônicos</v>
      </c>
      <c r="U201" s="25" t="str">
        <f t="shared" si="77"/>
        <v>Elementos de Ferragens</v>
      </c>
      <c r="V201" s="25" t="str">
        <f t="shared" si="78"/>
        <v>Fixadores</v>
      </c>
      <c r="W201" s="19" t="s">
        <v>74</v>
      </c>
      <c r="X201" s="57" t="str">
        <f t="shared" si="79"/>
        <v>Key-ARQ-201</v>
      </c>
      <c r="Y201" s="19" t="s">
        <v>1426</v>
      </c>
      <c r="Z201" s="25" t="s">
        <v>9</v>
      </c>
      <c r="AA201" s="25" t="s">
        <v>1350</v>
      </c>
      <c r="AB201" s="25" t="s">
        <v>9</v>
      </c>
      <c r="AC201" s="25" t="s">
        <v>1569</v>
      </c>
      <c r="AD201" s="25" t="s">
        <v>9</v>
      </c>
    </row>
    <row r="202" spans="1:30" ht="6.65" customHeight="1" x14ac:dyDescent="0.4">
      <c r="A202" s="21">
        <v>202</v>
      </c>
      <c r="B202" s="1" t="s">
        <v>1524</v>
      </c>
      <c r="C202" s="1" t="s">
        <v>1525</v>
      </c>
      <c r="D202" s="1" t="s">
        <v>1594</v>
      </c>
      <c r="E202" s="1" t="s">
        <v>1185</v>
      </c>
      <c r="F202" s="1" t="s">
        <v>314</v>
      </c>
      <c r="G202" s="7" t="s">
        <v>9</v>
      </c>
      <c r="H202" s="83" t="s">
        <v>9</v>
      </c>
      <c r="I202" s="83" t="s">
        <v>9</v>
      </c>
      <c r="J202" s="7" t="s">
        <v>9</v>
      </c>
      <c r="K202" s="7" t="s">
        <v>9</v>
      </c>
      <c r="L202" s="24" t="str">
        <f t="shared" si="72"/>
        <v>Arquitetônicos</v>
      </c>
      <c r="M202" s="24" t="str">
        <f t="shared" si="73"/>
        <v>Elementos.de.Ferragens</v>
      </c>
      <c r="N202" s="24" t="str">
        <f t="shared" si="74"/>
        <v>Fixadores</v>
      </c>
      <c r="O202" s="24" t="str">
        <f t="shared" si="75"/>
        <v>Fixador Cantoneira</v>
      </c>
      <c r="P202" s="19" t="s">
        <v>315</v>
      </c>
      <c r="Q202" s="29" t="s">
        <v>316</v>
      </c>
      <c r="R202" s="19" t="s">
        <v>1800</v>
      </c>
      <c r="S202" s="43" t="s">
        <v>9</v>
      </c>
      <c r="T202" s="25" t="str">
        <f t="shared" si="76"/>
        <v>Arquitetônicos</v>
      </c>
      <c r="U202" s="25" t="str">
        <f t="shared" si="77"/>
        <v>Elementos de Ferragens</v>
      </c>
      <c r="V202" s="25" t="str">
        <f t="shared" si="78"/>
        <v>Fixadores</v>
      </c>
      <c r="W202" s="19" t="s">
        <v>74</v>
      </c>
      <c r="X202" s="57" t="str">
        <f t="shared" si="79"/>
        <v>Key-ARQ-202</v>
      </c>
      <c r="Y202" s="19" t="s">
        <v>1426</v>
      </c>
      <c r="Z202" s="25" t="s">
        <v>9</v>
      </c>
      <c r="AA202" s="25" t="s">
        <v>1350</v>
      </c>
      <c r="AB202" s="25" t="s">
        <v>9</v>
      </c>
      <c r="AC202" s="25" t="s">
        <v>1569</v>
      </c>
      <c r="AD202" s="25" t="s">
        <v>9</v>
      </c>
    </row>
    <row r="203" spans="1:30" ht="6.65" customHeight="1" x14ac:dyDescent="0.4">
      <c r="A203" s="21">
        <v>203</v>
      </c>
      <c r="B203" s="1" t="s">
        <v>1524</v>
      </c>
      <c r="C203" s="1" t="s">
        <v>1525</v>
      </c>
      <c r="D203" s="1" t="s">
        <v>1594</v>
      </c>
      <c r="E203" s="1" t="s">
        <v>1185</v>
      </c>
      <c r="F203" s="1" t="s">
        <v>317</v>
      </c>
      <c r="G203" s="7" t="s">
        <v>9</v>
      </c>
      <c r="H203" s="83" t="s">
        <v>9</v>
      </c>
      <c r="I203" s="83" t="s">
        <v>9</v>
      </c>
      <c r="J203" s="7" t="s">
        <v>9</v>
      </c>
      <c r="K203" s="7" t="s">
        <v>9</v>
      </c>
      <c r="L203" s="24" t="str">
        <f t="shared" si="72"/>
        <v>Arquitetônicos</v>
      </c>
      <c r="M203" s="24" t="str">
        <f t="shared" si="73"/>
        <v>Elementos.de.Ferragens</v>
      </c>
      <c r="N203" s="24" t="str">
        <f t="shared" si="74"/>
        <v>Fixadores</v>
      </c>
      <c r="O203" s="24" t="str">
        <f t="shared" si="75"/>
        <v>Conector</v>
      </c>
      <c r="P203" s="19" t="s">
        <v>318</v>
      </c>
      <c r="Q203" s="29" t="s">
        <v>318</v>
      </c>
      <c r="R203" s="19" t="s">
        <v>1801</v>
      </c>
      <c r="S203" s="43" t="s">
        <v>9</v>
      </c>
      <c r="T203" s="25" t="str">
        <f t="shared" si="76"/>
        <v>Arquitetônicos</v>
      </c>
      <c r="U203" s="25" t="str">
        <f t="shared" si="77"/>
        <v>Elementos de Ferragens</v>
      </c>
      <c r="V203" s="25" t="str">
        <f t="shared" si="78"/>
        <v>Fixadores</v>
      </c>
      <c r="W203" s="19" t="s">
        <v>74</v>
      </c>
      <c r="X203" s="57" t="str">
        <f t="shared" si="79"/>
        <v>Key-ARQ-203</v>
      </c>
      <c r="Y203" s="19" t="s">
        <v>1426</v>
      </c>
      <c r="Z203" s="25" t="s">
        <v>9</v>
      </c>
      <c r="AA203" s="25" t="s">
        <v>1350</v>
      </c>
      <c r="AB203" s="25" t="s">
        <v>9</v>
      </c>
      <c r="AC203" s="25" t="s">
        <v>1569</v>
      </c>
      <c r="AD203" s="25" t="s">
        <v>9</v>
      </c>
    </row>
    <row r="204" spans="1:30" ht="6.65" customHeight="1" x14ac:dyDescent="0.4">
      <c r="A204" s="21">
        <v>204</v>
      </c>
      <c r="B204" s="1" t="s">
        <v>1524</v>
      </c>
      <c r="C204" s="1" t="s">
        <v>1525</v>
      </c>
      <c r="D204" s="1" t="s">
        <v>1594</v>
      </c>
      <c r="E204" s="1" t="s">
        <v>949</v>
      </c>
      <c r="F204" s="1" t="s">
        <v>319</v>
      </c>
      <c r="G204" s="7" t="s">
        <v>9</v>
      </c>
      <c r="H204" s="83" t="s">
        <v>9</v>
      </c>
      <c r="I204" s="83" t="s">
        <v>9</v>
      </c>
      <c r="J204" s="7" t="s">
        <v>9</v>
      </c>
      <c r="K204" s="7" t="s">
        <v>9</v>
      </c>
      <c r="L204" s="24" t="str">
        <f t="shared" si="72"/>
        <v>Arquitetônicos</v>
      </c>
      <c r="M204" s="24" t="str">
        <f t="shared" si="73"/>
        <v>Elementos.de.Ferragens</v>
      </c>
      <c r="N204" s="24" t="str">
        <f t="shared" si="74"/>
        <v>Puxadores</v>
      </c>
      <c r="O204" s="24" t="str">
        <f t="shared" si="75"/>
        <v>Puxador Externo</v>
      </c>
      <c r="P204" s="19" t="s">
        <v>320</v>
      </c>
      <c r="Q204" s="29" t="s">
        <v>321</v>
      </c>
      <c r="R204" s="19" t="s">
        <v>1802</v>
      </c>
      <c r="S204" s="43" t="s">
        <v>9</v>
      </c>
      <c r="T204" s="25" t="str">
        <f t="shared" si="76"/>
        <v>Arquitetônicos</v>
      </c>
      <c r="U204" s="25" t="str">
        <f t="shared" si="77"/>
        <v>Elementos de Ferragens</v>
      </c>
      <c r="V204" s="25" t="str">
        <f t="shared" si="78"/>
        <v>Puxadores</v>
      </c>
      <c r="W204" s="19" t="s">
        <v>74</v>
      </c>
      <c r="X204" s="57" t="str">
        <f t="shared" si="79"/>
        <v>Key-ARQ-204</v>
      </c>
      <c r="Y204" s="19" t="s">
        <v>1427</v>
      </c>
      <c r="Z204" s="25" t="s">
        <v>9</v>
      </c>
      <c r="AA204" s="25" t="s">
        <v>1350</v>
      </c>
      <c r="AB204" s="25" t="s">
        <v>9</v>
      </c>
      <c r="AC204" s="25" t="s">
        <v>1569</v>
      </c>
      <c r="AD204" s="25" t="s">
        <v>9</v>
      </c>
    </row>
    <row r="205" spans="1:30" ht="6.65" customHeight="1" x14ac:dyDescent="0.4">
      <c r="A205" s="21">
        <v>205</v>
      </c>
      <c r="B205" s="1" t="s">
        <v>1524</v>
      </c>
      <c r="C205" s="1" t="s">
        <v>1525</v>
      </c>
      <c r="D205" s="1" t="s">
        <v>1594</v>
      </c>
      <c r="E205" s="1" t="s">
        <v>949</v>
      </c>
      <c r="F205" s="1" t="s">
        <v>322</v>
      </c>
      <c r="G205" s="7" t="s">
        <v>9</v>
      </c>
      <c r="H205" s="83" t="s">
        <v>9</v>
      </c>
      <c r="I205" s="83" t="s">
        <v>9</v>
      </c>
      <c r="J205" s="7" t="s">
        <v>9</v>
      </c>
      <c r="K205" s="7" t="s">
        <v>9</v>
      </c>
      <c r="L205" s="24" t="str">
        <f t="shared" si="72"/>
        <v>Arquitetônicos</v>
      </c>
      <c r="M205" s="24" t="str">
        <f t="shared" si="73"/>
        <v>Elementos.de.Ferragens</v>
      </c>
      <c r="N205" s="24" t="str">
        <f t="shared" si="74"/>
        <v>Puxadores</v>
      </c>
      <c r="O205" s="24" t="str">
        <f t="shared" si="75"/>
        <v>Puxador Interno</v>
      </c>
      <c r="P205" s="19" t="s">
        <v>323</v>
      </c>
      <c r="Q205" s="29" t="s">
        <v>324</v>
      </c>
      <c r="R205" s="19" t="s">
        <v>1803</v>
      </c>
      <c r="S205" s="43" t="s">
        <v>9</v>
      </c>
      <c r="T205" s="25" t="str">
        <f t="shared" si="76"/>
        <v>Arquitetônicos</v>
      </c>
      <c r="U205" s="25" t="str">
        <f t="shared" si="77"/>
        <v>Elementos de Ferragens</v>
      </c>
      <c r="V205" s="25" t="str">
        <f t="shared" si="78"/>
        <v>Puxadores</v>
      </c>
      <c r="W205" s="19" t="s">
        <v>74</v>
      </c>
      <c r="X205" s="57" t="str">
        <f t="shared" si="79"/>
        <v>Key-ARQ-205</v>
      </c>
      <c r="Y205" s="19" t="s">
        <v>1427</v>
      </c>
      <c r="Z205" s="25" t="s">
        <v>9</v>
      </c>
      <c r="AA205" s="25" t="s">
        <v>1350</v>
      </c>
      <c r="AB205" s="25" t="s">
        <v>9</v>
      </c>
      <c r="AC205" s="25" t="s">
        <v>1569</v>
      </c>
      <c r="AD205" s="25" t="s">
        <v>9</v>
      </c>
    </row>
    <row r="206" spans="1:30" ht="6.65" customHeight="1" x14ac:dyDescent="0.4">
      <c r="A206" s="21">
        <v>206</v>
      </c>
      <c r="B206" s="1" t="s">
        <v>1524</v>
      </c>
      <c r="C206" s="1" t="s">
        <v>1525</v>
      </c>
      <c r="D206" s="1" t="s">
        <v>1594</v>
      </c>
      <c r="E206" s="1" t="s">
        <v>950</v>
      </c>
      <c r="F206" s="1" t="s">
        <v>325</v>
      </c>
      <c r="G206" s="7" t="s">
        <v>9</v>
      </c>
      <c r="H206" s="83" t="s">
        <v>9</v>
      </c>
      <c r="I206" s="83" t="s">
        <v>9</v>
      </c>
      <c r="J206" s="7" t="s">
        <v>9</v>
      </c>
      <c r="K206" s="7" t="s">
        <v>9</v>
      </c>
      <c r="L206" s="24" t="str">
        <f t="shared" si="72"/>
        <v>Arquitetônicos</v>
      </c>
      <c r="M206" s="24" t="str">
        <f t="shared" si="73"/>
        <v>Elementos.de.Ferragens</v>
      </c>
      <c r="N206" s="24" t="str">
        <f t="shared" si="74"/>
        <v>Cabides</v>
      </c>
      <c r="O206" s="24" t="str">
        <f t="shared" si="75"/>
        <v>Tipo Gancho</v>
      </c>
      <c r="P206" s="19" t="s">
        <v>326</v>
      </c>
      <c r="Q206" s="29" t="s">
        <v>327</v>
      </c>
      <c r="R206" s="19" t="s">
        <v>1804</v>
      </c>
      <c r="S206" s="43" t="s">
        <v>9</v>
      </c>
      <c r="T206" s="25" t="str">
        <f t="shared" si="76"/>
        <v>Arquitetônicos</v>
      </c>
      <c r="U206" s="25" t="str">
        <f t="shared" si="77"/>
        <v>Elementos de Ferragens</v>
      </c>
      <c r="V206" s="25" t="str">
        <f t="shared" si="78"/>
        <v>Cabides</v>
      </c>
      <c r="W206" s="19" t="s">
        <v>74</v>
      </c>
      <c r="X206" s="57" t="str">
        <f t="shared" si="79"/>
        <v>Key-ARQ-206</v>
      </c>
      <c r="Y206" s="19" t="s">
        <v>1427</v>
      </c>
      <c r="Z206" s="25" t="s">
        <v>9</v>
      </c>
      <c r="AA206" s="25" t="s">
        <v>1350</v>
      </c>
      <c r="AB206" s="25" t="s">
        <v>9</v>
      </c>
      <c r="AC206" s="25" t="s">
        <v>1569</v>
      </c>
      <c r="AD206" s="25" t="s">
        <v>9</v>
      </c>
    </row>
    <row r="207" spans="1:30" ht="6.65" customHeight="1" x14ac:dyDescent="0.4">
      <c r="A207" s="21">
        <v>207</v>
      </c>
      <c r="B207" s="1" t="s">
        <v>1524</v>
      </c>
      <c r="C207" s="1" t="s">
        <v>1525</v>
      </c>
      <c r="D207" s="1" t="s">
        <v>1594</v>
      </c>
      <c r="E207" s="1" t="s">
        <v>950</v>
      </c>
      <c r="F207" s="1" t="s">
        <v>328</v>
      </c>
      <c r="G207" s="7" t="s">
        <v>9</v>
      </c>
      <c r="H207" s="83" t="s">
        <v>9</v>
      </c>
      <c r="I207" s="83" t="s">
        <v>9</v>
      </c>
      <c r="J207" s="7" t="s">
        <v>9</v>
      </c>
      <c r="K207" s="7" t="s">
        <v>9</v>
      </c>
      <c r="L207" s="24" t="str">
        <f t="shared" si="72"/>
        <v>Arquitetônicos</v>
      </c>
      <c r="M207" s="24" t="str">
        <f t="shared" si="73"/>
        <v>Elementos.de.Ferragens</v>
      </c>
      <c r="N207" s="24" t="str">
        <f t="shared" si="74"/>
        <v>Cabides</v>
      </c>
      <c r="O207" s="24" t="str">
        <f t="shared" si="75"/>
        <v>Antifurto</v>
      </c>
      <c r="P207" s="19" t="s">
        <v>329</v>
      </c>
      <c r="Q207" s="29" t="s">
        <v>330</v>
      </c>
      <c r="R207" s="19" t="s">
        <v>1805</v>
      </c>
      <c r="S207" s="43" t="s">
        <v>9</v>
      </c>
      <c r="T207" s="25" t="str">
        <f t="shared" si="76"/>
        <v>Arquitetônicos</v>
      </c>
      <c r="U207" s="25" t="str">
        <f t="shared" si="77"/>
        <v>Elementos de Ferragens</v>
      </c>
      <c r="V207" s="25" t="str">
        <f t="shared" si="78"/>
        <v>Cabides</v>
      </c>
      <c r="W207" s="19" t="s">
        <v>74</v>
      </c>
      <c r="X207" s="57" t="str">
        <f t="shared" si="79"/>
        <v>Key-ARQ-207</v>
      </c>
      <c r="Y207" s="19" t="s">
        <v>1427</v>
      </c>
      <c r="Z207" s="25" t="s">
        <v>9</v>
      </c>
      <c r="AA207" s="25" t="s">
        <v>1350</v>
      </c>
      <c r="AB207" s="25" t="s">
        <v>9</v>
      </c>
      <c r="AC207" s="25" t="s">
        <v>1569</v>
      </c>
      <c r="AD207" s="25" t="s">
        <v>9</v>
      </c>
    </row>
    <row r="208" spans="1:30" ht="6.65" customHeight="1" x14ac:dyDescent="0.4">
      <c r="A208" s="21">
        <v>208</v>
      </c>
      <c r="B208" s="1" t="s">
        <v>1524</v>
      </c>
      <c r="C208" s="1" t="s">
        <v>1525</v>
      </c>
      <c r="D208" s="1" t="s">
        <v>1594</v>
      </c>
      <c r="E208" s="1" t="s">
        <v>1085</v>
      </c>
      <c r="F208" s="1" t="s">
        <v>1086</v>
      </c>
      <c r="G208" s="7" t="s">
        <v>9</v>
      </c>
      <c r="H208" s="83" t="s">
        <v>9</v>
      </c>
      <c r="I208" s="83" t="s">
        <v>9</v>
      </c>
      <c r="J208" s="7" t="s">
        <v>9</v>
      </c>
      <c r="K208" s="7" t="s">
        <v>9</v>
      </c>
      <c r="L208" s="24" t="str">
        <f t="shared" si="72"/>
        <v>Arquitetônicos</v>
      </c>
      <c r="M208" s="24" t="str">
        <f t="shared" si="73"/>
        <v>Elementos.de.Ferragens</v>
      </c>
      <c r="N208" s="24" t="str">
        <f t="shared" si="74"/>
        <v>Fechaduras</v>
      </c>
      <c r="O208" s="24" t="str">
        <f t="shared" si="75"/>
        <v>Multiponto</v>
      </c>
      <c r="P208" s="19" t="s">
        <v>1087</v>
      </c>
      <c r="Q208" s="19" t="s">
        <v>1092</v>
      </c>
      <c r="R208" s="19" t="s">
        <v>1806</v>
      </c>
      <c r="S208" s="43" t="s">
        <v>9</v>
      </c>
      <c r="T208" s="25" t="str">
        <f t="shared" si="76"/>
        <v>Arquitetônicos</v>
      </c>
      <c r="U208" s="25" t="str">
        <f t="shared" si="77"/>
        <v>Elementos de Ferragens</v>
      </c>
      <c r="V208" s="25" t="str">
        <f t="shared" si="78"/>
        <v>Fechaduras</v>
      </c>
      <c r="W208" s="19" t="s">
        <v>74</v>
      </c>
      <c r="X208" s="57" t="str">
        <f t="shared" si="79"/>
        <v>Key-ARQ-208</v>
      </c>
      <c r="Y208" s="19" t="s">
        <v>1427</v>
      </c>
      <c r="Z208" s="25" t="s">
        <v>9</v>
      </c>
      <c r="AA208" s="25" t="s">
        <v>1350</v>
      </c>
      <c r="AB208" s="25" t="s">
        <v>9</v>
      </c>
      <c r="AC208" s="25" t="s">
        <v>1569</v>
      </c>
      <c r="AD208" s="25" t="s">
        <v>9</v>
      </c>
    </row>
    <row r="209" spans="1:30" ht="6.65" customHeight="1" x14ac:dyDescent="0.4">
      <c r="A209" s="21">
        <v>209</v>
      </c>
      <c r="B209" s="1" t="s">
        <v>1524</v>
      </c>
      <c r="C209" s="1" t="s">
        <v>1525</v>
      </c>
      <c r="D209" s="1" t="s">
        <v>1594</v>
      </c>
      <c r="E209" s="1" t="s">
        <v>1085</v>
      </c>
      <c r="F209" s="1" t="s">
        <v>1102</v>
      </c>
      <c r="G209" s="7" t="s">
        <v>9</v>
      </c>
      <c r="H209" s="83" t="s">
        <v>9</v>
      </c>
      <c r="I209" s="83" t="s">
        <v>9</v>
      </c>
      <c r="J209" s="7" t="s">
        <v>9</v>
      </c>
      <c r="K209" s="7" t="s">
        <v>9</v>
      </c>
      <c r="L209" s="24" t="str">
        <f t="shared" si="72"/>
        <v>Arquitetônicos</v>
      </c>
      <c r="M209" s="24" t="str">
        <f t="shared" si="73"/>
        <v>Elementos.de.Ferragens</v>
      </c>
      <c r="N209" s="24" t="str">
        <f t="shared" si="74"/>
        <v>Fechaduras</v>
      </c>
      <c r="O209" s="24" t="str">
        <f t="shared" si="75"/>
        <v>Biométrica</v>
      </c>
      <c r="P209" s="19" t="s">
        <v>1088</v>
      </c>
      <c r="Q209" s="19" t="s">
        <v>1093</v>
      </c>
      <c r="R209" s="19" t="s">
        <v>1807</v>
      </c>
      <c r="S209" s="43" t="s">
        <v>9</v>
      </c>
      <c r="T209" s="25" t="str">
        <f t="shared" si="76"/>
        <v>Arquitetônicos</v>
      </c>
      <c r="U209" s="25" t="str">
        <f t="shared" si="77"/>
        <v>Elementos de Ferragens</v>
      </c>
      <c r="V209" s="25" t="str">
        <f t="shared" si="78"/>
        <v>Fechaduras</v>
      </c>
      <c r="W209" s="19" t="s">
        <v>74</v>
      </c>
      <c r="X209" s="57" t="str">
        <f t="shared" si="79"/>
        <v>Key-ARQ-209</v>
      </c>
      <c r="Y209" s="19" t="s">
        <v>1427</v>
      </c>
      <c r="Z209" s="25" t="s">
        <v>9</v>
      </c>
      <c r="AA209" s="25" t="s">
        <v>1350</v>
      </c>
      <c r="AB209" s="25" t="s">
        <v>9</v>
      </c>
      <c r="AC209" s="25" t="s">
        <v>1569</v>
      </c>
      <c r="AD209" s="25" t="s">
        <v>9</v>
      </c>
    </row>
    <row r="210" spans="1:30" ht="6.65" customHeight="1" x14ac:dyDescent="0.4">
      <c r="A210" s="21">
        <v>210</v>
      </c>
      <c r="B210" s="1" t="s">
        <v>1524</v>
      </c>
      <c r="C210" s="1" t="s">
        <v>1525</v>
      </c>
      <c r="D210" s="1" t="s">
        <v>1594</v>
      </c>
      <c r="E210" s="1" t="s">
        <v>1085</v>
      </c>
      <c r="F210" s="1" t="s">
        <v>1090</v>
      </c>
      <c r="G210" s="7" t="s">
        <v>9</v>
      </c>
      <c r="H210" s="83" t="s">
        <v>9</v>
      </c>
      <c r="I210" s="83" t="s">
        <v>9</v>
      </c>
      <c r="J210" s="7" t="s">
        <v>9</v>
      </c>
      <c r="K210" s="7" t="s">
        <v>9</v>
      </c>
      <c r="L210" s="24" t="str">
        <f t="shared" si="72"/>
        <v>Arquitetônicos</v>
      </c>
      <c r="M210" s="24" t="str">
        <f t="shared" si="73"/>
        <v>Elementos.de.Ferragens</v>
      </c>
      <c r="N210" s="24" t="str">
        <f t="shared" si="74"/>
        <v>Fechaduras</v>
      </c>
      <c r="O210" s="24" t="str">
        <f t="shared" si="75"/>
        <v>Cartão Magnético</v>
      </c>
      <c r="P210" s="19" t="s">
        <v>1091</v>
      </c>
      <c r="Q210" s="19" t="s">
        <v>1094</v>
      </c>
      <c r="R210" s="19" t="s">
        <v>1808</v>
      </c>
      <c r="S210" s="43" t="s">
        <v>9</v>
      </c>
      <c r="T210" s="25" t="str">
        <f t="shared" si="76"/>
        <v>Arquitetônicos</v>
      </c>
      <c r="U210" s="25" t="str">
        <f t="shared" si="77"/>
        <v>Elementos de Ferragens</v>
      </c>
      <c r="V210" s="25" t="str">
        <f t="shared" si="78"/>
        <v>Fechaduras</v>
      </c>
      <c r="W210" s="19" t="s">
        <v>74</v>
      </c>
      <c r="X210" s="57" t="str">
        <f t="shared" si="79"/>
        <v>Key-ARQ-210</v>
      </c>
      <c r="Y210" s="19" t="s">
        <v>1427</v>
      </c>
      <c r="Z210" s="25" t="s">
        <v>9</v>
      </c>
      <c r="AA210" s="25" t="s">
        <v>1350</v>
      </c>
      <c r="AB210" s="25" t="s">
        <v>9</v>
      </c>
      <c r="AC210" s="25" t="s">
        <v>1569</v>
      </c>
      <c r="AD210" s="25" t="s">
        <v>9</v>
      </c>
    </row>
    <row r="211" spans="1:30" ht="6.65" customHeight="1" x14ac:dyDescent="0.4">
      <c r="A211" s="21">
        <v>211</v>
      </c>
      <c r="B211" s="1" t="s">
        <v>1524</v>
      </c>
      <c r="C211" s="1" t="s">
        <v>1525</v>
      </c>
      <c r="D211" s="1" t="s">
        <v>1594</v>
      </c>
      <c r="E211" s="1" t="s">
        <v>1085</v>
      </c>
      <c r="F211" s="1" t="s">
        <v>44</v>
      </c>
      <c r="G211" s="7" t="s">
        <v>9</v>
      </c>
      <c r="H211" s="83" t="s">
        <v>9</v>
      </c>
      <c r="I211" s="83" t="s">
        <v>9</v>
      </c>
      <c r="J211" s="7" t="s">
        <v>9</v>
      </c>
      <c r="K211" s="7" t="s">
        <v>9</v>
      </c>
      <c r="L211" s="24" t="str">
        <f t="shared" si="72"/>
        <v>Arquitetônicos</v>
      </c>
      <c r="M211" s="24" t="str">
        <f t="shared" si="73"/>
        <v>Elementos.de.Ferragens</v>
      </c>
      <c r="N211" s="24" t="str">
        <f t="shared" si="74"/>
        <v>Fechaduras</v>
      </c>
      <c r="O211" s="24" t="str">
        <f t="shared" si="75"/>
        <v>Chave</v>
      </c>
      <c r="P211" s="19" t="s">
        <v>1089</v>
      </c>
      <c r="Q211" s="19" t="s">
        <v>1095</v>
      </c>
      <c r="R211" s="19" t="s">
        <v>1809</v>
      </c>
      <c r="S211" s="43" t="s">
        <v>9</v>
      </c>
      <c r="T211" s="25" t="str">
        <f t="shared" si="76"/>
        <v>Arquitetônicos</v>
      </c>
      <c r="U211" s="25" t="str">
        <f t="shared" si="77"/>
        <v>Elementos de Ferragens</v>
      </c>
      <c r="V211" s="25" t="str">
        <f t="shared" si="78"/>
        <v>Fechaduras</v>
      </c>
      <c r="W211" s="19" t="s">
        <v>74</v>
      </c>
      <c r="X211" s="57" t="str">
        <f t="shared" si="79"/>
        <v>Key-ARQ-211</v>
      </c>
      <c r="Y211" s="19" t="s">
        <v>1427</v>
      </c>
      <c r="Z211" s="25" t="s">
        <v>9</v>
      </c>
      <c r="AA211" s="25" t="s">
        <v>1350</v>
      </c>
      <c r="AB211" s="25" t="s">
        <v>9</v>
      </c>
      <c r="AC211" s="25" t="s">
        <v>1569</v>
      </c>
      <c r="AD211" s="25" t="s">
        <v>9</v>
      </c>
    </row>
    <row r="212" spans="1:30" ht="6.65" customHeight="1" x14ac:dyDescent="0.4">
      <c r="A212" s="21">
        <v>212</v>
      </c>
      <c r="B212" s="1" t="s">
        <v>1524</v>
      </c>
      <c r="C212" s="1" t="s">
        <v>1525</v>
      </c>
      <c r="D212" s="1" t="s">
        <v>1594</v>
      </c>
      <c r="E212" s="1" t="s">
        <v>1096</v>
      </c>
      <c r="F212" s="1" t="s">
        <v>1106</v>
      </c>
      <c r="G212" s="7" t="s">
        <v>9</v>
      </c>
      <c r="H212" s="83" t="s">
        <v>9</v>
      </c>
      <c r="I212" s="83" t="s">
        <v>9</v>
      </c>
      <c r="J212" s="7" t="s">
        <v>9</v>
      </c>
      <c r="K212" s="7" t="s">
        <v>9</v>
      </c>
      <c r="L212" s="24" t="str">
        <f t="shared" si="72"/>
        <v>Arquitetônicos</v>
      </c>
      <c r="M212" s="24" t="str">
        <f t="shared" si="73"/>
        <v>Elementos.de.Ferragens</v>
      </c>
      <c r="N212" s="24" t="str">
        <f t="shared" si="74"/>
        <v>Maçanetas</v>
      </c>
      <c r="O212" s="24" t="str">
        <f t="shared" si="75"/>
        <v>Alavanca e Trinco</v>
      </c>
      <c r="P212" s="19" t="s">
        <v>1107</v>
      </c>
      <c r="Q212" s="19" t="s">
        <v>1110</v>
      </c>
      <c r="R212" s="19" t="s">
        <v>1810</v>
      </c>
      <c r="S212" s="43" t="s">
        <v>9</v>
      </c>
      <c r="T212" s="25" t="str">
        <f t="shared" si="76"/>
        <v>Arquitetônicos</v>
      </c>
      <c r="U212" s="25" t="str">
        <f t="shared" si="77"/>
        <v>Elementos de Ferragens</v>
      </c>
      <c r="V212" s="25" t="str">
        <f t="shared" si="78"/>
        <v>Maçanetas</v>
      </c>
      <c r="W212" s="19" t="s">
        <v>74</v>
      </c>
      <c r="X212" s="57" t="str">
        <f t="shared" si="79"/>
        <v>Key-ARQ-212</v>
      </c>
      <c r="Y212" s="19" t="s">
        <v>1427</v>
      </c>
      <c r="Z212" s="25" t="s">
        <v>9</v>
      </c>
      <c r="AA212" s="25" t="s">
        <v>1350</v>
      </c>
      <c r="AB212" s="25" t="s">
        <v>9</v>
      </c>
      <c r="AC212" s="25" t="s">
        <v>1569</v>
      </c>
      <c r="AD212" s="25" t="s">
        <v>9</v>
      </c>
    </row>
    <row r="213" spans="1:30" ht="6.65" customHeight="1" x14ac:dyDescent="0.4">
      <c r="A213" s="21">
        <v>213</v>
      </c>
      <c r="B213" s="1" t="s">
        <v>1524</v>
      </c>
      <c r="C213" s="1" t="s">
        <v>1525</v>
      </c>
      <c r="D213" s="1" t="s">
        <v>1594</v>
      </c>
      <c r="E213" s="1" t="s">
        <v>1096</v>
      </c>
      <c r="F213" s="1" t="s">
        <v>1097</v>
      </c>
      <c r="G213" s="7" t="s">
        <v>9</v>
      </c>
      <c r="H213" s="83" t="s">
        <v>9</v>
      </c>
      <c r="I213" s="83" t="s">
        <v>9</v>
      </c>
      <c r="J213" s="7" t="s">
        <v>9</v>
      </c>
      <c r="K213" s="7" t="s">
        <v>9</v>
      </c>
      <c r="L213" s="24" t="str">
        <f t="shared" si="72"/>
        <v>Arquitetônicos</v>
      </c>
      <c r="M213" s="24" t="str">
        <f t="shared" si="73"/>
        <v>Elementos.de.Ferragens</v>
      </c>
      <c r="N213" s="24" t="str">
        <f t="shared" si="74"/>
        <v>Maçanetas</v>
      </c>
      <c r="O213" s="24" t="str">
        <f t="shared" si="75"/>
        <v>Alavanca</v>
      </c>
      <c r="P213" s="19" t="s">
        <v>1108</v>
      </c>
      <c r="Q213" s="19" t="s">
        <v>1109</v>
      </c>
      <c r="R213" s="19" t="s">
        <v>1811</v>
      </c>
      <c r="S213" s="43" t="s">
        <v>9</v>
      </c>
      <c r="T213" s="25" t="str">
        <f t="shared" si="76"/>
        <v>Arquitetônicos</v>
      </c>
      <c r="U213" s="25" t="str">
        <f t="shared" si="77"/>
        <v>Elementos de Ferragens</v>
      </c>
      <c r="V213" s="25" t="str">
        <f t="shared" si="78"/>
        <v>Maçanetas</v>
      </c>
      <c r="W213" s="19" t="s">
        <v>74</v>
      </c>
      <c r="X213" s="57" t="str">
        <f t="shared" si="79"/>
        <v>Key-ARQ-213</v>
      </c>
      <c r="Y213" s="19" t="s">
        <v>1427</v>
      </c>
      <c r="Z213" s="25" t="s">
        <v>9</v>
      </c>
      <c r="AA213" s="25" t="s">
        <v>1350</v>
      </c>
      <c r="AB213" s="25" t="s">
        <v>9</v>
      </c>
      <c r="AC213" s="25" t="s">
        <v>1569</v>
      </c>
      <c r="AD213" s="25" t="s">
        <v>9</v>
      </c>
    </row>
    <row r="214" spans="1:30" ht="6.65" customHeight="1" x14ac:dyDescent="0.4">
      <c r="A214" s="21">
        <v>214</v>
      </c>
      <c r="B214" s="1" t="s">
        <v>1524</v>
      </c>
      <c r="C214" s="1" t="s">
        <v>1525</v>
      </c>
      <c r="D214" s="1" t="s">
        <v>1594</v>
      </c>
      <c r="E214" s="1" t="s">
        <v>1096</v>
      </c>
      <c r="F214" s="1" t="s">
        <v>1098</v>
      </c>
      <c r="G214" s="7" t="s">
        <v>9</v>
      </c>
      <c r="H214" s="83" t="s">
        <v>9</v>
      </c>
      <c r="I214" s="83" t="s">
        <v>9</v>
      </c>
      <c r="J214" s="7" t="s">
        <v>9</v>
      </c>
      <c r="K214" s="7" t="s">
        <v>9</v>
      </c>
      <c r="L214" s="24" t="str">
        <f t="shared" si="72"/>
        <v>Arquitetônicos</v>
      </c>
      <c r="M214" s="24" t="str">
        <f t="shared" si="73"/>
        <v>Elementos.de.Ferragens</v>
      </c>
      <c r="N214" s="24" t="str">
        <f t="shared" si="74"/>
        <v>Maçanetas</v>
      </c>
      <c r="O214" s="24" t="str">
        <f t="shared" si="75"/>
        <v>Esférica</v>
      </c>
      <c r="P214" s="19" t="s">
        <v>1099</v>
      </c>
      <c r="Q214" s="19" t="s">
        <v>1100</v>
      </c>
      <c r="R214" s="19" t="s">
        <v>1812</v>
      </c>
      <c r="S214" s="43" t="s">
        <v>9</v>
      </c>
      <c r="T214" s="25" t="str">
        <f t="shared" si="76"/>
        <v>Arquitetônicos</v>
      </c>
      <c r="U214" s="25" t="str">
        <f t="shared" si="77"/>
        <v>Elementos de Ferragens</v>
      </c>
      <c r="V214" s="25" t="str">
        <f t="shared" si="78"/>
        <v>Maçanetas</v>
      </c>
      <c r="W214" s="19" t="s">
        <v>74</v>
      </c>
      <c r="X214" s="57" t="str">
        <f t="shared" si="79"/>
        <v>Key-ARQ-214</v>
      </c>
      <c r="Y214" s="19" t="s">
        <v>1427</v>
      </c>
      <c r="Z214" s="25" t="s">
        <v>9</v>
      </c>
      <c r="AA214" s="25" t="s">
        <v>1350</v>
      </c>
      <c r="AB214" s="25" t="s">
        <v>9</v>
      </c>
      <c r="AC214" s="25" t="s">
        <v>1569</v>
      </c>
      <c r="AD214" s="25" t="s">
        <v>9</v>
      </c>
    </row>
    <row r="215" spans="1:30" ht="6.65" customHeight="1" x14ac:dyDescent="0.4">
      <c r="A215" s="21">
        <v>215</v>
      </c>
      <c r="B215" s="1" t="s">
        <v>1524</v>
      </c>
      <c r="C215" s="1" t="s">
        <v>1525</v>
      </c>
      <c r="D215" s="1" t="s">
        <v>1594</v>
      </c>
      <c r="E215" s="1" t="s">
        <v>1096</v>
      </c>
      <c r="F215" s="1" t="s">
        <v>1118</v>
      </c>
      <c r="G215" s="7" t="s">
        <v>9</v>
      </c>
      <c r="H215" s="83" t="s">
        <v>9</v>
      </c>
      <c r="I215" s="83" t="s">
        <v>9</v>
      </c>
      <c r="J215" s="7" t="s">
        <v>9</v>
      </c>
      <c r="K215" s="7" t="s">
        <v>9</v>
      </c>
      <c r="L215" s="24" t="str">
        <f t="shared" si="72"/>
        <v>Arquitetônicos</v>
      </c>
      <c r="M215" s="24" t="str">
        <f t="shared" si="73"/>
        <v>Elementos.de.Ferragens</v>
      </c>
      <c r="N215" s="24" t="str">
        <f t="shared" si="74"/>
        <v>Maçanetas</v>
      </c>
      <c r="O215" s="24" t="str">
        <f t="shared" si="75"/>
        <v>Saída Emergência</v>
      </c>
      <c r="P215" s="19" t="s">
        <v>1101</v>
      </c>
      <c r="Q215" s="19" t="s">
        <v>1101</v>
      </c>
      <c r="R215" s="19" t="s">
        <v>1813</v>
      </c>
      <c r="S215" s="43" t="s">
        <v>9</v>
      </c>
      <c r="T215" s="25" t="str">
        <f t="shared" si="76"/>
        <v>Arquitetônicos</v>
      </c>
      <c r="U215" s="25" t="str">
        <f t="shared" si="77"/>
        <v>Elementos de Ferragens</v>
      </c>
      <c r="V215" s="25" t="str">
        <f t="shared" si="78"/>
        <v>Maçanetas</v>
      </c>
      <c r="W215" s="19" t="s">
        <v>74</v>
      </c>
      <c r="X215" s="57" t="str">
        <f t="shared" si="79"/>
        <v>Key-ARQ-215</v>
      </c>
      <c r="Y215" s="19" t="s">
        <v>1427</v>
      </c>
      <c r="Z215" s="25" t="s">
        <v>9</v>
      </c>
      <c r="AA215" s="25" t="s">
        <v>1350</v>
      </c>
      <c r="AB215" s="25" t="s">
        <v>9</v>
      </c>
      <c r="AC215" s="25" t="s">
        <v>1569</v>
      </c>
      <c r="AD215" s="25" t="s">
        <v>9</v>
      </c>
    </row>
    <row r="216" spans="1:30" ht="6.65" customHeight="1" x14ac:dyDescent="0.4">
      <c r="A216" s="21">
        <v>216</v>
      </c>
      <c r="B216" s="1" t="s">
        <v>1524</v>
      </c>
      <c r="C216" s="1" t="s">
        <v>1525</v>
      </c>
      <c r="D216" s="1" t="s">
        <v>1594</v>
      </c>
      <c r="E216" s="1" t="s">
        <v>1112</v>
      </c>
      <c r="F216" s="1" t="s">
        <v>1115</v>
      </c>
      <c r="G216" s="7" t="s">
        <v>9</v>
      </c>
      <c r="H216" s="83" t="s">
        <v>9</v>
      </c>
      <c r="I216" s="83" t="s">
        <v>9</v>
      </c>
      <c r="J216" s="7" t="s">
        <v>9</v>
      </c>
      <c r="K216" s="7" t="s">
        <v>9</v>
      </c>
      <c r="L216" s="24" t="str">
        <f t="shared" si="72"/>
        <v>Arquitetônicos</v>
      </c>
      <c r="M216" s="24" t="str">
        <f t="shared" si="73"/>
        <v>Elementos.de.Ferragens</v>
      </c>
      <c r="N216" s="24" t="str">
        <f t="shared" si="74"/>
        <v>Barras Apoio</v>
      </c>
      <c r="O216" s="24" t="str">
        <f t="shared" si="75"/>
        <v>Barra Reta Sanitário</v>
      </c>
      <c r="P216" s="19" t="s">
        <v>1119</v>
      </c>
      <c r="Q216" s="19" t="s">
        <v>1125</v>
      </c>
      <c r="R216" s="19" t="s">
        <v>1814</v>
      </c>
      <c r="S216" s="43" t="s">
        <v>9</v>
      </c>
      <c r="T216" s="25" t="str">
        <f t="shared" si="76"/>
        <v>Arquitetônicos</v>
      </c>
      <c r="U216" s="25" t="str">
        <f t="shared" si="77"/>
        <v>Elementos de Ferragens</v>
      </c>
      <c r="V216" s="25" t="str">
        <f t="shared" si="78"/>
        <v>Barras Apoio</v>
      </c>
      <c r="W216" s="19" t="s">
        <v>74</v>
      </c>
      <c r="X216" s="57" t="str">
        <f t="shared" si="79"/>
        <v>Key-ARQ-216</v>
      </c>
      <c r="Y216" s="19" t="s">
        <v>1427</v>
      </c>
      <c r="Z216" s="25" t="s">
        <v>9</v>
      </c>
      <c r="AA216" s="25" t="s">
        <v>1350</v>
      </c>
      <c r="AB216" s="25" t="s">
        <v>9</v>
      </c>
      <c r="AC216" s="25" t="s">
        <v>1569</v>
      </c>
      <c r="AD216" s="25" t="s">
        <v>9</v>
      </c>
    </row>
    <row r="217" spans="1:30" ht="6.65" customHeight="1" x14ac:dyDescent="0.4">
      <c r="A217" s="21">
        <v>217</v>
      </c>
      <c r="B217" s="1" t="s">
        <v>1524</v>
      </c>
      <c r="C217" s="1" t="s">
        <v>1525</v>
      </c>
      <c r="D217" s="1" t="s">
        <v>1594</v>
      </c>
      <c r="E217" s="1" t="s">
        <v>1112</v>
      </c>
      <c r="F217" s="1" t="s">
        <v>1117</v>
      </c>
      <c r="G217" s="7" t="s">
        <v>9</v>
      </c>
      <c r="H217" s="83" t="s">
        <v>9</v>
      </c>
      <c r="I217" s="83" t="s">
        <v>9</v>
      </c>
      <c r="J217" s="7" t="s">
        <v>9</v>
      </c>
      <c r="K217" s="7" t="s">
        <v>9</v>
      </c>
      <c r="L217" s="24" t="str">
        <f t="shared" si="72"/>
        <v>Arquitetônicos</v>
      </c>
      <c r="M217" s="24" t="str">
        <f t="shared" si="73"/>
        <v>Elementos.de.Ferragens</v>
      </c>
      <c r="N217" s="24" t="str">
        <f t="shared" si="74"/>
        <v>Barras Apoio</v>
      </c>
      <c r="O217" s="24" t="str">
        <f t="shared" si="75"/>
        <v>Barra Chuveiro Sanitário</v>
      </c>
      <c r="P217" s="19" t="s">
        <v>1120</v>
      </c>
      <c r="Q217" s="19" t="s">
        <v>1126</v>
      </c>
      <c r="R217" s="19" t="s">
        <v>1815</v>
      </c>
      <c r="S217" s="43" t="s">
        <v>9</v>
      </c>
      <c r="T217" s="25" t="str">
        <f t="shared" si="76"/>
        <v>Arquitetônicos</v>
      </c>
      <c r="U217" s="25" t="str">
        <f t="shared" si="77"/>
        <v>Elementos de Ferragens</v>
      </c>
      <c r="V217" s="25" t="str">
        <f t="shared" si="78"/>
        <v>Barras Apoio</v>
      </c>
      <c r="W217" s="19" t="s">
        <v>74</v>
      </c>
      <c r="X217" s="57" t="str">
        <f t="shared" si="79"/>
        <v>Key-ARQ-217</v>
      </c>
      <c r="Y217" s="19" t="s">
        <v>1427</v>
      </c>
      <c r="Z217" s="25" t="s">
        <v>9</v>
      </c>
      <c r="AA217" s="25" t="s">
        <v>1350</v>
      </c>
      <c r="AB217" s="25" t="s">
        <v>9</v>
      </c>
      <c r="AC217" s="25" t="s">
        <v>1569</v>
      </c>
      <c r="AD217" s="25" t="s">
        <v>9</v>
      </c>
    </row>
    <row r="218" spans="1:30" ht="6.65" customHeight="1" x14ac:dyDescent="0.4">
      <c r="A218" s="21">
        <v>218</v>
      </c>
      <c r="B218" s="1" t="s">
        <v>1524</v>
      </c>
      <c r="C218" s="1" t="s">
        <v>1525</v>
      </c>
      <c r="D218" s="1" t="s">
        <v>1594</v>
      </c>
      <c r="E218" s="1" t="s">
        <v>1112</v>
      </c>
      <c r="F218" s="1" t="s">
        <v>1111</v>
      </c>
      <c r="G218" s="7" t="s">
        <v>9</v>
      </c>
      <c r="H218" s="83" t="s">
        <v>9</v>
      </c>
      <c r="I218" s="83" t="s">
        <v>9</v>
      </c>
      <c r="J218" s="7" t="s">
        <v>9</v>
      </c>
      <c r="K218" s="7" t="s">
        <v>9</v>
      </c>
      <c r="L218" s="24" t="str">
        <f t="shared" si="72"/>
        <v>Arquitetônicos</v>
      </c>
      <c r="M218" s="24" t="str">
        <f t="shared" si="73"/>
        <v>Elementos.de.Ferragens</v>
      </c>
      <c r="N218" s="24" t="str">
        <f t="shared" si="74"/>
        <v>Barras Apoio</v>
      </c>
      <c r="O218" s="24" t="str">
        <f t="shared" si="75"/>
        <v>Barra Cantonera Sanitária</v>
      </c>
      <c r="P218" s="19" t="s">
        <v>1121</v>
      </c>
      <c r="Q218" s="19" t="s">
        <v>1127</v>
      </c>
      <c r="R218" s="19" t="s">
        <v>1816</v>
      </c>
      <c r="S218" s="43" t="s">
        <v>9</v>
      </c>
      <c r="T218" s="25" t="str">
        <f t="shared" si="76"/>
        <v>Arquitetônicos</v>
      </c>
      <c r="U218" s="25" t="str">
        <f t="shared" si="77"/>
        <v>Elementos de Ferragens</v>
      </c>
      <c r="V218" s="25" t="str">
        <f t="shared" si="78"/>
        <v>Barras Apoio</v>
      </c>
      <c r="W218" s="19" t="s">
        <v>74</v>
      </c>
      <c r="X218" s="57" t="str">
        <f t="shared" si="79"/>
        <v>Key-ARQ-218</v>
      </c>
      <c r="Y218" s="19" t="s">
        <v>1427</v>
      </c>
      <c r="Z218" s="25" t="s">
        <v>9</v>
      </c>
      <c r="AA218" s="25" t="s">
        <v>1350</v>
      </c>
      <c r="AB218" s="25" t="s">
        <v>9</v>
      </c>
      <c r="AC218" s="25" t="s">
        <v>1569</v>
      </c>
      <c r="AD218" s="25" t="s">
        <v>9</v>
      </c>
    </row>
    <row r="219" spans="1:30" ht="6.65" customHeight="1" x14ac:dyDescent="0.4">
      <c r="A219" s="21">
        <v>219</v>
      </c>
      <c r="B219" s="1" t="s">
        <v>1524</v>
      </c>
      <c r="C219" s="1" t="s">
        <v>1525</v>
      </c>
      <c r="D219" s="1" t="s">
        <v>1594</v>
      </c>
      <c r="E219" s="1" t="s">
        <v>1112</v>
      </c>
      <c r="F219" s="1" t="s">
        <v>1113</v>
      </c>
      <c r="G219" s="7" t="s">
        <v>9</v>
      </c>
      <c r="H219" s="83" t="s">
        <v>9</v>
      </c>
      <c r="I219" s="83" t="s">
        <v>9</v>
      </c>
      <c r="J219" s="7" t="s">
        <v>9</v>
      </c>
      <c r="K219" s="7" t="s">
        <v>9</v>
      </c>
      <c r="L219" s="24" t="str">
        <f t="shared" si="72"/>
        <v>Arquitetônicos</v>
      </c>
      <c r="M219" s="24" t="str">
        <f t="shared" si="73"/>
        <v>Elementos.de.Ferragens</v>
      </c>
      <c r="N219" s="24" t="str">
        <f t="shared" si="74"/>
        <v>Barras Apoio</v>
      </c>
      <c r="O219" s="24" t="str">
        <f t="shared" si="75"/>
        <v>Barra Angular Sanitária</v>
      </c>
      <c r="P219" s="19" t="s">
        <v>1122</v>
      </c>
      <c r="Q219" s="19" t="s">
        <v>1129</v>
      </c>
      <c r="R219" s="19" t="s">
        <v>1817</v>
      </c>
      <c r="S219" s="43" t="s">
        <v>9</v>
      </c>
      <c r="T219" s="25" t="str">
        <f t="shared" si="76"/>
        <v>Arquitetônicos</v>
      </c>
      <c r="U219" s="25" t="str">
        <f t="shared" si="77"/>
        <v>Elementos de Ferragens</v>
      </c>
      <c r="V219" s="25" t="str">
        <f t="shared" si="78"/>
        <v>Barras Apoio</v>
      </c>
      <c r="W219" s="19" t="s">
        <v>74</v>
      </c>
      <c r="X219" s="57" t="str">
        <f t="shared" si="79"/>
        <v>Key-ARQ-219</v>
      </c>
      <c r="Y219" s="19" t="s">
        <v>1427</v>
      </c>
      <c r="Z219" s="25" t="s">
        <v>9</v>
      </c>
      <c r="AA219" s="25" t="s">
        <v>1350</v>
      </c>
      <c r="AB219" s="25" t="s">
        <v>9</v>
      </c>
      <c r="AC219" s="25" t="s">
        <v>1569</v>
      </c>
      <c r="AD219" s="25" t="s">
        <v>9</v>
      </c>
    </row>
    <row r="220" spans="1:30" ht="6.65" customHeight="1" x14ac:dyDescent="0.4">
      <c r="A220" s="21">
        <v>220</v>
      </c>
      <c r="B220" s="1" t="s">
        <v>1524</v>
      </c>
      <c r="C220" s="1" t="s">
        <v>1525</v>
      </c>
      <c r="D220" s="1" t="s">
        <v>1594</v>
      </c>
      <c r="E220" s="1" t="s">
        <v>1112</v>
      </c>
      <c r="F220" s="1" t="s">
        <v>1114</v>
      </c>
      <c r="G220" s="7" t="s">
        <v>9</v>
      </c>
      <c r="H220" s="83" t="s">
        <v>9</v>
      </c>
      <c r="I220" s="83" t="s">
        <v>9</v>
      </c>
      <c r="J220" s="7" t="s">
        <v>9</v>
      </c>
      <c r="K220" s="7" t="s">
        <v>9</v>
      </c>
      <c r="L220" s="24" t="str">
        <f t="shared" si="72"/>
        <v>Arquitetônicos</v>
      </c>
      <c r="M220" s="24" t="str">
        <f t="shared" si="73"/>
        <v>Elementos.de.Ferragens</v>
      </c>
      <c r="N220" s="24" t="str">
        <f t="shared" si="74"/>
        <v>Barras Apoio</v>
      </c>
      <c r="O220" s="24" t="str">
        <f t="shared" si="75"/>
        <v>Barra Articulada</v>
      </c>
      <c r="P220" s="19" t="s">
        <v>1123</v>
      </c>
      <c r="Q220" s="19" t="s">
        <v>1130</v>
      </c>
      <c r="R220" s="19" t="s">
        <v>1818</v>
      </c>
      <c r="S220" s="43" t="s">
        <v>9</v>
      </c>
      <c r="T220" s="25" t="str">
        <f t="shared" si="76"/>
        <v>Arquitetônicos</v>
      </c>
      <c r="U220" s="25" t="str">
        <f t="shared" si="77"/>
        <v>Elementos de Ferragens</v>
      </c>
      <c r="V220" s="25" t="str">
        <f t="shared" si="78"/>
        <v>Barras Apoio</v>
      </c>
      <c r="W220" s="19" t="s">
        <v>74</v>
      </c>
      <c r="X220" s="57" t="str">
        <f t="shared" si="79"/>
        <v>Key-ARQ-220</v>
      </c>
      <c r="Y220" s="19" t="s">
        <v>1427</v>
      </c>
      <c r="Z220" s="25" t="s">
        <v>9</v>
      </c>
      <c r="AA220" s="25" t="s">
        <v>1350</v>
      </c>
      <c r="AB220" s="25" t="s">
        <v>9</v>
      </c>
      <c r="AC220" s="25" t="s">
        <v>1569</v>
      </c>
      <c r="AD220" s="25" t="s">
        <v>9</v>
      </c>
    </row>
    <row r="221" spans="1:30" ht="6.65" customHeight="1" x14ac:dyDescent="0.4">
      <c r="A221" s="21">
        <v>221</v>
      </c>
      <c r="B221" s="1" t="s">
        <v>1524</v>
      </c>
      <c r="C221" s="1" t="s">
        <v>1525</v>
      </c>
      <c r="D221" s="1" t="s">
        <v>1594</v>
      </c>
      <c r="E221" s="1" t="s">
        <v>1112</v>
      </c>
      <c r="F221" s="1" t="s">
        <v>1116</v>
      </c>
      <c r="G221" s="7" t="s">
        <v>9</v>
      </c>
      <c r="H221" s="83" t="s">
        <v>9</v>
      </c>
      <c r="I221" s="83" t="s">
        <v>9</v>
      </c>
      <c r="J221" s="7" t="s">
        <v>9</v>
      </c>
      <c r="K221" s="7" t="s">
        <v>9</v>
      </c>
      <c r="L221" s="24" t="str">
        <f t="shared" si="72"/>
        <v>Arquitetônicos</v>
      </c>
      <c r="M221" s="24" t="str">
        <f t="shared" si="73"/>
        <v>Elementos.de.Ferragens</v>
      </c>
      <c r="N221" s="24" t="str">
        <f t="shared" si="74"/>
        <v>Barras Apoio</v>
      </c>
      <c r="O221" s="24" t="str">
        <f t="shared" si="75"/>
        <v>Barra Articulada com Coluna</v>
      </c>
      <c r="P221" s="19" t="s">
        <v>1124</v>
      </c>
      <c r="Q221" s="19" t="s">
        <v>1128</v>
      </c>
      <c r="R221" s="19" t="s">
        <v>1819</v>
      </c>
      <c r="S221" s="43" t="s">
        <v>9</v>
      </c>
      <c r="T221" s="25" t="str">
        <f t="shared" si="76"/>
        <v>Arquitetônicos</v>
      </c>
      <c r="U221" s="25" t="str">
        <f t="shared" si="77"/>
        <v>Elementos de Ferragens</v>
      </c>
      <c r="V221" s="25" t="str">
        <f t="shared" si="78"/>
        <v>Barras Apoio</v>
      </c>
      <c r="W221" s="19" t="s">
        <v>74</v>
      </c>
      <c r="X221" s="57" t="str">
        <f t="shared" si="79"/>
        <v>Key-ARQ-221</v>
      </c>
      <c r="Y221" s="19" t="s">
        <v>1427</v>
      </c>
      <c r="Z221" s="25" t="s">
        <v>9</v>
      </c>
      <c r="AA221" s="25" t="s">
        <v>1350</v>
      </c>
      <c r="AB221" s="25" t="s">
        <v>9</v>
      </c>
      <c r="AC221" s="25" t="s">
        <v>1569</v>
      </c>
      <c r="AD221" s="25" t="s">
        <v>9</v>
      </c>
    </row>
    <row r="222" spans="1:30" ht="6.65" customHeight="1" x14ac:dyDescent="0.4">
      <c r="A222" s="21">
        <v>222</v>
      </c>
      <c r="B222" s="1" t="s">
        <v>1524</v>
      </c>
      <c r="C222" s="1" t="s">
        <v>1525</v>
      </c>
      <c r="D222" s="1" t="s">
        <v>1594</v>
      </c>
      <c r="E222" s="1" t="s">
        <v>951</v>
      </c>
      <c r="F222" s="1" t="s">
        <v>1081</v>
      </c>
      <c r="G222" s="7" t="s">
        <v>9</v>
      </c>
      <c r="H222" s="83" t="s">
        <v>9</v>
      </c>
      <c r="I222" s="83" t="s">
        <v>9</v>
      </c>
      <c r="J222" s="7" t="s">
        <v>9</v>
      </c>
      <c r="K222" s="7" t="s">
        <v>9</v>
      </c>
      <c r="L222" s="24" t="str">
        <f t="shared" si="72"/>
        <v>Arquitetônicos</v>
      </c>
      <c r="M222" s="24" t="str">
        <f t="shared" si="73"/>
        <v>Elementos.de.Ferragens</v>
      </c>
      <c r="N222" s="24" t="str">
        <f t="shared" si="74"/>
        <v>Dobradiças</v>
      </c>
      <c r="O222" s="24" t="str">
        <f t="shared" si="75"/>
        <v>Automática</v>
      </c>
      <c r="P222" s="19" t="s">
        <v>331</v>
      </c>
      <c r="Q222" s="29" t="s">
        <v>332</v>
      </c>
      <c r="R222" s="19" t="s">
        <v>1820</v>
      </c>
      <c r="S222" s="43" t="s">
        <v>9</v>
      </c>
      <c r="T222" s="25" t="str">
        <f t="shared" si="76"/>
        <v>Arquitetônicos</v>
      </c>
      <c r="U222" s="25" t="str">
        <f t="shared" si="77"/>
        <v>Elementos de Ferragens</v>
      </c>
      <c r="V222" s="25" t="str">
        <f t="shared" si="78"/>
        <v>Dobradiças</v>
      </c>
      <c r="W222" s="19" t="s">
        <v>74</v>
      </c>
      <c r="X222" s="57" t="str">
        <f t="shared" si="79"/>
        <v>Key-ARQ-222</v>
      </c>
      <c r="Y222" s="19" t="s">
        <v>1427</v>
      </c>
      <c r="Z222" s="25" t="s">
        <v>9</v>
      </c>
      <c r="AA222" s="25" t="s">
        <v>1350</v>
      </c>
      <c r="AB222" s="25" t="s">
        <v>9</v>
      </c>
      <c r="AC222" s="25" t="s">
        <v>1569</v>
      </c>
      <c r="AD222" s="25" t="s">
        <v>9</v>
      </c>
    </row>
    <row r="223" spans="1:30" ht="6.65" customHeight="1" x14ac:dyDescent="0.4">
      <c r="A223" s="21">
        <v>223</v>
      </c>
      <c r="B223" s="1" t="s">
        <v>1524</v>
      </c>
      <c r="C223" s="1" t="s">
        <v>1525</v>
      </c>
      <c r="D223" s="1" t="s">
        <v>1314</v>
      </c>
      <c r="E223" s="23" t="s">
        <v>1434</v>
      </c>
      <c r="F223" s="23" t="s">
        <v>858</v>
      </c>
      <c r="G223" s="7" t="s">
        <v>9</v>
      </c>
      <c r="H223" s="83" t="s">
        <v>9</v>
      </c>
      <c r="I223" s="83" t="s">
        <v>9</v>
      </c>
      <c r="J223" s="7" t="s">
        <v>9</v>
      </c>
      <c r="K223" s="7" t="s">
        <v>9</v>
      </c>
      <c r="L223" s="24" t="str">
        <f t="shared" si="72"/>
        <v>Arquitetônicos</v>
      </c>
      <c r="M223" s="24" t="str">
        <f t="shared" si="73"/>
        <v>Elementos.de.Bancadas</v>
      </c>
      <c r="N223" s="24" t="str">
        <f t="shared" si="74"/>
        <v>Bancadas Residenciais</v>
      </c>
      <c r="O223" s="24" t="str">
        <f t="shared" si="75"/>
        <v>Bancada Banheiro</v>
      </c>
      <c r="P223" s="19" t="s">
        <v>940</v>
      </c>
      <c r="Q223" s="19" t="s">
        <v>942</v>
      </c>
      <c r="R223" s="19" t="s">
        <v>1821</v>
      </c>
      <c r="S223" s="43" t="s">
        <v>9</v>
      </c>
      <c r="T223" s="25" t="str">
        <f t="shared" si="76"/>
        <v>Arquitetônicos</v>
      </c>
      <c r="U223" s="25" t="str">
        <f t="shared" si="77"/>
        <v>Elementos de Bancadas</v>
      </c>
      <c r="V223" s="25" t="str">
        <f t="shared" si="78"/>
        <v>Bancadas Residenciais</v>
      </c>
      <c r="W223" s="19" t="s">
        <v>74</v>
      </c>
      <c r="X223" s="57" t="str">
        <f t="shared" si="79"/>
        <v>Key-ARQ-223</v>
      </c>
      <c r="Y223" s="19" t="s">
        <v>1537</v>
      </c>
      <c r="Z223" s="25" t="s">
        <v>9</v>
      </c>
      <c r="AA223" s="25" t="s">
        <v>1351</v>
      </c>
      <c r="AB223" s="25" t="s">
        <v>9</v>
      </c>
      <c r="AC223" s="25" t="s">
        <v>1565</v>
      </c>
      <c r="AD223" s="25" t="s">
        <v>9</v>
      </c>
    </row>
    <row r="224" spans="1:30" ht="6.65" customHeight="1" x14ac:dyDescent="0.4">
      <c r="A224" s="21">
        <v>224</v>
      </c>
      <c r="B224" s="1" t="s">
        <v>1524</v>
      </c>
      <c r="C224" s="1" t="s">
        <v>1525</v>
      </c>
      <c r="D224" s="1" t="s">
        <v>1314</v>
      </c>
      <c r="E224" s="23" t="s">
        <v>1434</v>
      </c>
      <c r="F224" s="23" t="s">
        <v>859</v>
      </c>
      <c r="G224" s="7" t="s">
        <v>9</v>
      </c>
      <c r="H224" s="83" t="s">
        <v>9</v>
      </c>
      <c r="I224" s="83" t="s">
        <v>9</v>
      </c>
      <c r="J224" s="7" t="s">
        <v>9</v>
      </c>
      <c r="K224" s="7" t="s">
        <v>9</v>
      </c>
      <c r="L224" s="24" t="str">
        <f t="shared" si="72"/>
        <v>Arquitetônicos</v>
      </c>
      <c r="M224" s="24" t="str">
        <f t="shared" si="73"/>
        <v>Elementos.de.Bancadas</v>
      </c>
      <c r="N224" s="24" t="str">
        <f t="shared" si="74"/>
        <v>Bancadas Residenciais</v>
      </c>
      <c r="O224" s="24" t="str">
        <f t="shared" si="75"/>
        <v>Bancada Cozinha</v>
      </c>
      <c r="P224" s="19" t="s">
        <v>941</v>
      </c>
      <c r="Q224" s="19" t="s">
        <v>943</v>
      </c>
      <c r="R224" s="19" t="s">
        <v>1822</v>
      </c>
      <c r="S224" s="43" t="s">
        <v>9</v>
      </c>
      <c r="T224" s="25" t="str">
        <f t="shared" si="76"/>
        <v>Arquitetônicos</v>
      </c>
      <c r="U224" s="25" t="str">
        <f t="shared" si="77"/>
        <v>Elementos de Bancadas</v>
      </c>
      <c r="V224" s="25" t="str">
        <f t="shared" si="78"/>
        <v>Bancadas Residenciais</v>
      </c>
      <c r="W224" s="19" t="s">
        <v>74</v>
      </c>
      <c r="X224" s="57" t="str">
        <f t="shared" si="79"/>
        <v>Key-ARQ-224</v>
      </c>
      <c r="Y224" s="19" t="s">
        <v>1537</v>
      </c>
      <c r="Z224" s="25" t="s">
        <v>9</v>
      </c>
      <c r="AA224" s="25" t="s">
        <v>1351</v>
      </c>
      <c r="AB224" s="25" t="s">
        <v>9</v>
      </c>
      <c r="AC224" s="25" t="s">
        <v>1565</v>
      </c>
      <c r="AD224" s="25" t="s">
        <v>9</v>
      </c>
    </row>
    <row r="225" spans="1:30" ht="6.65" customHeight="1" x14ac:dyDescent="0.4">
      <c r="A225" s="21">
        <v>225</v>
      </c>
      <c r="B225" s="1" t="s">
        <v>1524</v>
      </c>
      <c r="C225" s="1" t="s">
        <v>1525</v>
      </c>
      <c r="D225" s="1" t="s">
        <v>1314</v>
      </c>
      <c r="E225" s="23" t="s">
        <v>1434</v>
      </c>
      <c r="F225" s="23" t="s">
        <v>1177</v>
      </c>
      <c r="G225" s="7" t="s">
        <v>9</v>
      </c>
      <c r="H225" s="83" t="s">
        <v>9</v>
      </c>
      <c r="I225" s="83" t="s">
        <v>9</v>
      </c>
      <c r="J225" s="7" t="s">
        <v>9</v>
      </c>
      <c r="K225" s="7" t="s">
        <v>9</v>
      </c>
      <c r="L225" s="24" t="str">
        <f t="shared" si="72"/>
        <v>Arquitetônicos</v>
      </c>
      <c r="M225" s="24" t="str">
        <f t="shared" si="73"/>
        <v>Elementos.de.Bancadas</v>
      </c>
      <c r="N225" s="24" t="str">
        <f t="shared" si="74"/>
        <v>Bancadas Residenciais</v>
      </c>
      <c r="O225" s="24" t="str">
        <f t="shared" si="75"/>
        <v>Bancada Bar</v>
      </c>
      <c r="P225" s="19" t="s">
        <v>1176</v>
      </c>
      <c r="Q225" s="19" t="s">
        <v>1175</v>
      </c>
      <c r="R225" s="19" t="s">
        <v>1823</v>
      </c>
      <c r="S225" s="43" t="s">
        <v>9</v>
      </c>
      <c r="T225" s="25" t="str">
        <f t="shared" si="76"/>
        <v>Arquitetônicos</v>
      </c>
      <c r="U225" s="25" t="str">
        <f t="shared" si="77"/>
        <v>Elementos de Bancadas</v>
      </c>
      <c r="V225" s="25" t="str">
        <f t="shared" si="78"/>
        <v>Bancadas Residenciais</v>
      </c>
      <c r="W225" s="19" t="s">
        <v>74</v>
      </c>
      <c r="X225" s="57" t="str">
        <f t="shared" si="79"/>
        <v>Key-ARQ-225</v>
      </c>
      <c r="Y225" s="19" t="s">
        <v>1537</v>
      </c>
      <c r="Z225" s="25" t="s">
        <v>9</v>
      </c>
      <c r="AA225" s="25" t="s">
        <v>1351</v>
      </c>
      <c r="AB225" s="25" t="s">
        <v>9</v>
      </c>
      <c r="AC225" s="25" t="s">
        <v>1565</v>
      </c>
      <c r="AD225" s="25" t="s">
        <v>9</v>
      </c>
    </row>
    <row r="226" spans="1:30" ht="6.65" customHeight="1" x14ac:dyDescent="0.4">
      <c r="A226" s="21">
        <v>226</v>
      </c>
      <c r="B226" s="1" t="s">
        <v>1524</v>
      </c>
      <c r="C226" s="1" t="s">
        <v>1525</v>
      </c>
      <c r="D226" s="1" t="s">
        <v>1314</v>
      </c>
      <c r="E226" s="23" t="s">
        <v>1435</v>
      </c>
      <c r="F226" s="23" t="s">
        <v>2056</v>
      </c>
      <c r="G226" s="7" t="s">
        <v>9</v>
      </c>
      <c r="H226" s="83" t="s">
        <v>9</v>
      </c>
      <c r="I226" s="83" t="s">
        <v>9</v>
      </c>
      <c r="J226" s="7" t="s">
        <v>9</v>
      </c>
      <c r="K226" s="7" t="s">
        <v>9</v>
      </c>
      <c r="L226" s="24" t="str">
        <f t="shared" ref="L226" si="80">CONCATENATE("", C226)</f>
        <v>Arquitetônicos</v>
      </c>
      <c r="M226" s="24" t="str">
        <f t="shared" ref="M226" si="81">CONCATENATE("", D226)</f>
        <v>Elementos.de.Bancadas</v>
      </c>
      <c r="N226" s="24" t="str">
        <f t="shared" ref="N226" si="82">(SUBSTITUTE(SUBSTITUTE(CONCATENATE("",E226),"."," ")," De "," de "))</f>
        <v>Bancadas Laboratoriais</v>
      </c>
      <c r="O226" s="24" t="str">
        <f t="shared" ref="O226" si="83">(SUBSTITUTE(SUBSTITUTE(CONCATENATE("",F226),"."," ")," De "," de "))</f>
        <v>Bancada Ilha</v>
      </c>
      <c r="P226" s="19" t="s">
        <v>2057</v>
      </c>
      <c r="Q226" s="19" t="s">
        <v>2061</v>
      </c>
      <c r="R226" s="19" t="s">
        <v>2065</v>
      </c>
      <c r="S226" s="43" t="s">
        <v>9</v>
      </c>
      <c r="T226" s="25" t="str">
        <f t="shared" ref="T226" si="84">SUBSTITUTE(C226, ".", " ")</f>
        <v>Arquitetônicos</v>
      </c>
      <c r="U226" s="25" t="str">
        <f t="shared" ref="U226" si="85">SUBSTITUTE(D226, ".", " ")</f>
        <v>Elementos de Bancadas</v>
      </c>
      <c r="V226" s="25" t="str">
        <f t="shared" ref="V226" si="86">SUBSTITUTE(E226, ".", " ")</f>
        <v>Bancadas Laboratoriais</v>
      </c>
      <c r="W226" s="19" t="s">
        <v>74</v>
      </c>
      <c r="X226" s="57" t="str">
        <f t="shared" ref="X226" si="87">CONCATENATE("Key-ARQ-",A226)</f>
        <v>Key-ARQ-226</v>
      </c>
      <c r="Y226" s="19" t="s">
        <v>1537</v>
      </c>
      <c r="Z226" s="25" t="s">
        <v>9</v>
      </c>
      <c r="AA226" s="25" t="s">
        <v>1351</v>
      </c>
      <c r="AB226" s="25" t="s">
        <v>9</v>
      </c>
      <c r="AC226" s="25" t="s">
        <v>1565</v>
      </c>
      <c r="AD226" s="25" t="s">
        <v>9</v>
      </c>
    </row>
    <row r="227" spans="1:30" ht="6.65" customHeight="1" x14ac:dyDescent="0.4">
      <c r="A227" s="21">
        <v>227</v>
      </c>
      <c r="B227" s="1" t="s">
        <v>1524</v>
      </c>
      <c r="C227" s="1" t="s">
        <v>1525</v>
      </c>
      <c r="D227" s="1" t="s">
        <v>1314</v>
      </c>
      <c r="E227" s="23" t="s">
        <v>1435</v>
      </c>
      <c r="F227" s="23" t="s">
        <v>2055</v>
      </c>
      <c r="G227" s="7" t="s">
        <v>9</v>
      </c>
      <c r="H227" s="83" t="s">
        <v>9</v>
      </c>
      <c r="I227" s="83" t="s">
        <v>9</v>
      </c>
      <c r="J227" s="7" t="s">
        <v>9</v>
      </c>
      <c r="K227" s="7" t="s">
        <v>9</v>
      </c>
      <c r="L227" s="24" t="str">
        <f t="shared" si="72"/>
        <v>Arquitetônicos</v>
      </c>
      <c r="M227" s="24" t="str">
        <f t="shared" si="73"/>
        <v>Elementos.de.Bancadas</v>
      </c>
      <c r="N227" s="24" t="str">
        <f t="shared" si="74"/>
        <v>Bancadas Laboratoriais</v>
      </c>
      <c r="O227" s="24" t="str">
        <f t="shared" si="75"/>
        <v>Bancada Seca</v>
      </c>
      <c r="P227" s="19" t="s">
        <v>2058</v>
      </c>
      <c r="Q227" s="19" t="s">
        <v>2062</v>
      </c>
      <c r="R227" s="19" t="s">
        <v>2066</v>
      </c>
      <c r="S227" s="43" t="s">
        <v>9</v>
      </c>
      <c r="T227" s="25" t="str">
        <f t="shared" si="76"/>
        <v>Arquitetônicos</v>
      </c>
      <c r="U227" s="25" t="str">
        <f t="shared" si="77"/>
        <v>Elementos de Bancadas</v>
      </c>
      <c r="V227" s="25" t="str">
        <f t="shared" si="78"/>
        <v>Bancadas Laboratoriais</v>
      </c>
      <c r="W227" s="19" t="s">
        <v>74</v>
      </c>
      <c r="X227" s="57" t="str">
        <f t="shared" si="79"/>
        <v>Key-ARQ-227</v>
      </c>
      <c r="Y227" s="19" t="s">
        <v>1537</v>
      </c>
      <c r="Z227" s="25" t="s">
        <v>9</v>
      </c>
      <c r="AA227" s="25" t="s">
        <v>1351</v>
      </c>
      <c r="AB227" s="25" t="s">
        <v>9</v>
      </c>
      <c r="AC227" s="25" t="s">
        <v>1565</v>
      </c>
      <c r="AD227" s="25" t="s">
        <v>9</v>
      </c>
    </row>
    <row r="228" spans="1:30" ht="6.65" customHeight="1" x14ac:dyDescent="0.4">
      <c r="A228" s="21">
        <v>228</v>
      </c>
      <c r="B228" s="1" t="s">
        <v>1524</v>
      </c>
      <c r="C228" s="1" t="s">
        <v>1525</v>
      </c>
      <c r="D228" s="1" t="s">
        <v>1314</v>
      </c>
      <c r="E228" s="23" t="s">
        <v>1435</v>
      </c>
      <c r="F228" s="23" t="s">
        <v>938</v>
      </c>
      <c r="G228" s="7" t="s">
        <v>9</v>
      </c>
      <c r="H228" s="83" t="s">
        <v>9</v>
      </c>
      <c r="I228" s="83" t="s">
        <v>9</v>
      </c>
      <c r="J228" s="7" t="s">
        <v>9</v>
      </c>
      <c r="K228" s="7" t="s">
        <v>9</v>
      </c>
      <c r="L228" s="24" t="str">
        <f t="shared" si="72"/>
        <v>Arquitetônicos</v>
      </c>
      <c r="M228" s="24" t="str">
        <f t="shared" si="73"/>
        <v>Elementos.de.Bancadas</v>
      </c>
      <c r="N228" s="24" t="str">
        <f t="shared" si="74"/>
        <v>Bancadas Laboratoriais</v>
      </c>
      <c r="O228" s="24" t="str">
        <f t="shared" si="75"/>
        <v>Bancada Química</v>
      </c>
      <c r="P228" s="19" t="s">
        <v>2059</v>
      </c>
      <c r="Q228" s="19" t="s">
        <v>2063</v>
      </c>
      <c r="R228" s="19" t="s">
        <v>2067</v>
      </c>
      <c r="S228" s="43" t="s">
        <v>9</v>
      </c>
      <c r="T228" s="25" t="str">
        <f t="shared" si="76"/>
        <v>Arquitetônicos</v>
      </c>
      <c r="U228" s="25" t="str">
        <f t="shared" si="77"/>
        <v>Elementos de Bancadas</v>
      </c>
      <c r="V228" s="25" t="str">
        <f t="shared" si="78"/>
        <v>Bancadas Laboratoriais</v>
      </c>
      <c r="W228" s="19" t="s">
        <v>74</v>
      </c>
      <c r="X228" s="57" t="str">
        <f t="shared" si="79"/>
        <v>Key-ARQ-228</v>
      </c>
      <c r="Y228" s="19" t="s">
        <v>1537</v>
      </c>
      <c r="Z228" s="25" t="s">
        <v>9</v>
      </c>
      <c r="AA228" s="25" t="s">
        <v>1351</v>
      </c>
      <c r="AB228" s="25" t="s">
        <v>9</v>
      </c>
      <c r="AC228" s="25" t="s">
        <v>1565</v>
      </c>
      <c r="AD228" s="25" t="s">
        <v>9</v>
      </c>
    </row>
    <row r="229" spans="1:30" ht="6.65" customHeight="1" x14ac:dyDescent="0.4">
      <c r="A229" s="21">
        <v>229</v>
      </c>
      <c r="B229" s="1" t="s">
        <v>1524</v>
      </c>
      <c r="C229" s="1" t="s">
        <v>1525</v>
      </c>
      <c r="D229" s="1" t="s">
        <v>1314</v>
      </c>
      <c r="E229" s="23" t="s">
        <v>1435</v>
      </c>
      <c r="F229" s="23" t="s">
        <v>939</v>
      </c>
      <c r="G229" s="7" t="s">
        <v>9</v>
      </c>
      <c r="H229" s="83" t="s">
        <v>9</v>
      </c>
      <c r="I229" s="83" t="s">
        <v>9</v>
      </c>
      <c r="J229" s="7" t="s">
        <v>9</v>
      </c>
      <c r="K229" s="7" t="s">
        <v>9</v>
      </c>
      <c r="L229" s="24" t="str">
        <f t="shared" si="72"/>
        <v>Arquitetônicos</v>
      </c>
      <c r="M229" s="24" t="str">
        <f t="shared" si="73"/>
        <v>Elementos.de.Bancadas</v>
      </c>
      <c r="N229" s="24" t="str">
        <f t="shared" si="74"/>
        <v>Bancadas Laboratoriais</v>
      </c>
      <c r="O229" s="24" t="str">
        <f t="shared" si="75"/>
        <v>Bancada Biológica</v>
      </c>
      <c r="P229" s="19" t="s">
        <v>2060</v>
      </c>
      <c r="Q229" s="19" t="s">
        <v>2064</v>
      </c>
      <c r="R229" s="19" t="s">
        <v>2068</v>
      </c>
      <c r="S229" s="43" t="s">
        <v>9</v>
      </c>
      <c r="T229" s="25" t="str">
        <f t="shared" si="76"/>
        <v>Arquitetônicos</v>
      </c>
      <c r="U229" s="25" t="str">
        <f t="shared" si="77"/>
        <v>Elementos de Bancadas</v>
      </c>
      <c r="V229" s="25" t="str">
        <f t="shared" si="78"/>
        <v>Bancadas Laboratoriais</v>
      </c>
      <c r="W229" s="19" t="s">
        <v>74</v>
      </c>
      <c r="X229" s="57" t="str">
        <f t="shared" si="79"/>
        <v>Key-ARQ-229</v>
      </c>
      <c r="Y229" s="19" t="s">
        <v>1537</v>
      </c>
      <c r="Z229" s="25" t="s">
        <v>9</v>
      </c>
      <c r="AA229" s="25" t="s">
        <v>1351</v>
      </c>
      <c r="AB229" s="25" t="s">
        <v>9</v>
      </c>
      <c r="AC229" s="25" t="s">
        <v>1565</v>
      </c>
      <c r="AD229" s="25" t="s">
        <v>9</v>
      </c>
    </row>
    <row r="230" spans="1:30" ht="6.65" customHeight="1" x14ac:dyDescent="0.4">
      <c r="A230" s="21">
        <v>230</v>
      </c>
      <c r="B230" s="1" t="s">
        <v>1524</v>
      </c>
      <c r="C230" s="1" t="s">
        <v>1525</v>
      </c>
      <c r="D230" s="1" t="s">
        <v>1315</v>
      </c>
      <c r="E230" s="1" t="s">
        <v>952</v>
      </c>
      <c r="F230" s="1" t="s">
        <v>1481</v>
      </c>
      <c r="G230" s="7" t="s">
        <v>9</v>
      </c>
      <c r="H230" s="83" t="s">
        <v>9</v>
      </c>
      <c r="I230" s="83" t="s">
        <v>9</v>
      </c>
      <c r="J230" s="7" t="s">
        <v>9</v>
      </c>
      <c r="K230" s="7" t="s">
        <v>9</v>
      </c>
      <c r="L230" s="24" t="str">
        <f t="shared" si="72"/>
        <v>Arquitetônicos</v>
      </c>
      <c r="M230" s="24" t="str">
        <f t="shared" si="73"/>
        <v>Elementos.de.Esquadrias</v>
      </c>
      <c r="N230" s="24" t="str">
        <f t="shared" si="74"/>
        <v>Janelas</v>
      </c>
      <c r="O230" s="24" t="str">
        <f t="shared" si="75"/>
        <v>Janela Abertura</v>
      </c>
      <c r="P230" s="19" t="s">
        <v>1139</v>
      </c>
      <c r="Q230" s="29" t="s">
        <v>1138</v>
      </c>
      <c r="R230" s="19" t="s">
        <v>1824</v>
      </c>
      <c r="S230" s="43" t="s">
        <v>9</v>
      </c>
      <c r="T230" s="25" t="str">
        <f t="shared" si="76"/>
        <v>Arquitetônicos</v>
      </c>
      <c r="U230" s="25" t="str">
        <f t="shared" si="77"/>
        <v>Elementos de Esquadrias</v>
      </c>
      <c r="V230" s="25" t="str">
        <f t="shared" si="78"/>
        <v>Janelas</v>
      </c>
      <c r="W230" s="19" t="s">
        <v>74</v>
      </c>
      <c r="X230" s="57" t="str">
        <f t="shared" si="79"/>
        <v>Key-ARQ-230</v>
      </c>
      <c r="Y230" s="97" t="s">
        <v>2046</v>
      </c>
      <c r="Z230" s="25" t="s">
        <v>9</v>
      </c>
      <c r="AA230" s="97" t="s">
        <v>2047</v>
      </c>
      <c r="AB230" s="25" t="s">
        <v>9</v>
      </c>
      <c r="AC230" s="25" t="s">
        <v>1560</v>
      </c>
      <c r="AD230" s="25" t="s">
        <v>9</v>
      </c>
    </row>
    <row r="231" spans="1:30" ht="6.65" customHeight="1" x14ac:dyDescent="0.4">
      <c r="A231" s="21">
        <v>231</v>
      </c>
      <c r="B231" s="1" t="s">
        <v>1524</v>
      </c>
      <c r="C231" s="1" t="s">
        <v>1525</v>
      </c>
      <c r="D231" s="1" t="s">
        <v>1315</v>
      </c>
      <c r="E231" s="1" t="s">
        <v>952</v>
      </c>
      <c r="F231" s="1" t="s">
        <v>698</v>
      </c>
      <c r="G231" s="7" t="s">
        <v>9</v>
      </c>
      <c r="H231" s="83" t="s">
        <v>9</v>
      </c>
      <c r="I231" s="83" t="s">
        <v>9</v>
      </c>
      <c r="J231" s="7" t="s">
        <v>9</v>
      </c>
      <c r="K231" s="7" t="s">
        <v>9</v>
      </c>
      <c r="L231" s="24" t="str">
        <f t="shared" si="72"/>
        <v>Arquitetônicos</v>
      </c>
      <c r="M231" s="24" t="str">
        <f t="shared" si="73"/>
        <v>Elementos.de.Esquadrias</v>
      </c>
      <c r="N231" s="24" t="str">
        <f t="shared" si="74"/>
        <v>Janelas</v>
      </c>
      <c r="O231" s="24" t="str">
        <f t="shared" si="75"/>
        <v>Janela Fixa</v>
      </c>
      <c r="P231" s="19" t="s">
        <v>751</v>
      </c>
      <c r="Q231" s="29" t="s">
        <v>758</v>
      </c>
      <c r="R231" s="19" t="s">
        <v>1825</v>
      </c>
      <c r="S231" s="43" t="s">
        <v>9</v>
      </c>
      <c r="T231" s="25" t="str">
        <f t="shared" si="76"/>
        <v>Arquitetônicos</v>
      </c>
      <c r="U231" s="25" t="str">
        <f t="shared" si="77"/>
        <v>Elementos de Esquadrias</v>
      </c>
      <c r="V231" s="25" t="str">
        <f t="shared" si="78"/>
        <v>Janelas</v>
      </c>
      <c r="W231" s="19" t="s">
        <v>74</v>
      </c>
      <c r="X231" s="57" t="str">
        <f t="shared" si="79"/>
        <v>Key-ARQ-231</v>
      </c>
      <c r="Y231" s="97" t="s">
        <v>2046</v>
      </c>
      <c r="Z231" s="25" t="s">
        <v>9</v>
      </c>
      <c r="AA231" s="97" t="s">
        <v>2047</v>
      </c>
      <c r="AB231" s="25" t="s">
        <v>9</v>
      </c>
      <c r="AC231" s="25" t="s">
        <v>1560</v>
      </c>
      <c r="AD231" s="25" t="s">
        <v>9</v>
      </c>
    </row>
    <row r="232" spans="1:30" ht="6.65" customHeight="1" x14ac:dyDescent="0.4">
      <c r="A232" s="21">
        <v>232</v>
      </c>
      <c r="B232" s="1" t="s">
        <v>1524</v>
      </c>
      <c r="C232" s="1" t="s">
        <v>1525</v>
      </c>
      <c r="D232" s="1" t="s">
        <v>1315</v>
      </c>
      <c r="E232" s="1" t="s">
        <v>952</v>
      </c>
      <c r="F232" s="1" t="s">
        <v>699</v>
      </c>
      <c r="G232" s="7" t="s">
        <v>9</v>
      </c>
      <c r="H232" s="83" t="s">
        <v>9</v>
      </c>
      <c r="I232" s="83" t="s">
        <v>9</v>
      </c>
      <c r="J232" s="7" t="s">
        <v>9</v>
      </c>
      <c r="K232" s="7" t="s">
        <v>9</v>
      </c>
      <c r="L232" s="24" t="str">
        <f t="shared" si="72"/>
        <v>Arquitetônicos</v>
      </c>
      <c r="M232" s="24" t="str">
        <f t="shared" si="73"/>
        <v>Elementos.de.Esquadrias</v>
      </c>
      <c r="N232" s="24" t="str">
        <f t="shared" si="74"/>
        <v>Janelas</v>
      </c>
      <c r="O232" s="24" t="str">
        <f t="shared" si="75"/>
        <v>Janela Batente</v>
      </c>
      <c r="P232" s="19" t="s">
        <v>752</v>
      </c>
      <c r="Q232" s="29" t="s">
        <v>806</v>
      </c>
      <c r="R232" s="19" t="s">
        <v>1826</v>
      </c>
      <c r="S232" s="43" t="s">
        <v>9</v>
      </c>
      <c r="T232" s="25" t="str">
        <f t="shared" si="76"/>
        <v>Arquitetônicos</v>
      </c>
      <c r="U232" s="25" t="str">
        <f t="shared" si="77"/>
        <v>Elementos de Esquadrias</v>
      </c>
      <c r="V232" s="25" t="str">
        <f t="shared" si="78"/>
        <v>Janelas</v>
      </c>
      <c r="W232" s="19" t="s">
        <v>74</v>
      </c>
      <c r="X232" s="57" t="str">
        <f t="shared" si="79"/>
        <v>Key-ARQ-232</v>
      </c>
      <c r="Y232" s="97" t="s">
        <v>2046</v>
      </c>
      <c r="Z232" s="25" t="s">
        <v>9</v>
      </c>
      <c r="AA232" s="97" t="s">
        <v>2047</v>
      </c>
      <c r="AB232" s="25" t="s">
        <v>9</v>
      </c>
      <c r="AC232" s="25" t="s">
        <v>1560</v>
      </c>
      <c r="AD232" s="25" t="s">
        <v>9</v>
      </c>
    </row>
    <row r="233" spans="1:30" ht="6.65" customHeight="1" x14ac:dyDescent="0.4">
      <c r="A233" s="21">
        <v>233</v>
      </c>
      <c r="B233" s="1" t="s">
        <v>1524</v>
      </c>
      <c r="C233" s="1" t="s">
        <v>1525</v>
      </c>
      <c r="D233" s="1" t="s">
        <v>1315</v>
      </c>
      <c r="E233" s="1" t="s">
        <v>952</v>
      </c>
      <c r="F233" s="1" t="s">
        <v>724</v>
      </c>
      <c r="G233" s="7" t="s">
        <v>9</v>
      </c>
      <c r="H233" s="83" t="s">
        <v>9</v>
      </c>
      <c r="I233" s="83" t="s">
        <v>9</v>
      </c>
      <c r="J233" s="7" t="s">
        <v>9</v>
      </c>
      <c r="K233" s="7" t="s">
        <v>9</v>
      </c>
      <c r="L233" s="24" t="str">
        <f t="shared" si="72"/>
        <v>Arquitetônicos</v>
      </c>
      <c r="M233" s="24" t="str">
        <f t="shared" si="73"/>
        <v>Elementos.de.Esquadrias</v>
      </c>
      <c r="N233" s="24" t="str">
        <f t="shared" si="74"/>
        <v>Janelas</v>
      </c>
      <c r="O233" s="24" t="str">
        <f t="shared" si="75"/>
        <v>Janela Corrediça</v>
      </c>
      <c r="P233" s="19" t="s">
        <v>753</v>
      </c>
      <c r="Q233" s="29" t="s">
        <v>815</v>
      </c>
      <c r="R233" s="19" t="s">
        <v>1827</v>
      </c>
      <c r="S233" s="43" t="s">
        <v>9</v>
      </c>
      <c r="T233" s="25" t="str">
        <f t="shared" si="76"/>
        <v>Arquitetônicos</v>
      </c>
      <c r="U233" s="25" t="str">
        <f t="shared" si="77"/>
        <v>Elementos de Esquadrias</v>
      </c>
      <c r="V233" s="25" t="str">
        <f t="shared" si="78"/>
        <v>Janelas</v>
      </c>
      <c r="W233" s="19" t="s">
        <v>74</v>
      </c>
      <c r="X233" s="57" t="str">
        <f t="shared" si="79"/>
        <v>Key-ARQ-233</v>
      </c>
      <c r="Y233" s="97" t="s">
        <v>2046</v>
      </c>
      <c r="Z233" s="25" t="s">
        <v>9</v>
      </c>
      <c r="AA233" s="97" t="s">
        <v>2047</v>
      </c>
      <c r="AB233" s="25" t="s">
        <v>9</v>
      </c>
      <c r="AC233" s="25" t="s">
        <v>1560</v>
      </c>
      <c r="AD233" s="25" t="s">
        <v>9</v>
      </c>
    </row>
    <row r="234" spans="1:30" ht="6.65" customHeight="1" x14ac:dyDescent="0.4">
      <c r="A234" s="21">
        <v>234</v>
      </c>
      <c r="B234" s="1" t="s">
        <v>1524</v>
      </c>
      <c r="C234" s="1" t="s">
        <v>1525</v>
      </c>
      <c r="D234" s="1" t="s">
        <v>1315</v>
      </c>
      <c r="E234" s="1" t="s">
        <v>952</v>
      </c>
      <c r="F234" s="1" t="s">
        <v>700</v>
      </c>
      <c r="G234" s="7" t="s">
        <v>9</v>
      </c>
      <c r="H234" s="83" t="s">
        <v>9</v>
      </c>
      <c r="I234" s="83" t="s">
        <v>9</v>
      </c>
      <c r="J234" s="7" t="s">
        <v>9</v>
      </c>
      <c r="K234" s="7" t="s">
        <v>9</v>
      </c>
      <c r="L234" s="24" t="str">
        <f t="shared" si="72"/>
        <v>Arquitetônicos</v>
      </c>
      <c r="M234" s="24" t="str">
        <f t="shared" si="73"/>
        <v>Elementos.de.Esquadrias</v>
      </c>
      <c r="N234" s="24" t="str">
        <f t="shared" si="74"/>
        <v>Janelas</v>
      </c>
      <c r="O234" s="24" t="str">
        <f t="shared" si="75"/>
        <v>Janela Pivotante</v>
      </c>
      <c r="P234" s="19" t="s">
        <v>823</v>
      </c>
      <c r="Q234" s="29" t="s">
        <v>825</v>
      </c>
      <c r="R234" s="19" t="s">
        <v>1828</v>
      </c>
      <c r="S234" s="43" t="s">
        <v>9</v>
      </c>
      <c r="T234" s="25" t="str">
        <f t="shared" si="76"/>
        <v>Arquitetônicos</v>
      </c>
      <c r="U234" s="25" t="str">
        <f t="shared" si="77"/>
        <v>Elementos de Esquadrias</v>
      </c>
      <c r="V234" s="25" t="str">
        <f t="shared" si="78"/>
        <v>Janelas</v>
      </c>
      <c r="W234" s="19" t="s">
        <v>74</v>
      </c>
      <c r="X234" s="57" t="str">
        <f t="shared" si="79"/>
        <v>Key-ARQ-234</v>
      </c>
      <c r="Y234" s="97" t="s">
        <v>2046</v>
      </c>
      <c r="Z234" s="25" t="s">
        <v>9</v>
      </c>
      <c r="AA234" s="97" t="s">
        <v>2047</v>
      </c>
      <c r="AB234" s="25" t="s">
        <v>9</v>
      </c>
      <c r="AC234" s="25" t="s">
        <v>1560</v>
      </c>
      <c r="AD234" s="25" t="s">
        <v>9</v>
      </c>
    </row>
    <row r="235" spans="1:30" ht="6.65" customHeight="1" x14ac:dyDescent="0.4">
      <c r="A235" s="21">
        <v>235</v>
      </c>
      <c r="B235" s="1" t="s">
        <v>1524</v>
      </c>
      <c r="C235" s="1" t="s">
        <v>1525</v>
      </c>
      <c r="D235" s="1" t="s">
        <v>1315</v>
      </c>
      <c r="E235" s="1" t="s">
        <v>952</v>
      </c>
      <c r="F235" s="1" t="s">
        <v>802</v>
      </c>
      <c r="G235" s="7" t="s">
        <v>9</v>
      </c>
      <c r="H235" s="83" t="s">
        <v>9</v>
      </c>
      <c r="I235" s="83" t="s">
        <v>9</v>
      </c>
      <c r="J235" s="7" t="s">
        <v>9</v>
      </c>
      <c r="K235" s="7" t="s">
        <v>9</v>
      </c>
      <c r="L235" s="24" t="str">
        <f t="shared" si="72"/>
        <v>Arquitetônicos</v>
      </c>
      <c r="M235" s="24" t="str">
        <f t="shared" si="73"/>
        <v>Elementos.de.Esquadrias</v>
      </c>
      <c r="N235" s="24" t="str">
        <f t="shared" si="74"/>
        <v>Janelas</v>
      </c>
      <c r="O235" s="24" t="str">
        <f t="shared" si="75"/>
        <v>Janela Guilhotina</v>
      </c>
      <c r="P235" s="19" t="s">
        <v>803</v>
      </c>
      <c r="Q235" s="29" t="s">
        <v>814</v>
      </c>
      <c r="R235" s="19" t="s">
        <v>1829</v>
      </c>
      <c r="S235" s="43" t="s">
        <v>9</v>
      </c>
      <c r="T235" s="25" t="str">
        <f t="shared" si="76"/>
        <v>Arquitetônicos</v>
      </c>
      <c r="U235" s="25" t="str">
        <f t="shared" si="77"/>
        <v>Elementos de Esquadrias</v>
      </c>
      <c r="V235" s="25" t="str">
        <f t="shared" si="78"/>
        <v>Janelas</v>
      </c>
      <c r="W235" s="19" t="s">
        <v>74</v>
      </c>
      <c r="X235" s="57" t="str">
        <f t="shared" si="79"/>
        <v>Key-ARQ-235</v>
      </c>
      <c r="Y235" s="97" t="s">
        <v>2046</v>
      </c>
      <c r="Z235" s="25" t="s">
        <v>9</v>
      </c>
      <c r="AA235" s="97" t="s">
        <v>2047</v>
      </c>
      <c r="AB235" s="25" t="s">
        <v>9</v>
      </c>
      <c r="AC235" s="25" t="s">
        <v>1560</v>
      </c>
      <c r="AD235" s="25" t="s">
        <v>9</v>
      </c>
    </row>
    <row r="236" spans="1:30" ht="6.65" customHeight="1" x14ac:dyDescent="0.4">
      <c r="A236" s="21">
        <v>236</v>
      </c>
      <c r="B236" s="1" t="s">
        <v>1524</v>
      </c>
      <c r="C236" s="1" t="s">
        <v>1525</v>
      </c>
      <c r="D236" s="1" t="s">
        <v>1315</v>
      </c>
      <c r="E236" s="1" t="s">
        <v>952</v>
      </c>
      <c r="F236" s="1" t="s">
        <v>726</v>
      </c>
      <c r="G236" s="7" t="s">
        <v>9</v>
      </c>
      <c r="H236" s="83" t="s">
        <v>9</v>
      </c>
      <c r="I236" s="83" t="s">
        <v>9</v>
      </c>
      <c r="J236" s="7" t="s">
        <v>9</v>
      </c>
      <c r="K236" s="7" t="s">
        <v>9</v>
      </c>
      <c r="L236" s="24" t="str">
        <f t="shared" si="72"/>
        <v>Arquitetônicos</v>
      </c>
      <c r="M236" s="24" t="str">
        <f t="shared" si="73"/>
        <v>Elementos.de.Esquadrias</v>
      </c>
      <c r="N236" s="24" t="str">
        <f t="shared" si="74"/>
        <v>Janelas</v>
      </c>
      <c r="O236" s="24" t="str">
        <f t="shared" si="75"/>
        <v>Janela MaximAr</v>
      </c>
      <c r="P236" s="19" t="s">
        <v>812</v>
      </c>
      <c r="Q236" s="29" t="s">
        <v>813</v>
      </c>
      <c r="R236" s="19" t="s">
        <v>1830</v>
      </c>
      <c r="S236" s="43" t="s">
        <v>9</v>
      </c>
      <c r="T236" s="25" t="str">
        <f t="shared" si="76"/>
        <v>Arquitetônicos</v>
      </c>
      <c r="U236" s="25" t="str">
        <f t="shared" si="77"/>
        <v>Elementos de Esquadrias</v>
      </c>
      <c r="V236" s="25" t="str">
        <f t="shared" si="78"/>
        <v>Janelas</v>
      </c>
      <c r="W236" s="19" t="s">
        <v>74</v>
      </c>
      <c r="X236" s="57" t="str">
        <f t="shared" si="79"/>
        <v>Key-ARQ-236</v>
      </c>
      <c r="Y236" s="97" t="s">
        <v>2046</v>
      </c>
      <c r="Z236" s="25" t="s">
        <v>9</v>
      </c>
      <c r="AA236" s="97" t="s">
        <v>2047</v>
      </c>
      <c r="AB236" s="25" t="s">
        <v>9</v>
      </c>
      <c r="AC236" s="25" t="s">
        <v>1560</v>
      </c>
      <c r="AD236" s="25" t="s">
        <v>9</v>
      </c>
    </row>
    <row r="237" spans="1:30" ht="6.65" customHeight="1" x14ac:dyDescent="0.4">
      <c r="A237" s="21">
        <v>237</v>
      </c>
      <c r="B237" s="1" t="s">
        <v>1524</v>
      </c>
      <c r="C237" s="1" t="s">
        <v>1525</v>
      </c>
      <c r="D237" s="1" t="s">
        <v>1315</v>
      </c>
      <c r="E237" s="1" t="s">
        <v>952</v>
      </c>
      <c r="F237" s="1" t="s">
        <v>701</v>
      </c>
      <c r="G237" s="7" t="s">
        <v>9</v>
      </c>
      <c r="H237" s="83" t="s">
        <v>9</v>
      </c>
      <c r="I237" s="83" t="s">
        <v>9</v>
      </c>
      <c r="J237" s="7" t="s">
        <v>9</v>
      </c>
      <c r="K237" s="7" t="s">
        <v>9</v>
      </c>
      <c r="L237" s="24" t="str">
        <f t="shared" si="72"/>
        <v>Arquitetônicos</v>
      </c>
      <c r="M237" s="24" t="str">
        <f t="shared" si="73"/>
        <v>Elementos.de.Esquadrias</v>
      </c>
      <c r="N237" s="24" t="str">
        <f t="shared" si="74"/>
        <v>Janelas</v>
      </c>
      <c r="O237" s="24" t="str">
        <f t="shared" si="75"/>
        <v>Janela Basculante</v>
      </c>
      <c r="P237" s="19" t="s">
        <v>804</v>
      </c>
      <c r="Q237" s="29" t="s">
        <v>805</v>
      </c>
      <c r="R237" s="19" t="s">
        <v>1831</v>
      </c>
      <c r="S237" s="43" t="s">
        <v>9</v>
      </c>
      <c r="T237" s="25" t="str">
        <f t="shared" si="76"/>
        <v>Arquitetônicos</v>
      </c>
      <c r="U237" s="25" t="str">
        <f t="shared" si="77"/>
        <v>Elementos de Esquadrias</v>
      </c>
      <c r="V237" s="25" t="str">
        <f t="shared" si="78"/>
        <v>Janelas</v>
      </c>
      <c r="W237" s="19" t="s">
        <v>74</v>
      </c>
      <c r="X237" s="57" t="str">
        <f t="shared" si="79"/>
        <v>Key-ARQ-237</v>
      </c>
      <c r="Y237" s="97" t="s">
        <v>2046</v>
      </c>
      <c r="Z237" s="25" t="s">
        <v>9</v>
      </c>
      <c r="AA237" s="97" t="s">
        <v>2047</v>
      </c>
      <c r="AB237" s="25" t="s">
        <v>9</v>
      </c>
      <c r="AC237" s="25" t="s">
        <v>1560</v>
      </c>
      <c r="AD237" s="25" t="s">
        <v>9</v>
      </c>
    </row>
    <row r="238" spans="1:30" ht="6.65" customHeight="1" x14ac:dyDescent="0.4">
      <c r="A238" s="21">
        <v>238</v>
      </c>
      <c r="B238" s="1" t="s">
        <v>1524</v>
      </c>
      <c r="C238" s="1" t="s">
        <v>1525</v>
      </c>
      <c r="D238" s="1" t="s">
        <v>1315</v>
      </c>
      <c r="E238" s="1" t="s">
        <v>952</v>
      </c>
      <c r="F238" s="1" t="s">
        <v>819</v>
      </c>
      <c r="G238" s="7" t="s">
        <v>9</v>
      </c>
      <c r="H238" s="83" t="s">
        <v>9</v>
      </c>
      <c r="I238" s="83" t="s">
        <v>9</v>
      </c>
      <c r="J238" s="7" t="s">
        <v>9</v>
      </c>
      <c r="K238" s="7" t="s">
        <v>9</v>
      </c>
      <c r="L238" s="24" t="str">
        <f t="shared" si="72"/>
        <v>Arquitetônicos</v>
      </c>
      <c r="M238" s="24" t="str">
        <f t="shared" si="73"/>
        <v>Elementos.de.Esquadrias</v>
      </c>
      <c r="N238" s="24" t="str">
        <f t="shared" si="74"/>
        <v>Janelas</v>
      </c>
      <c r="O238" s="24" t="str">
        <f t="shared" si="75"/>
        <v>Janela Oscilobatente</v>
      </c>
      <c r="P238" s="19" t="s">
        <v>821</v>
      </c>
      <c r="Q238" s="29" t="s">
        <v>820</v>
      </c>
      <c r="R238" s="19" t="s">
        <v>1832</v>
      </c>
      <c r="S238" s="43" t="s">
        <v>9</v>
      </c>
      <c r="T238" s="25" t="str">
        <f t="shared" si="76"/>
        <v>Arquitetônicos</v>
      </c>
      <c r="U238" s="25" t="str">
        <f t="shared" si="77"/>
        <v>Elementos de Esquadrias</v>
      </c>
      <c r="V238" s="25" t="str">
        <f t="shared" si="78"/>
        <v>Janelas</v>
      </c>
      <c r="W238" s="19" t="s">
        <v>74</v>
      </c>
      <c r="X238" s="57" t="str">
        <f t="shared" si="79"/>
        <v>Key-ARQ-238</v>
      </c>
      <c r="Y238" s="97" t="s">
        <v>2046</v>
      </c>
      <c r="Z238" s="25" t="s">
        <v>9</v>
      </c>
      <c r="AA238" s="97" t="s">
        <v>2047</v>
      </c>
      <c r="AB238" s="25" t="s">
        <v>9</v>
      </c>
      <c r="AC238" s="25" t="s">
        <v>1560</v>
      </c>
      <c r="AD238" s="25" t="s">
        <v>9</v>
      </c>
    </row>
    <row r="239" spans="1:30" ht="6.65" customHeight="1" x14ac:dyDescent="0.4">
      <c r="A239" s="21">
        <v>239</v>
      </c>
      <c r="B239" s="1" t="s">
        <v>1524</v>
      </c>
      <c r="C239" s="1" t="s">
        <v>1525</v>
      </c>
      <c r="D239" s="1" t="s">
        <v>1315</v>
      </c>
      <c r="E239" s="1" t="s">
        <v>952</v>
      </c>
      <c r="F239" s="1" t="s">
        <v>772</v>
      </c>
      <c r="G239" s="7" t="s">
        <v>9</v>
      </c>
      <c r="H239" s="83" t="s">
        <v>9</v>
      </c>
      <c r="I239" s="83" t="s">
        <v>9</v>
      </c>
      <c r="J239" s="7" t="s">
        <v>9</v>
      </c>
      <c r="K239" s="7" t="s">
        <v>9</v>
      </c>
      <c r="L239" s="24" t="str">
        <f t="shared" si="72"/>
        <v>Arquitetônicos</v>
      </c>
      <c r="M239" s="24" t="str">
        <f t="shared" si="73"/>
        <v>Elementos.de.Esquadrias</v>
      </c>
      <c r="N239" s="24" t="str">
        <f t="shared" si="74"/>
        <v>Janelas</v>
      </c>
      <c r="O239" s="24" t="str">
        <f t="shared" si="75"/>
        <v>Janela Telescópica</v>
      </c>
      <c r="P239" s="19" t="s">
        <v>773</v>
      </c>
      <c r="Q239" s="29" t="s">
        <v>774</v>
      </c>
      <c r="R239" s="19" t="s">
        <v>1833</v>
      </c>
      <c r="S239" s="43" t="s">
        <v>9</v>
      </c>
      <c r="T239" s="25" t="str">
        <f t="shared" si="76"/>
        <v>Arquitetônicos</v>
      </c>
      <c r="U239" s="25" t="str">
        <f t="shared" si="77"/>
        <v>Elementos de Esquadrias</v>
      </c>
      <c r="V239" s="25" t="str">
        <f t="shared" si="78"/>
        <v>Janelas</v>
      </c>
      <c r="W239" s="19" t="s">
        <v>74</v>
      </c>
      <c r="X239" s="57" t="str">
        <f t="shared" si="79"/>
        <v>Key-ARQ-239</v>
      </c>
      <c r="Y239" s="97" t="s">
        <v>2046</v>
      </c>
      <c r="Z239" s="25" t="s">
        <v>9</v>
      </c>
      <c r="AA239" s="97" t="s">
        <v>2047</v>
      </c>
      <c r="AB239" s="25" t="s">
        <v>9</v>
      </c>
      <c r="AC239" s="25" t="s">
        <v>1560</v>
      </c>
      <c r="AD239" s="25" t="s">
        <v>9</v>
      </c>
    </row>
    <row r="240" spans="1:30" ht="6.65" customHeight="1" x14ac:dyDescent="0.4">
      <c r="A240" s="21">
        <v>240</v>
      </c>
      <c r="B240" s="1" t="s">
        <v>1524</v>
      </c>
      <c r="C240" s="1" t="s">
        <v>1525</v>
      </c>
      <c r="D240" s="1" t="s">
        <v>1315</v>
      </c>
      <c r="E240" s="1" t="s">
        <v>952</v>
      </c>
      <c r="F240" s="1" t="s">
        <v>826</v>
      </c>
      <c r="G240" s="7" t="s">
        <v>9</v>
      </c>
      <c r="H240" s="83" t="s">
        <v>9</v>
      </c>
      <c r="I240" s="83" t="s">
        <v>9</v>
      </c>
      <c r="J240" s="7" t="s">
        <v>9</v>
      </c>
      <c r="K240" s="7" t="s">
        <v>9</v>
      </c>
      <c r="L240" s="24" t="str">
        <f t="shared" si="72"/>
        <v>Arquitetônicos</v>
      </c>
      <c r="M240" s="24" t="str">
        <f t="shared" si="73"/>
        <v>Elementos.de.Esquadrias</v>
      </c>
      <c r="N240" s="24" t="str">
        <f t="shared" si="74"/>
        <v>Janelas</v>
      </c>
      <c r="O240" s="24" t="str">
        <f t="shared" si="75"/>
        <v>Janela Veneziana</v>
      </c>
      <c r="P240" s="19" t="s">
        <v>827</v>
      </c>
      <c r="Q240" s="29" t="s">
        <v>828</v>
      </c>
      <c r="R240" s="19" t="s">
        <v>1834</v>
      </c>
      <c r="S240" s="43" t="s">
        <v>9</v>
      </c>
      <c r="T240" s="25" t="str">
        <f t="shared" si="76"/>
        <v>Arquitetônicos</v>
      </c>
      <c r="U240" s="25" t="str">
        <f t="shared" si="77"/>
        <v>Elementos de Esquadrias</v>
      </c>
      <c r="V240" s="25" t="str">
        <f t="shared" si="78"/>
        <v>Janelas</v>
      </c>
      <c r="W240" s="19" t="s">
        <v>74</v>
      </c>
      <c r="X240" s="57" t="str">
        <f t="shared" si="79"/>
        <v>Key-ARQ-240</v>
      </c>
      <c r="Y240" s="97" t="s">
        <v>2046</v>
      </c>
      <c r="Z240" s="25" t="s">
        <v>9</v>
      </c>
      <c r="AA240" s="97" t="s">
        <v>2047</v>
      </c>
      <c r="AB240" s="25" t="s">
        <v>9</v>
      </c>
      <c r="AC240" s="25" t="s">
        <v>1560</v>
      </c>
      <c r="AD240" s="25" t="s">
        <v>9</v>
      </c>
    </row>
    <row r="241" spans="1:30" ht="6.65" customHeight="1" x14ac:dyDescent="0.4">
      <c r="A241" s="21">
        <v>241</v>
      </c>
      <c r="B241" s="1" t="s">
        <v>1524</v>
      </c>
      <c r="C241" s="1" t="s">
        <v>1525</v>
      </c>
      <c r="D241" s="1" t="s">
        <v>1315</v>
      </c>
      <c r="E241" s="1" t="s">
        <v>952</v>
      </c>
      <c r="F241" s="1" t="s">
        <v>704</v>
      </c>
      <c r="G241" s="7" t="s">
        <v>9</v>
      </c>
      <c r="H241" s="83" t="s">
        <v>9</v>
      </c>
      <c r="I241" s="83" t="s">
        <v>9</v>
      </c>
      <c r="J241" s="7" t="s">
        <v>9</v>
      </c>
      <c r="K241" s="7" t="s">
        <v>9</v>
      </c>
      <c r="L241" s="24" t="str">
        <f t="shared" si="72"/>
        <v>Arquitetônicos</v>
      </c>
      <c r="M241" s="24" t="str">
        <f t="shared" si="73"/>
        <v>Elementos.de.Esquadrias</v>
      </c>
      <c r="N241" s="24" t="str">
        <f t="shared" si="74"/>
        <v>Janelas</v>
      </c>
      <c r="O241" s="24" t="str">
        <f t="shared" si="75"/>
        <v>Janela Integral</v>
      </c>
      <c r="P241" s="19" t="s">
        <v>754</v>
      </c>
      <c r="Q241" s="29" t="s">
        <v>759</v>
      </c>
      <c r="R241" s="19" t="s">
        <v>1835</v>
      </c>
      <c r="S241" s="43" t="s">
        <v>9</v>
      </c>
      <c r="T241" s="25" t="str">
        <f t="shared" si="76"/>
        <v>Arquitetônicos</v>
      </c>
      <c r="U241" s="25" t="str">
        <f t="shared" si="77"/>
        <v>Elementos de Esquadrias</v>
      </c>
      <c r="V241" s="25" t="str">
        <f t="shared" si="78"/>
        <v>Janelas</v>
      </c>
      <c r="W241" s="19" t="s">
        <v>74</v>
      </c>
      <c r="X241" s="57" t="str">
        <f t="shared" si="79"/>
        <v>Key-ARQ-241</v>
      </c>
      <c r="Y241" s="19" t="s">
        <v>1538</v>
      </c>
      <c r="Z241" s="25" t="s">
        <v>9</v>
      </c>
      <c r="AA241" s="97" t="s">
        <v>2047</v>
      </c>
      <c r="AB241" s="25" t="s">
        <v>9</v>
      </c>
      <c r="AC241" s="25" t="s">
        <v>1560</v>
      </c>
      <c r="AD241" s="25" t="s">
        <v>9</v>
      </c>
    </row>
    <row r="242" spans="1:30" ht="6.65" customHeight="1" x14ac:dyDescent="0.4">
      <c r="A242" s="21">
        <v>242</v>
      </c>
      <c r="B242" s="1" t="s">
        <v>1524</v>
      </c>
      <c r="C242" s="1" t="s">
        <v>1525</v>
      </c>
      <c r="D242" s="1" t="s">
        <v>1315</v>
      </c>
      <c r="E242" s="1" t="s">
        <v>953</v>
      </c>
      <c r="F242" s="1" t="s">
        <v>786</v>
      </c>
      <c r="G242" s="7" t="s">
        <v>9</v>
      </c>
      <c r="H242" s="83" t="s">
        <v>9</v>
      </c>
      <c r="I242" s="83" t="s">
        <v>9</v>
      </c>
      <c r="J242" s="7" t="s">
        <v>9</v>
      </c>
      <c r="K242" s="7" t="s">
        <v>9</v>
      </c>
      <c r="L242" s="24" t="str">
        <f t="shared" si="72"/>
        <v>Arquitetônicos</v>
      </c>
      <c r="M242" s="24" t="str">
        <f t="shared" si="73"/>
        <v>Elementos.de.Esquadrias</v>
      </c>
      <c r="N242" s="24" t="str">
        <f t="shared" si="74"/>
        <v>Claraboias</v>
      </c>
      <c r="O242" s="24" t="str">
        <f t="shared" si="75"/>
        <v>Claraboia Cúpula</v>
      </c>
      <c r="P242" s="19" t="s">
        <v>788</v>
      </c>
      <c r="Q242" s="19" t="s">
        <v>791</v>
      </c>
      <c r="R242" s="19" t="s">
        <v>1836</v>
      </c>
      <c r="S242" s="43" t="s">
        <v>9</v>
      </c>
      <c r="T242" s="25" t="str">
        <f t="shared" si="76"/>
        <v>Arquitetônicos</v>
      </c>
      <c r="U242" s="25" t="str">
        <f t="shared" si="77"/>
        <v>Elementos de Esquadrias</v>
      </c>
      <c r="V242" s="25" t="str">
        <f t="shared" si="78"/>
        <v>Claraboias</v>
      </c>
      <c r="W242" s="19" t="s">
        <v>74</v>
      </c>
      <c r="X242" s="57" t="str">
        <f t="shared" si="79"/>
        <v>Key-ARQ-242</v>
      </c>
      <c r="Y242" s="97" t="s">
        <v>2046</v>
      </c>
      <c r="Z242" s="25" t="s">
        <v>9</v>
      </c>
      <c r="AA242" s="25" t="s">
        <v>2048</v>
      </c>
      <c r="AB242" s="25" t="s">
        <v>9</v>
      </c>
      <c r="AC242" s="25" t="s">
        <v>1561</v>
      </c>
      <c r="AD242" s="25" t="s">
        <v>9</v>
      </c>
    </row>
    <row r="243" spans="1:30" ht="6.65" customHeight="1" x14ac:dyDescent="0.4">
      <c r="A243" s="21">
        <v>243</v>
      </c>
      <c r="B243" s="1" t="s">
        <v>1524</v>
      </c>
      <c r="C243" s="1" t="s">
        <v>1525</v>
      </c>
      <c r="D243" s="1" t="s">
        <v>1315</v>
      </c>
      <c r="E243" s="1" t="s">
        <v>953</v>
      </c>
      <c r="F243" s="1" t="s">
        <v>785</v>
      </c>
      <c r="G243" s="7" t="s">
        <v>9</v>
      </c>
      <c r="H243" s="83" t="s">
        <v>9</v>
      </c>
      <c r="I243" s="83" t="s">
        <v>9</v>
      </c>
      <c r="J243" s="7" t="s">
        <v>9</v>
      </c>
      <c r="K243" s="7" t="s">
        <v>9</v>
      </c>
      <c r="L243" s="24" t="str">
        <f t="shared" si="72"/>
        <v>Arquitetônicos</v>
      </c>
      <c r="M243" s="24" t="str">
        <f t="shared" si="73"/>
        <v>Elementos.de.Esquadrias</v>
      </c>
      <c r="N243" s="24" t="str">
        <f t="shared" si="74"/>
        <v>Claraboias</v>
      </c>
      <c r="O243" s="24" t="str">
        <f t="shared" si="75"/>
        <v>Claraboia Tubular</v>
      </c>
      <c r="P243" s="19" t="s">
        <v>789</v>
      </c>
      <c r="Q243" s="19" t="s">
        <v>792</v>
      </c>
      <c r="R243" s="19" t="s">
        <v>1837</v>
      </c>
      <c r="S243" s="43" t="s">
        <v>9</v>
      </c>
      <c r="T243" s="25" t="str">
        <f t="shared" si="76"/>
        <v>Arquitetônicos</v>
      </c>
      <c r="U243" s="25" t="str">
        <f t="shared" si="77"/>
        <v>Elementos de Esquadrias</v>
      </c>
      <c r="V243" s="25" t="str">
        <f t="shared" si="78"/>
        <v>Claraboias</v>
      </c>
      <c r="W243" s="19" t="s">
        <v>74</v>
      </c>
      <c r="X243" s="57" t="str">
        <f t="shared" si="79"/>
        <v>Key-ARQ-243</v>
      </c>
      <c r="Y243" s="97" t="s">
        <v>2046</v>
      </c>
      <c r="Z243" s="25" t="s">
        <v>9</v>
      </c>
      <c r="AA243" s="25" t="s">
        <v>2048</v>
      </c>
      <c r="AB243" s="25" t="s">
        <v>9</v>
      </c>
      <c r="AC243" s="25" t="s">
        <v>1561</v>
      </c>
      <c r="AD243" s="25" t="s">
        <v>9</v>
      </c>
    </row>
    <row r="244" spans="1:30" ht="6.65" customHeight="1" x14ac:dyDescent="0.4">
      <c r="A244" s="21">
        <v>244</v>
      </c>
      <c r="B244" s="1" t="s">
        <v>1524</v>
      </c>
      <c r="C244" s="1" t="s">
        <v>1525</v>
      </c>
      <c r="D244" s="1" t="s">
        <v>1315</v>
      </c>
      <c r="E244" s="1" t="s">
        <v>953</v>
      </c>
      <c r="F244" s="1" t="s">
        <v>787</v>
      </c>
      <c r="G244" s="7" t="s">
        <v>9</v>
      </c>
      <c r="H244" s="83" t="s">
        <v>9</v>
      </c>
      <c r="I244" s="83" t="s">
        <v>9</v>
      </c>
      <c r="J244" s="7" t="s">
        <v>9</v>
      </c>
      <c r="K244" s="7" t="s">
        <v>9</v>
      </c>
      <c r="L244" s="24" t="str">
        <f t="shared" si="72"/>
        <v>Arquitetônicos</v>
      </c>
      <c r="M244" s="24" t="str">
        <f t="shared" si="73"/>
        <v>Elementos.de.Esquadrias</v>
      </c>
      <c r="N244" s="24" t="str">
        <f t="shared" si="74"/>
        <v>Claraboias</v>
      </c>
      <c r="O244" s="24" t="str">
        <f t="shared" si="75"/>
        <v>Claraboia Piramidal</v>
      </c>
      <c r="P244" s="19" t="s">
        <v>790</v>
      </c>
      <c r="Q244" s="19" t="s">
        <v>793</v>
      </c>
      <c r="R244" s="19" t="s">
        <v>1838</v>
      </c>
      <c r="S244" s="43" t="s">
        <v>9</v>
      </c>
      <c r="T244" s="25" t="str">
        <f t="shared" si="76"/>
        <v>Arquitetônicos</v>
      </c>
      <c r="U244" s="25" t="str">
        <f t="shared" si="77"/>
        <v>Elementos de Esquadrias</v>
      </c>
      <c r="V244" s="25" t="str">
        <f t="shared" si="78"/>
        <v>Claraboias</v>
      </c>
      <c r="W244" s="19" t="s">
        <v>74</v>
      </c>
      <c r="X244" s="57" t="str">
        <f t="shared" si="79"/>
        <v>Key-ARQ-244</v>
      </c>
      <c r="Y244" s="97" t="s">
        <v>2046</v>
      </c>
      <c r="Z244" s="25" t="s">
        <v>9</v>
      </c>
      <c r="AA244" s="25" t="s">
        <v>2048</v>
      </c>
      <c r="AB244" s="25" t="s">
        <v>9</v>
      </c>
      <c r="AC244" s="25" t="s">
        <v>1561</v>
      </c>
      <c r="AD244" s="25" t="s">
        <v>9</v>
      </c>
    </row>
    <row r="245" spans="1:30" ht="6.65" customHeight="1" x14ac:dyDescent="0.4">
      <c r="A245" s="21">
        <v>245</v>
      </c>
      <c r="B245" s="1" t="s">
        <v>1524</v>
      </c>
      <c r="C245" s="1" t="s">
        <v>1525</v>
      </c>
      <c r="D245" s="1" t="s">
        <v>1315</v>
      </c>
      <c r="E245" s="1" t="s">
        <v>954</v>
      </c>
      <c r="F245" s="1" t="s">
        <v>703</v>
      </c>
      <c r="G245" s="7" t="s">
        <v>9</v>
      </c>
      <c r="H245" s="83" t="s">
        <v>9</v>
      </c>
      <c r="I245" s="83" t="s">
        <v>9</v>
      </c>
      <c r="J245" s="7" t="s">
        <v>9</v>
      </c>
      <c r="K245" s="7" t="s">
        <v>9</v>
      </c>
      <c r="L245" s="24" t="str">
        <f t="shared" si="72"/>
        <v>Arquitetônicos</v>
      </c>
      <c r="M245" s="24" t="str">
        <f t="shared" si="73"/>
        <v>Elementos.de.Esquadrias</v>
      </c>
      <c r="N245" s="24" t="str">
        <f t="shared" si="74"/>
        <v>Grelhas</v>
      </c>
      <c r="O245" s="24" t="str">
        <f t="shared" si="75"/>
        <v>Grelha Fixa</v>
      </c>
      <c r="P245" s="19" t="s">
        <v>766</v>
      </c>
      <c r="Q245" s="29" t="s">
        <v>760</v>
      </c>
      <c r="R245" s="19" t="s">
        <v>1839</v>
      </c>
      <c r="S245" s="43" t="s">
        <v>9</v>
      </c>
      <c r="T245" s="25" t="str">
        <f t="shared" si="76"/>
        <v>Arquitetônicos</v>
      </c>
      <c r="U245" s="25" t="str">
        <f t="shared" si="77"/>
        <v>Elementos de Esquadrias</v>
      </c>
      <c r="V245" s="25" t="str">
        <f t="shared" si="78"/>
        <v>Grelhas</v>
      </c>
      <c r="W245" s="19" t="s">
        <v>74</v>
      </c>
      <c r="X245" s="57" t="str">
        <f t="shared" si="79"/>
        <v>Key-ARQ-245</v>
      </c>
      <c r="Y245" s="97" t="s">
        <v>2046</v>
      </c>
      <c r="Z245" s="25" t="s">
        <v>9</v>
      </c>
      <c r="AA245" s="97" t="s">
        <v>2047</v>
      </c>
      <c r="AB245" s="25" t="s">
        <v>9</v>
      </c>
      <c r="AC245" s="25" t="s">
        <v>1560</v>
      </c>
      <c r="AD245" s="25" t="s">
        <v>9</v>
      </c>
    </row>
    <row r="246" spans="1:30" ht="6.65" customHeight="1" x14ac:dyDescent="0.4">
      <c r="A246" s="21">
        <v>246</v>
      </c>
      <c r="B246" s="1" t="s">
        <v>1524</v>
      </c>
      <c r="C246" s="1" t="s">
        <v>1525</v>
      </c>
      <c r="D246" s="1" t="s">
        <v>1315</v>
      </c>
      <c r="E246" s="1" t="s">
        <v>954</v>
      </c>
      <c r="F246" s="1" t="s">
        <v>705</v>
      </c>
      <c r="G246" s="7" t="s">
        <v>9</v>
      </c>
      <c r="H246" s="83" t="s">
        <v>9</v>
      </c>
      <c r="I246" s="83" t="s">
        <v>9</v>
      </c>
      <c r="J246" s="7" t="s">
        <v>9</v>
      </c>
      <c r="K246" s="7" t="s">
        <v>9</v>
      </c>
      <c r="L246" s="24" t="str">
        <f t="shared" si="72"/>
        <v>Arquitetônicos</v>
      </c>
      <c r="M246" s="24" t="str">
        <f t="shared" si="73"/>
        <v>Elementos.de.Esquadrias</v>
      </c>
      <c r="N246" s="24" t="str">
        <f t="shared" si="74"/>
        <v>Grelhas</v>
      </c>
      <c r="O246" s="24" t="str">
        <f t="shared" si="75"/>
        <v>Grelha Removível</v>
      </c>
      <c r="P246" s="19" t="s">
        <v>767</v>
      </c>
      <c r="Q246" s="29" t="s">
        <v>761</v>
      </c>
      <c r="R246" s="19" t="s">
        <v>1840</v>
      </c>
      <c r="S246" s="43" t="s">
        <v>9</v>
      </c>
      <c r="T246" s="25" t="str">
        <f t="shared" si="76"/>
        <v>Arquitetônicos</v>
      </c>
      <c r="U246" s="25" t="str">
        <f t="shared" si="77"/>
        <v>Elementos de Esquadrias</v>
      </c>
      <c r="V246" s="25" t="str">
        <f t="shared" si="78"/>
        <v>Grelhas</v>
      </c>
      <c r="W246" s="19" t="s">
        <v>74</v>
      </c>
      <c r="X246" s="57" t="str">
        <f t="shared" si="79"/>
        <v>Key-ARQ-246</v>
      </c>
      <c r="Y246" s="97" t="s">
        <v>2046</v>
      </c>
      <c r="Z246" s="25" t="s">
        <v>9</v>
      </c>
      <c r="AA246" s="97" t="s">
        <v>2047</v>
      </c>
      <c r="AB246" s="25" t="s">
        <v>9</v>
      </c>
      <c r="AC246" s="25" t="s">
        <v>1560</v>
      </c>
      <c r="AD246" s="25" t="s">
        <v>9</v>
      </c>
    </row>
    <row r="247" spans="1:30" ht="6.65" customHeight="1" x14ac:dyDescent="0.4">
      <c r="A247" s="21">
        <v>247</v>
      </c>
      <c r="B247" s="1" t="s">
        <v>1524</v>
      </c>
      <c r="C247" s="1" t="s">
        <v>1525</v>
      </c>
      <c r="D247" s="1" t="s">
        <v>1315</v>
      </c>
      <c r="E247" s="1" t="s">
        <v>955</v>
      </c>
      <c r="F247" s="1" t="s">
        <v>702</v>
      </c>
      <c r="G247" s="7" t="s">
        <v>9</v>
      </c>
      <c r="H247" s="83" t="s">
        <v>9</v>
      </c>
      <c r="I247" s="83" t="s">
        <v>9</v>
      </c>
      <c r="J247" s="7" t="s">
        <v>9</v>
      </c>
      <c r="K247" s="7" t="s">
        <v>9</v>
      </c>
      <c r="L247" s="24" t="str">
        <f t="shared" si="72"/>
        <v>Arquitetônicos</v>
      </c>
      <c r="M247" s="24" t="str">
        <f t="shared" si="73"/>
        <v>Elementos.de.Esquadrias</v>
      </c>
      <c r="N247" s="24" t="str">
        <f t="shared" si="74"/>
        <v>Visores</v>
      </c>
      <c r="O247" s="24" t="str">
        <f t="shared" si="75"/>
        <v>Visor Fixo</v>
      </c>
      <c r="P247" s="19" t="s">
        <v>768</v>
      </c>
      <c r="Q247" s="29" t="s">
        <v>762</v>
      </c>
      <c r="R247" s="19" t="s">
        <v>1841</v>
      </c>
      <c r="S247" s="43" t="s">
        <v>9</v>
      </c>
      <c r="T247" s="25" t="str">
        <f t="shared" si="76"/>
        <v>Arquitetônicos</v>
      </c>
      <c r="U247" s="25" t="str">
        <f t="shared" si="77"/>
        <v>Elementos de Esquadrias</v>
      </c>
      <c r="V247" s="25" t="str">
        <f t="shared" si="78"/>
        <v>Visores</v>
      </c>
      <c r="W247" s="19" t="s">
        <v>74</v>
      </c>
      <c r="X247" s="57" t="str">
        <f t="shared" si="79"/>
        <v>Key-ARQ-247</v>
      </c>
      <c r="Y247" s="97" t="s">
        <v>2046</v>
      </c>
      <c r="Z247" s="25" t="s">
        <v>9</v>
      </c>
      <c r="AA247" s="97" t="s">
        <v>2047</v>
      </c>
      <c r="AB247" s="25" t="s">
        <v>9</v>
      </c>
      <c r="AC247" s="25" t="s">
        <v>1560</v>
      </c>
      <c r="AD247" s="25" t="s">
        <v>9</v>
      </c>
    </row>
    <row r="248" spans="1:30" ht="6.65" customHeight="1" x14ac:dyDescent="0.4">
      <c r="A248" s="21">
        <v>248</v>
      </c>
      <c r="B248" s="1" t="s">
        <v>1524</v>
      </c>
      <c r="C248" s="1" t="s">
        <v>1525</v>
      </c>
      <c r="D248" s="1" t="s">
        <v>1315</v>
      </c>
      <c r="E248" s="1" t="s">
        <v>955</v>
      </c>
      <c r="F248" s="1" t="s">
        <v>713</v>
      </c>
      <c r="G248" s="7" t="s">
        <v>9</v>
      </c>
      <c r="H248" s="83" t="s">
        <v>9</v>
      </c>
      <c r="I248" s="83" t="s">
        <v>9</v>
      </c>
      <c r="J248" s="7" t="s">
        <v>9</v>
      </c>
      <c r="K248" s="7" t="s">
        <v>9</v>
      </c>
      <c r="L248" s="24" t="str">
        <f t="shared" si="72"/>
        <v>Arquitetônicos</v>
      </c>
      <c r="M248" s="24" t="str">
        <f t="shared" si="73"/>
        <v>Elementos.de.Esquadrias</v>
      </c>
      <c r="N248" s="24" t="str">
        <f t="shared" si="74"/>
        <v>Visores</v>
      </c>
      <c r="O248" s="24" t="str">
        <f t="shared" si="75"/>
        <v>Visor Basculante</v>
      </c>
      <c r="P248" s="19" t="s">
        <v>769</v>
      </c>
      <c r="Q248" s="29" t="s">
        <v>763</v>
      </c>
      <c r="R248" s="19" t="s">
        <v>1842</v>
      </c>
      <c r="S248" s="43" t="s">
        <v>9</v>
      </c>
      <c r="T248" s="25" t="str">
        <f t="shared" si="76"/>
        <v>Arquitetônicos</v>
      </c>
      <c r="U248" s="25" t="str">
        <f t="shared" si="77"/>
        <v>Elementos de Esquadrias</v>
      </c>
      <c r="V248" s="25" t="str">
        <f t="shared" si="78"/>
        <v>Visores</v>
      </c>
      <c r="W248" s="19" t="s">
        <v>74</v>
      </c>
      <c r="X248" s="57" t="str">
        <f t="shared" si="79"/>
        <v>Key-ARQ-248</v>
      </c>
      <c r="Y248" s="97" t="s">
        <v>2046</v>
      </c>
      <c r="Z248" s="25" t="s">
        <v>9</v>
      </c>
      <c r="AA248" s="97" t="s">
        <v>2047</v>
      </c>
      <c r="AB248" s="25" t="s">
        <v>9</v>
      </c>
      <c r="AC248" s="25" t="s">
        <v>1560</v>
      </c>
      <c r="AD248" s="25" t="s">
        <v>9</v>
      </c>
    </row>
    <row r="249" spans="1:30" ht="6.65" customHeight="1" x14ac:dyDescent="0.4">
      <c r="A249" s="21">
        <v>249</v>
      </c>
      <c r="B249" s="1" t="s">
        <v>1524</v>
      </c>
      <c r="C249" s="1" t="s">
        <v>1525</v>
      </c>
      <c r="D249" s="1" t="s">
        <v>1315</v>
      </c>
      <c r="E249" s="1" t="s">
        <v>955</v>
      </c>
      <c r="F249" s="1" t="s">
        <v>712</v>
      </c>
      <c r="G249" s="7" t="s">
        <v>9</v>
      </c>
      <c r="H249" s="83" t="s">
        <v>9</v>
      </c>
      <c r="I249" s="83" t="s">
        <v>9</v>
      </c>
      <c r="J249" s="7" t="s">
        <v>9</v>
      </c>
      <c r="K249" s="7" t="s">
        <v>9</v>
      </c>
      <c r="L249" s="24" t="str">
        <f t="shared" si="72"/>
        <v>Arquitetônicos</v>
      </c>
      <c r="M249" s="24" t="str">
        <f t="shared" si="73"/>
        <v>Elementos.de.Esquadrias</v>
      </c>
      <c r="N249" s="24" t="str">
        <f t="shared" si="74"/>
        <v>Visores</v>
      </c>
      <c r="O249" s="24" t="str">
        <f t="shared" si="75"/>
        <v>Visor Deslizante</v>
      </c>
      <c r="P249" s="19" t="s">
        <v>770</v>
      </c>
      <c r="Q249" s="29" t="s">
        <v>764</v>
      </c>
      <c r="R249" s="19" t="s">
        <v>1843</v>
      </c>
      <c r="S249" s="43" t="s">
        <v>9</v>
      </c>
      <c r="T249" s="25" t="str">
        <f t="shared" si="76"/>
        <v>Arquitetônicos</v>
      </c>
      <c r="U249" s="25" t="str">
        <f t="shared" si="77"/>
        <v>Elementos de Esquadrias</v>
      </c>
      <c r="V249" s="25" t="str">
        <f t="shared" si="78"/>
        <v>Visores</v>
      </c>
      <c r="W249" s="19" t="s">
        <v>74</v>
      </c>
      <c r="X249" s="57" t="str">
        <f t="shared" si="79"/>
        <v>Key-ARQ-249</v>
      </c>
      <c r="Y249" s="97" t="s">
        <v>2046</v>
      </c>
      <c r="Z249" s="25" t="s">
        <v>9</v>
      </c>
      <c r="AA249" s="97" t="s">
        <v>2047</v>
      </c>
      <c r="AB249" s="25" t="s">
        <v>9</v>
      </c>
      <c r="AC249" s="25" t="s">
        <v>1560</v>
      </c>
      <c r="AD249" s="25" t="s">
        <v>9</v>
      </c>
    </row>
    <row r="250" spans="1:30" ht="6.65" customHeight="1" x14ac:dyDescent="0.4">
      <c r="A250" s="21">
        <v>250</v>
      </c>
      <c r="B250" s="1" t="s">
        <v>1524</v>
      </c>
      <c r="C250" s="1" t="s">
        <v>1525</v>
      </c>
      <c r="D250" s="1" t="s">
        <v>1315</v>
      </c>
      <c r="E250" s="1" t="s">
        <v>955</v>
      </c>
      <c r="F250" s="1" t="s">
        <v>711</v>
      </c>
      <c r="G250" s="7" t="s">
        <v>9</v>
      </c>
      <c r="H250" s="83" t="s">
        <v>9</v>
      </c>
      <c r="I250" s="83" t="s">
        <v>9</v>
      </c>
      <c r="J250" s="7" t="s">
        <v>9</v>
      </c>
      <c r="K250" s="7" t="s">
        <v>9</v>
      </c>
      <c r="L250" s="24" t="str">
        <f t="shared" si="72"/>
        <v>Arquitetônicos</v>
      </c>
      <c r="M250" s="24" t="str">
        <f t="shared" si="73"/>
        <v>Elementos.de.Esquadrias</v>
      </c>
      <c r="N250" s="24" t="str">
        <f t="shared" si="74"/>
        <v>Visores</v>
      </c>
      <c r="O250" s="24" t="str">
        <f t="shared" si="75"/>
        <v>Visor Blindado</v>
      </c>
      <c r="P250" s="19" t="s">
        <v>771</v>
      </c>
      <c r="Q250" s="29" t="s">
        <v>765</v>
      </c>
      <c r="R250" s="19" t="s">
        <v>1844</v>
      </c>
      <c r="S250" s="43" t="s">
        <v>9</v>
      </c>
      <c r="T250" s="25" t="str">
        <f t="shared" si="76"/>
        <v>Arquitetônicos</v>
      </c>
      <c r="U250" s="25" t="str">
        <f t="shared" si="77"/>
        <v>Elementos de Esquadrias</v>
      </c>
      <c r="V250" s="25" t="str">
        <f t="shared" si="78"/>
        <v>Visores</v>
      </c>
      <c r="W250" s="19" t="s">
        <v>74</v>
      </c>
      <c r="X250" s="57" t="str">
        <f t="shared" si="79"/>
        <v>Key-ARQ-250</v>
      </c>
      <c r="Y250" s="97" t="s">
        <v>2046</v>
      </c>
      <c r="Z250" s="25" t="s">
        <v>9</v>
      </c>
      <c r="AA250" s="97" t="s">
        <v>2047</v>
      </c>
      <c r="AB250" s="25" t="s">
        <v>9</v>
      </c>
      <c r="AC250" s="25" t="s">
        <v>1560</v>
      </c>
      <c r="AD250" s="25" t="s">
        <v>9</v>
      </c>
    </row>
    <row r="251" spans="1:30" ht="6.65" customHeight="1" x14ac:dyDescent="0.4">
      <c r="A251" s="21">
        <v>251</v>
      </c>
      <c r="B251" s="1" t="s">
        <v>1524</v>
      </c>
      <c r="C251" s="1" t="s">
        <v>1525</v>
      </c>
      <c r="D251" s="1" t="s">
        <v>1315</v>
      </c>
      <c r="E251" s="1" t="s">
        <v>956</v>
      </c>
      <c r="F251" s="1" t="s">
        <v>1482</v>
      </c>
      <c r="G251" s="7" t="s">
        <v>9</v>
      </c>
      <c r="H251" s="83" t="s">
        <v>9</v>
      </c>
      <c r="I251" s="83" t="s">
        <v>9</v>
      </c>
      <c r="J251" s="7" t="s">
        <v>9</v>
      </c>
      <c r="K251" s="7" t="s">
        <v>9</v>
      </c>
      <c r="L251" s="24" t="str">
        <f t="shared" si="72"/>
        <v>Arquitetônicos</v>
      </c>
      <c r="M251" s="24" t="str">
        <f t="shared" si="73"/>
        <v>Elementos.de.Esquadrias</v>
      </c>
      <c r="N251" s="24" t="str">
        <f t="shared" si="74"/>
        <v>Portas</v>
      </c>
      <c r="O251" s="24" t="str">
        <f t="shared" si="75"/>
        <v>Porta Abertura</v>
      </c>
      <c r="P251" s="19" t="s">
        <v>1049</v>
      </c>
      <c r="Q251" s="19" t="s">
        <v>1050</v>
      </c>
      <c r="R251" s="19" t="s">
        <v>1845</v>
      </c>
      <c r="S251" s="43" t="s">
        <v>9</v>
      </c>
      <c r="T251" s="25" t="str">
        <f t="shared" si="76"/>
        <v>Arquitetônicos</v>
      </c>
      <c r="U251" s="25" t="str">
        <f t="shared" si="77"/>
        <v>Elementos de Esquadrias</v>
      </c>
      <c r="V251" s="25" t="str">
        <f t="shared" si="78"/>
        <v>Portas</v>
      </c>
      <c r="W251" s="19" t="s">
        <v>74</v>
      </c>
      <c r="X251" s="57" t="str">
        <f t="shared" si="79"/>
        <v>Key-ARQ-251</v>
      </c>
      <c r="Y251" s="19" t="s">
        <v>1390</v>
      </c>
      <c r="Z251" s="25" t="s">
        <v>9</v>
      </c>
      <c r="AA251" s="25" t="s">
        <v>1322</v>
      </c>
      <c r="AB251" s="25" t="s">
        <v>9</v>
      </c>
      <c r="AC251" s="25" t="s">
        <v>1559</v>
      </c>
      <c r="AD251" s="25" t="s">
        <v>9</v>
      </c>
    </row>
    <row r="252" spans="1:30" ht="6.65" customHeight="1" x14ac:dyDescent="0.4">
      <c r="A252" s="21">
        <v>252</v>
      </c>
      <c r="B252" s="1" t="s">
        <v>1524</v>
      </c>
      <c r="C252" s="1" t="s">
        <v>1525</v>
      </c>
      <c r="D252" s="1" t="s">
        <v>1315</v>
      </c>
      <c r="E252" s="1" t="s">
        <v>956</v>
      </c>
      <c r="F252" s="1" t="s">
        <v>692</v>
      </c>
      <c r="G252" s="7" t="s">
        <v>9</v>
      </c>
      <c r="H252" s="83" t="s">
        <v>9</v>
      </c>
      <c r="I252" s="83" t="s">
        <v>9</v>
      </c>
      <c r="J252" s="7" t="s">
        <v>9</v>
      </c>
      <c r="K252" s="7" t="s">
        <v>9</v>
      </c>
      <c r="L252" s="24" t="str">
        <f t="shared" si="72"/>
        <v>Arquitetônicos</v>
      </c>
      <c r="M252" s="24" t="str">
        <f t="shared" si="73"/>
        <v>Elementos.de.Esquadrias</v>
      </c>
      <c r="N252" s="24" t="str">
        <f t="shared" si="74"/>
        <v>Portas</v>
      </c>
      <c r="O252" s="24" t="str">
        <f t="shared" si="75"/>
        <v>Porta Simples</v>
      </c>
      <c r="P252" s="19" t="s">
        <v>716</v>
      </c>
      <c r="Q252" s="29" t="s">
        <v>727</v>
      </c>
      <c r="R252" s="19" t="s">
        <v>1846</v>
      </c>
      <c r="S252" s="43" t="s">
        <v>9</v>
      </c>
      <c r="T252" s="25" t="str">
        <f t="shared" si="76"/>
        <v>Arquitetônicos</v>
      </c>
      <c r="U252" s="25" t="str">
        <f t="shared" si="77"/>
        <v>Elementos de Esquadrias</v>
      </c>
      <c r="V252" s="25" t="str">
        <f t="shared" si="78"/>
        <v>Portas</v>
      </c>
      <c r="W252" s="19" t="s">
        <v>74</v>
      </c>
      <c r="X252" s="57" t="str">
        <f t="shared" si="79"/>
        <v>Key-ARQ-252</v>
      </c>
      <c r="Y252" s="19" t="s">
        <v>1390</v>
      </c>
      <c r="Z252" s="25" t="s">
        <v>9</v>
      </c>
      <c r="AA252" s="25" t="s">
        <v>1322</v>
      </c>
      <c r="AB252" s="25" t="s">
        <v>9</v>
      </c>
      <c r="AC252" s="25" t="s">
        <v>1559</v>
      </c>
      <c r="AD252" s="25" t="s">
        <v>9</v>
      </c>
    </row>
    <row r="253" spans="1:30" ht="6.65" customHeight="1" x14ac:dyDescent="0.4">
      <c r="A253" s="21">
        <v>253</v>
      </c>
      <c r="B253" s="1" t="s">
        <v>1524</v>
      </c>
      <c r="C253" s="1" t="s">
        <v>1525</v>
      </c>
      <c r="D253" s="1" t="s">
        <v>1315</v>
      </c>
      <c r="E253" s="1" t="s">
        <v>956</v>
      </c>
      <c r="F253" s="1" t="s">
        <v>693</v>
      </c>
      <c r="G253" s="7" t="s">
        <v>9</v>
      </c>
      <c r="H253" s="83" t="s">
        <v>9</v>
      </c>
      <c r="I253" s="83" t="s">
        <v>9</v>
      </c>
      <c r="J253" s="7" t="s">
        <v>9</v>
      </c>
      <c r="K253" s="7" t="s">
        <v>9</v>
      </c>
      <c r="L253" s="24" t="str">
        <f t="shared" si="72"/>
        <v>Arquitetônicos</v>
      </c>
      <c r="M253" s="24" t="str">
        <f t="shared" si="73"/>
        <v>Elementos.de.Esquadrias</v>
      </c>
      <c r="N253" s="24" t="str">
        <f t="shared" si="74"/>
        <v>Portas</v>
      </c>
      <c r="O253" s="24" t="str">
        <f t="shared" si="75"/>
        <v>Porta Dupla</v>
      </c>
      <c r="P253" s="19" t="s">
        <v>735</v>
      </c>
      <c r="Q253" s="29" t="s">
        <v>749</v>
      </c>
      <c r="R253" s="19" t="s">
        <v>1847</v>
      </c>
      <c r="S253" s="43" t="s">
        <v>9</v>
      </c>
      <c r="T253" s="25" t="str">
        <f t="shared" si="76"/>
        <v>Arquitetônicos</v>
      </c>
      <c r="U253" s="25" t="str">
        <f t="shared" si="77"/>
        <v>Elementos de Esquadrias</v>
      </c>
      <c r="V253" s="25" t="str">
        <f t="shared" si="78"/>
        <v>Portas</v>
      </c>
      <c r="W253" s="19" t="s">
        <v>74</v>
      </c>
      <c r="X253" s="57" t="str">
        <f t="shared" si="79"/>
        <v>Key-ARQ-253</v>
      </c>
      <c r="Y253" s="19" t="s">
        <v>1390</v>
      </c>
      <c r="Z253" s="25" t="s">
        <v>9</v>
      </c>
      <c r="AA253" s="25" t="s">
        <v>1322</v>
      </c>
      <c r="AB253" s="25" t="s">
        <v>9</v>
      </c>
      <c r="AC253" s="25" t="s">
        <v>1559</v>
      </c>
      <c r="AD253" s="25" t="s">
        <v>9</v>
      </c>
    </row>
    <row r="254" spans="1:30" ht="6.65" customHeight="1" x14ac:dyDescent="0.4">
      <c r="A254" s="21">
        <v>254</v>
      </c>
      <c r="B254" s="1" t="s">
        <v>1524</v>
      </c>
      <c r="C254" s="1" t="s">
        <v>1525</v>
      </c>
      <c r="D254" s="1" t="s">
        <v>1315</v>
      </c>
      <c r="E254" s="1" t="s">
        <v>956</v>
      </c>
      <c r="F254" s="1" t="s">
        <v>697</v>
      </c>
      <c r="G254" s="7" t="s">
        <v>9</v>
      </c>
      <c r="H254" s="83" t="s">
        <v>9</v>
      </c>
      <c r="I254" s="83" t="s">
        <v>9</v>
      </c>
      <c r="J254" s="7" t="s">
        <v>9</v>
      </c>
      <c r="K254" s="7" t="s">
        <v>9</v>
      </c>
      <c r="L254" s="24" t="str">
        <f t="shared" si="72"/>
        <v>Arquitetônicos</v>
      </c>
      <c r="M254" s="24" t="str">
        <f t="shared" si="73"/>
        <v>Elementos.de.Esquadrias</v>
      </c>
      <c r="N254" s="24" t="str">
        <f t="shared" si="74"/>
        <v>Portas</v>
      </c>
      <c r="O254" s="24" t="str">
        <f t="shared" si="75"/>
        <v>Porta Assimétrica</v>
      </c>
      <c r="P254" s="19" t="s">
        <v>747</v>
      </c>
      <c r="Q254" s="29" t="s">
        <v>748</v>
      </c>
      <c r="R254" s="19" t="s">
        <v>1848</v>
      </c>
      <c r="S254" s="43" t="s">
        <v>9</v>
      </c>
      <c r="T254" s="25" t="str">
        <f t="shared" si="76"/>
        <v>Arquitetônicos</v>
      </c>
      <c r="U254" s="25" t="str">
        <f t="shared" si="77"/>
        <v>Elementos de Esquadrias</v>
      </c>
      <c r="V254" s="25" t="str">
        <f t="shared" si="78"/>
        <v>Portas</v>
      </c>
      <c r="W254" s="19" t="s">
        <v>74</v>
      </c>
      <c r="X254" s="57" t="str">
        <f t="shared" si="79"/>
        <v>Key-ARQ-254</v>
      </c>
      <c r="Y254" s="19" t="s">
        <v>1390</v>
      </c>
      <c r="Z254" s="25" t="s">
        <v>9</v>
      </c>
      <c r="AA254" s="25" t="s">
        <v>1322</v>
      </c>
      <c r="AB254" s="25" t="s">
        <v>9</v>
      </c>
      <c r="AC254" s="25" t="s">
        <v>1559</v>
      </c>
      <c r="AD254" s="25" t="s">
        <v>9</v>
      </c>
    </row>
    <row r="255" spans="1:30" ht="6.65" customHeight="1" x14ac:dyDescent="0.4">
      <c r="A255" s="21">
        <v>255</v>
      </c>
      <c r="B255" s="1" t="s">
        <v>1524</v>
      </c>
      <c r="C255" s="1" t="s">
        <v>1525</v>
      </c>
      <c r="D255" s="1" t="s">
        <v>1315</v>
      </c>
      <c r="E255" s="1" t="s">
        <v>956</v>
      </c>
      <c r="F255" s="1" t="s">
        <v>696</v>
      </c>
      <c r="G255" s="7" t="s">
        <v>9</v>
      </c>
      <c r="H255" s="83" t="s">
        <v>9</v>
      </c>
      <c r="I255" s="83" t="s">
        <v>9</v>
      </c>
      <c r="J255" s="7" t="s">
        <v>9</v>
      </c>
      <c r="K255" s="7" t="s">
        <v>9</v>
      </c>
      <c r="L255" s="24" t="str">
        <f t="shared" si="72"/>
        <v>Arquitetônicos</v>
      </c>
      <c r="M255" s="24" t="str">
        <f t="shared" si="73"/>
        <v>Elementos.de.Esquadrias</v>
      </c>
      <c r="N255" s="24" t="str">
        <f t="shared" si="74"/>
        <v>Portas</v>
      </c>
      <c r="O255" s="24" t="str">
        <f t="shared" si="75"/>
        <v>Porta Corta Fogo</v>
      </c>
      <c r="P255" s="19" t="s">
        <v>736</v>
      </c>
      <c r="Q255" s="29" t="s">
        <v>750</v>
      </c>
      <c r="R255" s="19" t="s">
        <v>1849</v>
      </c>
      <c r="S255" s="43" t="s">
        <v>9</v>
      </c>
      <c r="T255" s="25" t="str">
        <f t="shared" si="76"/>
        <v>Arquitetônicos</v>
      </c>
      <c r="U255" s="25" t="str">
        <f t="shared" si="77"/>
        <v>Elementos de Esquadrias</v>
      </c>
      <c r="V255" s="25" t="str">
        <f t="shared" si="78"/>
        <v>Portas</v>
      </c>
      <c r="W255" s="19" t="s">
        <v>74</v>
      </c>
      <c r="X255" s="57" t="str">
        <f t="shared" si="79"/>
        <v>Key-ARQ-255</v>
      </c>
      <c r="Y255" s="19" t="s">
        <v>1390</v>
      </c>
      <c r="Z255" s="25" t="s">
        <v>9</v>
      </c>
      <c r="AA255" s="25" t="s">
        <v>1322</v>
      </c>
      <c r="AB255" s="25" t="s">
        <v>9</v>
      </c>
      <c r="AC255" s="25" t="s">
        <v>1559</v>
      </c>
      <c r="AD255" s="25" t="s">
        <v>9</v>
      </c>
    </row>
    <row r="256" spans="1:30" ht="6.65" customHeight="1" x14ac:dyDescent="0.4">
      <c r="A256" s="21">
        <v>256</v>
      </c>
      <c r="B256" s="1" t="s">
        <v>1524</v>
      </c>
      <c r="C256" s="1" t="s">
        <v>1525</v>
      </c>
      <c r="D256" s="1" t="s">
        <v>1315</v>
      </c>
      <c r="E256" s="1" t="s">
        <v>956</v>
      </c>
      <c r="F256" s="1" t="s">
        <v>816</v>
      </c>
      <c r="G256" s="7" t="s">
        <v>9</v>
      </c>
      <c r="H256" s="83" t="s">
        <v>9</v>
      </c>
      <c r="I256" s="83" t="s">
        <v>9</v>
      </c>
      <c r="J256" s="7" t="s">
        <v>9</v>
      </c>
      <c r="K256" s="7" t="s">
        <v>9</v>
      </c>
      <c r="L256" s="24" t="str">
        <f t="shared" si="72"/>
        <v>Arquitetônicos</v>
      </c>
      <c r="M256" s="24" t="str">
        <f t="shared" si="73"/>
        <v>Elementos.de.Esquadrias</v>
      </c>
      <c r="N256" s="24" t="str">
        <f t="shared" si="74"/>
        <v>Portas</v>
      </c>
      <c r="O256" s="24" t="str">
        <f t="shared" si="75"/>
        <v>Porta Veneziana</v>
      </c>
      <c r="P256" s="19" t="s">
        <v>818</v>
      </c>
      <c r="Q256" s="29" t="s">
        <v>817</v>
      </c>
      <c r="R256" s="19" t="s">
        <v>1850</v>
      </c>
      <c r="S256" s="43" t="s">
        <v>9</v>
      </c>
      <c r="T256" s="25" t="str">
        <f t="shared" si="76"/>
        <v>Arquitetônicos</v>
      </c>
      <c r="U256" s="25" t="str">
        <f t="shared" si="77"/>
        <v>Elementos de Esquadrias</v>
      </c>
      <c r="V256" s="25" t="str">
        <f t="shared" si="78"/>
        <v>Portas</v>
      </c>
      <c r="W256" s="19" t="s">
        <v>74</v>
      </c>
      <c r="X256" s="57" t="str">
        <f t="shared" si="79"/>
        <v>Key-ARQ-256</v>
      </c>
      <c r="Y256" s="19" t="s">
        <v>1390</v>
      </c>
      <c r="Z256" s="25" t="s">
        <v>9</v>
      </c>
      <c r="AA256" s="25" t="s">
        <v>1322</v>
      </c>
      <c r="AB256" s="25" t="s">
        <v>9</v>
      </c>
      <c r="AC256" s="25" t="s">
        <v>1559</v>
      </c>
      <c r="AD256" s="25" t="s">
        <v>9</v>
      </c>
    </row>
    <row r="257" spans="1:30" ht="6.65" customHeight="1" x14ac:dyDescent="0.4">
      <c r="A257" s="21">
        <v>257</v>
      </c>
      <c r="B257" s="1" t="s">
        <v>1524</v>
      </c>
      <c r="C257" s="1" t="s">
        <v>1525</v>
      </c>
      <c r="D257" s="1" t="s">
        <v>1315</v>
      </c>
      <c r="E257" s="1" t="s">
        <v>956</v>
      </c>
      <c r="F257" s="1" t="s">
        <v>725</v>
      </c>
      <c r="G257" s="7" t="s">
        <v>9</v>
      </c>
      <c r="H257" s="83" t="s">
        <v>9</v>
      </c>
      <c r="I257" s="83" t="s">
        <v>9</v>
      </c>
      <c r="J257" s="7" t="s">
        <v>9</v>
      </c>
      <c r="K257" s="7" t="s">
        <v>9</v>
      </c>
      <c r="L257" s="24" t="str">
        <f t="shared" si="72"/>
        <v>Arquitetônicos</v>
      </c>
      <c r="M257" s="24" t="str">
        <f t="shared" si="73"/>
        <v>Elementos.de.Esquadrias</v>
      </c>
      <c r="N257" s="24" t="str">
        <f t="shared" si="74"/>
        <v>Portas</v>
      </c>
      <c r="O257" s="24" t="str">
        <f t="shared" si="75"/>
        <v>Porta Corrediça</v>
      </c>
      <c r="P257" s="19" t="s">
        <v>734</v>
      </c>
      <c r="Q257" s="29" t="s">
        <v>746</v>
      </c>
      <c r="R257" s="19" t="s">
        <v>1851</v>
      </c>
      <c r="S257" s="43" t="s">
        <v>9</v>
      </c>
      <c r="T257" s="25" t="str">
        <f t="shared" si="76"/>
        <v>Arquitetônicos</v>
      </c>
      <c r="U257" s="25" t="str">
        <f t="shared" si="77"/>
        <v>Elementos de Esquadrias</v>
      </c>
      <c r="V257" s="25" t="str">
        <f t="shared" si="78"/>
        <v>Portas</v>
      </c>
      <c r="W257" s="19" t="s">
        <v>74</v>
      </c>
      <c r="X257" s="57" t="str">
        <f t="shared" si="79"/>
        <v>Key-ARQ-257</v>
      </c>
      <c r="Y257" s="19" t="s">
        <v>1390</v>
      </c>
      <c r="Z257" s="25" t="s">
        <v>9</v>
      </c>
      <c r="AA257" s="25" t="s">
        <v>1322</v>
      </c>
      <c r="AB257" s="25" t="s">
        <v>9</v>
      </c>
      <c r="AC257" s="25" t="s">
        <v>1559</v>
      </c>
      <c r="AD257" s="25" t="s">
        <v>9</v>
      </c>
    </row>
    <row r="258" spans="1:30" ht="6.65" customHeight="1" x14ac:dyDescent="0.4">
      <c r="A258" s="21">
        <v>258</v>
      </c>
      <c r="B258" s="1" t="s">
        <v>1524</v>
      </c>
      <c r="C258" s="1" t="s">
        <v>1525</v>
      </c>
      <c r="D258" s="1" t="s">
        <v>1315</v>
      </c>
      <c r="E258" s="1" t="s">
        <v>956</v>
      </c>
      <c r="F258" s="1" t="s">
        <v>810</v>
      </c>
      <c r="G258" s="7" t="s">
        <v>9</v>
      </c>
      <c r="H258" s="83" t="s">
        <v>9</v>
      </c>
      <c r="I258" s="83" t="s">
        <v>9</v>
      </c>
      <c r="J258" s="7" t="s">
        <v>9</v>
      </c>
      <c r="K258" s="7" t="s">
        <v>9</v>
      </c>
      <c r="L258" s="24" t="str">
        <f t="shared" si="72"/>
        <v>Arquitetônicos</v>
      </c>
      <c r="M258" s="24" t="str">
        <f t="shared" si="73"/>
        <v>Elementos.de.Esquadrias</v>
      </c>
      <c r="N258" s="24" t="str">
        <f t="shared" si="74"/>
        <v>Portas</v>
      </c>
      <c r="O258" s="24" t="str">
        <f t="shared" si="75"/>
        <v>Porta Pivotante</v>
      </c>
      <c r="P258" s="19" t="s">
        <v>822</v>
      </c>
      <c r="Q258" s="19" t="s">
        <v>824</v>
      </c>
      <c r="R258" s="19" t="s">
        <v>1852</v>
      </c>
      <c r="S258" s="43" t="s">
        <v>9</v>
      </c>
      <c r="T258" s="25" t="str">
        <f t="shared" si="76"/>
        <v>Arquitetônicos</v>
      </c>
      <c r="U258" s="25" t="str">
        <f t="shared" si="77"/>
        <v>Elementos de Esquadrias</v>
      </c>
      <c r="V258" s="25" t="str">
        <f t="shared" si="78"/>
        <v>Portas</v>
      </c>
      <c r="W258" s="19" t="s">
        <v>74</v>
      </c>
      <c r="X258" s="57" t="str">
        <f t="shared" si="79"/>
        <v>Key-ARQ-258</v>
      </c>
      <c r="Y258" s="19" t="s">
        <v>1390</v>
      </c>
      <c r="Z258" s="25" t="s">
        <v>9</v>
      </c>
      <c r="AA258" s="25" t="s">
        <v>1322</v>
      </c>
      <c r="AB258" s="25" t="s">
        <v>9</v>
      </c>
      <c r="AC258" s="25" t="s">
        <v>1559</v>
      </c>
      <c r="AD258" s="25" t="s">
        <v>9</v>
      </c>
    </row>
    <row r="259" spans="1:30" ht="6.65" customHeight="1" x14ac:dyDescent="0.4">
      <c r="A259" s="21">
        <v>259</v>
      </c>
      <c r="B259" s="1" t="s">
        <v>1524</v>
      </c>
      <c r="C259" s="1" t="s">
        <v>1525</v>
      </c>
      <c r="D259" s="1" t="s">
        <v>1315</v>
      </c>
      <c r="E259" s="1" t="s">
        <v>956</v>
      </c>
      <c r="F259" s="1" t="s">
        <v>807</v>
      </c>
      <c r="G259" s="7" t="s">
        <v>9</v>
      </c>
      <c r="H259" s="83" t="s">
        <v>9</v>
      </c>
      <c r="I259" s="83" t="s">
        <v>9</v>
      </c>
      <c r="J259" s="7" t="s">
        <v>9</v>
      </c>
      <c r="K259" s="7" t="s">
        <v>9</v>
      </c>
      <c r="L259" s="24" t="str">
        <f t="shared" ref="L259:L322" si="88">CONCATENATE("", C259)</f>
        <v>Arquitetônicos</v>
      </c>
      <c r="M259" s="24" t="str">
        <f t="shared" ref="M259:M322" si="89">CONCATENATE("", D259)</f>
        <v>Elementos.de.Esquadrias</v>
      </c>
      <c r="N259" s="24" t="str">
        <f t="shared" ref="N259:N322" si="90">(SUBSTITUTE(SUBSTITUTE(CONCATENATE("",E259),"."," ")," De "," de "))</f>
        <v>Portas</v>
      </c>
      <c r="O259" s="24" t="str">
        <f t="shared" ref="O259:O322" si="91">(SUBSTITUTE(SUBSTITUTE(CONCATENATE("",F259),"."," ")," De "," de "))</f>
        <v>Porta Articulada</v>
      </c>
      <c r="P259" s="19" t="s">
        <v>808</v>
      </c>
      <c r="Q259" s="29" t="s">
        <v>811</v>
      </c>
      <c r="R259" s="19" t="s">
        <v>1853</v>
      </c>
      <c r="S259" s="43" t="s">
        <v>9</v>
      </c>
      <c r="T259" s="25" t="str">
        <f t="shared" ref="T259:T322" si="92">SUBSTITUTE(C259, ".", " ")</f>
        <v>Arquitetônicos</v>
      </c>
      <c r="U259" s="25" t="str">
        <f t="shared" ref="U259:U322" si="93">SUBSTITUTE(D259, ".", " ")</f>
        <v>Elementos de Esquadrias</v>
      </c>
      <c r="V259" s="25" t="str">
        <f t="shared" ref="V259:V322" si="94">SUBSTITUTE(E259, ".", " ")</f>
        <v>Portas</v>
      </c>
      <c r="W259" s="19" t="s">
        <v>74</v>
      </c>
      <c r="X259" s="57" t="str">
        <f t="shared" ref="X259:X322" si="95">CONCATENATE("Key-ARQ-",A259)</f>
        <v>Key-ARQ-259</v>
      </c>
      <c r="Y259" s="19" t="s">
        <v>1390</v>
      </c>
      <c r="Z259" s="25" t="s">
        <v>9</v>
      </c>
      <c r="AA259" s="25" t="s">
        <v>1322</v>
      </c>
      <c r="AB259" s="25" t="s">
        <v>9</v>
      </c>
      <c r="AC259" s="25" t="s">
        <v>1559</v>
      </c>
      <c r="AD259" s="25" t="s">
        <v>9</v>
      </c>
    </row>
    <row r="260" spans="1:30" ht="6.65" customHeight="1" x14ac:dyDescent="0.4">
      <c r="A260" s="21">
        <v>260</v>
      </c>
      <c r="B260" s="1" t="s">
        <v>1524</v>
      </c>
      <c r="C260" s="1" t="s">
        <v>1525</v>
      </c>
      <c r="D260" s="1" t="s">
        <v>1315</v>
      </c>
      <c r="E260" s="1" t="s">
        <v>956</v>
      </c>
      <c r="F260" s="1" t="s">
        <v>714</v>
      </c>
      <c r="G260" s="7" t="s">
        <v>9</v>
      </c>
      <c r="H260" s="83" t="s">
        <v>9</v>
      </c>
      <c r="I260" s="83" t="s">
        <v>9</v>
      </c>
      <c r="J260" s="7" t="s">
        <v>9</v>
      </c>
      <c r="K260" s="7" t="s">
        <v>9</v>
      </c>
      <c r="L260" s="24" t="str">
        <f t="shared" si="88"/>
        <v>Arquitetônicos</v>
      </c>
      <c r="M260" s="24" t="str">
        <f t="shared" si="89"/>
        <v>Elementos.de.Esquadrias</v>
      </c>
      <c r="N260" s="24" t="str">
        <f t="shared" si="90"/>
        <v>Portas</v>
      </c>
      <c r="O260" s="24" t="str">
        <f t="shared" si="91"/>
        <v>Porta Bandeira</v>
      </c>
      <c r="P260" s="19" t="s">
        <v>717</v>
      </c>
      <c r="Q260" s="29" t="s">
        <v>740</v>
      </c>
      <c r="R260" s="19" t="s">
        <v>1854</v>
      </c>
      <c r="S260" s="43" t="s">
        <v>9</v>
      </c>
      <c r="T260" s="25" t="str">
        <f t="shared" si="92"/>
        <v>Arquitetônicos</v>
      </c>
      <c r="U260" s="25" t="str">
        <f t="shared" si="93"/>
        <v>Elementos de Esquadrias</v>
      </c>
      <c r="V260" s="25" t="str">
        <f t="shared" si="94"/>
        <v>Portas</v>
      </c>
      <c r="W260" s="19" t="s">
        <v>74</v>
      </c>
      <c r="X260" s="57" t="str">
        <f t="shared" si="95"/>
        <v>Key-ARQ-260</v>
      </c>
      <c r="Y260" s="19" t="s">
        <v>1390</v>
      </c>
      <c r="Z260" s="25" t="s">
        <v>9</v>
      </c>
      <c r="AA260" s="25" t="s">
        <v>1322</v>
      </c>
      <c r="AB260" s="25" t="s">
        <v>9</v>
      </c>
      <c r="AC260" s="25" t="s">
        <v>1559</v>
      </c>
      <c r="AD260" s="25" t="s">
        <v>9</v>
      </c>
    </row>
    <row r="261" spans="1:30" ht="6.65" customHeight="1" x14ac:dyDescent="0.4">
      <c r="A261" s="21">
        <v>261</v>
      </c>
      <c r="B261" s="1" t="s">
        <v>1524</v>
      </c>
      <c r="C261" s="1" t="s">
        <v>1525</v>
      </c>
      <c r="D261" s="1" t="s">
        <v>1315</v>
      </c>
      <c r="E261" s="1" t="s">
        <v>956</v>
      </c>
      <c r="F261" s="1" t="s">
        <v>742</v>
      </c>
      <c r="G261" s="7" t="s">
        <v>9</v>
      </c>
      <c r="H261" s="83" t="s">
        <v>9</v>
      </c>
      <c r="I261" s="83" t="s">
        <v>9</v>
      </c>
      <c r="J261" s="7" t="s">
        <v>9</v>
      </c>
      <c r="K261" s="7" t="s">
        <v>9</v>
      </c>
      <c r="L261" s="24" t="str">
        <f t="shared" si="88"/>
        <v>Arquitetônicos</v>
      </c>
      <c r="M261" s="24" t="str">
        <f t="shared" si="89"/>
        <v>Elementos.de.Esquadrias</v>
      </c>
      <c r="N261" s="24" t="str">
        <f t="shared" si="90"/>
        <v>Portas</v>
      </c>
      <c r="O261" s="24" t="str">
        <f t="shared" si="91"/>
        <v>Porta Giratória</v>
      </c>
      <c r="P261" s="19" t="s">
        <v>741</v>
      </c>
      <c r="Q261" s="29" t="s">
        <v>745</v>
      </c>
      <c r="R261" s="19" t="s">
        <v>1855</v>
      </c>
      <c r="S261" s="43" t="s">
        <v>9</v>
      </c>
      <c r="T261" s="25" t="str">
        <f t="shared" si="92"/>
        <v>Arquitetônicos</v>
      </c>
      <c r="U261" s="25" t="str">
        <f t="shared" si="93"/>
        <v>Elementos de Esquadrias</v>
      </c>
      <c r="V261" s="25" t="str">
        <f t="shared" si="94"/>
        <v>Portas</v>
      </c>
      <c r="W261" s="19" t="s">
        <v>74</v>
      </c>
      <c r="X261" s="57" t="str">
        <f t="shared" si="95"/>
        <v>Key-ARQ-261</v>
      </c>
      <c r="Y261" s="19" t="s">
        <v>1390</v>
      </c>
      <c r="Z261" s="25" t="s">
        <v>9</v>
      </c>
      <c r="AA261" s="25" t="s">
        <v>1322</v>
      </c>
      <c r="AB261" s="25" t="s">
        <v>9</v>
      </c>
      <c r="AC261" s="25" t="s">
        <v>1559</v>
      </c>
      <c r="AD261" s="25" t="s">
        <v>9</v>
      </c>
    </row>
    <row r="262" spans="1:30" ht="6.65" customHeight="1" x14ac:dyDescent="0.4">
      <c r="A262" s="21">
        <v>262</v>
      </c>
      <c r="B262" s="1" t="s">
        <v>1524</v>
      </c>
      <c r="C262" s="1" t="s">
        <v>1525</v>
      </c>
      <c r="D262" s="1" t="s">
        <v>1315</v>
      </c>
      <c r="E262" s="1" t="s">
        <v>956</v>
      </c>
      <c r="F262" s="1" t="s">
        <v>694</v>
      </c>
      <c r="G262" s="7" t="s">
        <v>9</v>
      </c>
      <c r="H262" s="83" t="s">
        <v>9</v>
      </c>
      <c r="I262" s="83" t="s">
        <v>9</v>
      </c>
      <c r="J262" s="7" t="s">
        <v>9</v>
      </c>
      <c r="K262" s="7" t="s">
        <v>9</v>
      </c>
      <c r="L262" s="24" t="str">
        <f t="shared" si="88"/>
        <v>Arquitetônicos</v>
      </c>
      <c r="M262" s="24" t="str">
        <f t="shared" si="89"/>
        <v>Elementos.de.Esquadrias</v>
      </c>
      <c r="N262" s="24" t="str">
        <f t="shared" si="90"/>
        <v>Portas</v>
      </c>
      <c r="O262" s="24" t="str">
        <f t="shared" si="91"/>
        <v>Porta Frigorífica</v>
      </c>
      <c r="P262" s="19" t="s">
        <v>739</v>
      </c>
      <c r="Q262" s="29" t="s">
        <v>809</v>
      </c>
      <c r="R262" s="19" t="s">
        <v>1856</v>
      </c>
      <c r="S262" s="43" t="s">
        <v>9</v>
      </c>
      <c r="T262" s="25" t="str">
        <f t="shared" si="92"/>
        <v>Arquitetônicos</v>
      </c>
      <c r="U262" s="25" t="str">
        <f t="shared" si="93"/>
        <v>Elementos de Esquadrias</v>
      </c>
      <c r="V262" s="25" t="str">
        <f t="shared" si="94"/>
        <v>Portas</v>
      </c>
      <c r="W262" s="19" t="s">
        <v>74</v>
      </c>
      <c r="X262" s="57" t="str">
        <f t="shared" si="95"/>
        <v>Key-ARQ-262</v>
      </c>
      <c r="Y262" s="19" t="s">
        <v>1390</v>
      </c>
      <c r="Z262" s="25" t="s">
        <v>9</v>
      </c>
      <c r="AA262" s="25" t="s">
        <v>1322</v>
      </c>
      <c r="AB262" s="25" t="s">
        <v>9</v>
      </c>
      <c r="AC262" s="25" t="s">
        <v>1559</v>
      </c>
      <c r="AD262" s="25" t="s">
        <v>9</v>
      </c>
    </row>
    <row r="263" spans="1:30" ht="6.65" customHeight="1" x14ac:dyDescent="0.4">
      <c r="A263" s="21">
        <v>263</v>
      </c>
      <c r="B263" s="1" t="s">
        <v>1524</v>
      </c>
      <c r="C263" s="1" t="s">
        <v>1525</v>
      </c>
      <c r="D263" s="1" t="s">
        <v>1315</v>
      </c>
      <c r="E263" s="1" t="s">
        <v>956</v>
      </c>
      <c r="F263" s="1" t="s">
        <v>695</v>
      </c>
      <c r="G263" s="7" t="s">
        <v>9</v>
      </c>
      <c r="H263" s="83" t="s">
        <v>9</v>
      </c>
      <c r="I263" s="83" t="s">
        <v>9</v>
      </c>
      <c r="J263" s="7" t="s">
        <v>9</v>
      </c>
      <c r="K263" s="7" t="s">
        <v>9</v>
      </c>
      <c r="L263" s="24" t="str">
        <f t="shared" si="88"/>
        <v>Arquitetônicos</v>
      </c>
      <c r="M263" s="24" t="str">
        <f t="shared" si="89"/>
        <v>Elementos.de.Esquadrias</v>
      </c>
      <c r="N263" s="24" t="str">
        <f t="shared" si="90"/>
        <v>Portas</v>
      </c>
      <c r="O263" s="24" t="str">
        <f t="shared" si="91"/>
        <v>Porta Biológica</v>
      </c>
      <c r="P263" s="19" t="s">
        <v>737</v>
      </c>
      <c r="Q263" s="29" t="s">
        <v>755</v>
      </c>
      <c r="R263" s="19" t="s">
        <v>1857</v>
      </c>
      <c r="S263" s="43" t="s">
        <v>9</v>
      </c>
      <c r="T263" s="25" t="str">
        <f t="shared" si="92"/>
        <v>Arquitetônicos</v>
      </c>
      <c r="U263" s="25" t="str">
        <f t="shared" si="93"/>
        <v>Elementos de Esquadrias</v>
      </c>
      <c r="V263" s="25" t="str">
        <f t="shared" si="94"/>
        <v>Portas</v>
      </c>
      <c r="W263" s="19" t="s">
        <v>74</v>
      </c>
      <c r="X263" s="57" t="str">
        <f t="shared" si="95"/>
        <v>Key-ARQ-263</v>
      </c>
      <c r="Y263" s="19" t="s">
        <v>1390</v>
      </c>
      <c r="Z263" s="25" t="s">
        <v>9</v>
      </c>
      <c r="AA263" s="25" t="s">
        <v>1322</v>
      </c>
      <c r="AB263" s="25" t="s">
        <v>9</v>
      </c>
      <c r="AC263" s="25" t="s">
        <v>1559</v>
      </c>
      <c r="AD263" s="25" t="s">
        <v>9</v>
      </c>
    </row>
    <row r="264" spans="1:30" ht="6.65" customHeight="1" x14ac:dyDescent="0.4">
      <c r="A264" s="21">
        <v>264</v>
      </c>
      <c r="B264" s="1" t="s">
        <v>1524</v>
      </c>
      <c r="C264" s="1" t="s">
        <v>1525</v>
      </c>
      <c r="D264" s="1" t="s">
        <v>1315</v>
      </c>
      <c r="E264" s="1" t="s">
        <v>956</v>
      </c>
      <c r="F264" s="1" t="s">
        <v>715</v>
      </c>
      <c r="G264" s="7" t="s">
        <v>9</v>
      </c>
      <c r="H264" s="83" t="s">
        <v>9</v>
      </c>
      <c r="I264" s="83" t="s">
        <v>9</v>
      </c>
      <c r="J264" s="7" t="s">
        <v>9</v>
      </c>
      <c r="K264" s="7" t="s">
        <v>9</v>
      </c>
      <c r="L264" s="24" t="str">
        <f t="shared" si="88"/>
        <v>Arquitetônicos</v>
      </c>
      <c r="M264" s="24" t="str">
        <f t="shared" si="89"/>
        <v>Elementos.de.Esquadrias</v>
      </c>
      <c r="N264" s="24" t="str">
        <f t="shared" si="90"/>
        <v>Portas</v>
      </c>
      <c r="O264" s="24" t="str">
        <f t="shared" si="91"/>
        <v>Porta Blindada</v>
      </c>
      <c r="P264" s="19" t="s">
        <v>738</v>
      </c>
      <c r="Q264" s="29" t="s">
        <v>756</v>
      </c>
      <c r="R264" s="19" t="s">
        <v>1858</v>
      </c>
      <c r="S264" s="43" t="s">
        <v>9</v>
      </c>
      <c r="T264" s="25" t="str">
        <f t="shared" si="92"/>
        <v>Arquitetônicos</v>
      </c>
      <c r="U264" s="25" t="str">
        <f t="shared" si="93"/>
        <v>Elementos de Esquadrias</v>
      </c>
      <c r="V264" s="25" t="str">
        <f t="shared" si="94"/>
        <v>Portas</v>
      </c>
      <c r="W264" s="19" t="s">
        <v>74</v>
      </c>
      <c r="X264" s="57" t="str">
        <f t="shared" si="95"/>
        <v>Key-ARQ-264</v>
      </c>
      <c r="Y264" s="19" t="s">
        <v>1390</v>
      </c>
      <c r="Z264" s="25" t="s">
        <v>9</v>
      </c>
      <c r="AA264" s="25" t="s">
        <v>1322</v>
      </c>
      <c r="AB264" s="25" t="s">
        <v>9</v>
      </c>
      <c r="AC264" s="25" t="s">
        <v>1559</v>
      </c>
      <c r="AD264" s="25" t="s">
        <v>9</v>
      </c>
    </row>
    <row r="265" spans="1:30" ht="6.65" customHeight="1" x14ac:dyDescent="0.4">
      <c r="A265" s="21">
        <v>265</v>
      </c>
      <c r="B265" s="1" t="s">
        <v>1524</v>
      </c>
      <c r="C265" s="1" t="s">
        <v>1525</v>
      </c>
      <c r="D265" s="1" t="s">
        <v>1315</v>
      </c>
      <c r="E265" s="1" t="s">
        <v>956</v>
      </c>
      <c r="F265" s="1" t="s">
        <v>743</v>
      </c>
      <c r="G265" s="7" t="s">
        <v>9</v>
      </c>
      <c r="H265" s="83" t="s">
        <v>9</v>
      </c>
      <c r="I265" s="83" t="s">
        <v>9</v>
      </c>
      <c r="J265" s="7" t="s">
        <v>9</v>
      </c>
      <c r="K265" s="7" t="s">
        <v>9</v>
      </c>
      <c r="L265" s="24" t="str">
        <f t="shared" si="88"/>
        <v>Arquitetônicos</v>
      </c>
      <c r="M265" s="24" t="str">
        <f t="shared" si="89"/>
        <v>Elementos.de.Esquadrias</v>
      </c>
      <c r="N265" s="24" t="str">
        <f t="shared" si="90"/>
        <v>Portas</v>
      </c>
      <c r="O265" s="24" t="str">
        <f t="shared" si="91"/>
        <v>Porta Telescópica</v>
      </c>
      <c r="P265" s="19" t="s">
        <v>744</v>
      </c>
      <c r="Q265" s="29" t="s">
        <v>757</v>
      </c>
      <c r="R265" s="19" t="s">
        <v>1859</v>
      </c>
      <c r="S265" s="43" t="s">
        <v>9</v>
      </c>
      <c r="T265" s="25" t="str">
        <f t="shared" si="92"/>
        <v>Arquitetônicos</v>
      </c>
      <c r="U265" s="25" t="str">
        <f t="shared" si="93"/>
        <v>Elementos de Esquadrias</v>
      </c>
      <c r="V265" s="25" t="str">
        <f t="shared" si="94"/>
        <v>Portas</v>
      </c>
      <c r="W265" s="19" t="s">
        <v>74</v>
      </c>
      <c r="X265" s="57" t="str">
        <f t="shared" si="95"/>
        <v>Key-ARQ-265</v>
      </c>
      <c r="Y265" s="19" t="s">
        <v>1390</v>
      </c>
      <c r="Z265" s="25" t="s">
        <v>9</v>
      </c>
      <c r="AA265" s="25" t="s">
        <v>1322</v>
      </c>
      <c r="AB265" s="25" t="s">
        <v>9</v>
      </c>
      <c r="AC265" s="25" t="s">
        <v>1559</v>
      </c>
      <c r="AD265" s="25" t="s">
        <v>9</v>
      </c>
    </row>
    <row r="266" spans="1:30" ht="6.65" customHeight="1" x14ac:dyDescent="0.4">
      <c r="A266" s="21">
        <v>266</v>
      </c>
      <c r="B266" s="1" t="s">
        <v>1524</v>
      </c>
      <c r="C266" s="1" t="s">
        <v>1525</v>
      </c>
      <c r="D266" s="1" t="s">
        <v>1315</v>
      </c>
      <c r="E266" s="1" t="s">
        <v>957</v>
      </c>
      <c r="F266" s="1" t="s">
        <v>1134</v>
      </c>
      <c r="G266" s="7" t="s">
        <v>9</v>
      </c>
      <c r="H266" s="83" t="s">
        <v>9</v>
      </c>
      <c r="I266" s="83" t="s">
        <v>9</v>
      </c>
      <c r="J266" s="7" t="s">
        <v>9</v>
      </c>
      <c r="K266" s="7" t="s">
        <v>9</v>
      </c>
      <c r="L266" s="24" t="str">
        <f t="shared" si="88"/>
        <v>Arquitetônicos</v>
      </c>
      <c r="M266" s="24" t="str">
        <f t="shared" si="89"/>
        <v>Elementos.de.Esquadrias</v>
      </c>
      <c r="N266" s="24" t="str">
        <f t="shared" si="90"/>
        <v>Portões</v>
      </c>
      <c r="O266" s="24" t="str">
        <f t="shared" si="91"/>
        <v>Portão Garagem</v>
      </c>
      <c r="P266" s="19" t="s">
        <v>794</v>
      </c>
      <c r="Q266" s="19" t="s">
        <v>795</v>
      </c>
      <c r="R266" s="19" t="s">
        <v>1860</v>
      </c>
      <c r="S266" s="43" t="s">
        <v>9</v>
      </c>
      <c r="T266" s="25" t="str">
        <f t="shared" si="92"/>
        <v>Arquitetônicos</v>
      </c>
      <c r="U266" s="25" t="str">
        <f t="shared" si="93"/>
        <v>Elementos de Esquadrias</v>
      </c>
      <c r="V266" s="25" t="str">
        <f t="shared" si="94"/>
        <v>Portões</v>
      </c>
      <c r="W266" s="19" t="s">
        <v>74</v>
      </c>
      <c r="X266" s="57" t="str">
        <f t="shared" si="95"/>
        <v>Key-ARQ-266</v>
      </c>
      <c r="Y266" s="19" t="s">
        <v>1390</v>
      </c>
      <c r="Z266" s="25" t="s">
        <v>9</v>
      </c>
      <c r="AA266" s="25" t="s">
        <v>1322</v>
      </c>
      <c r="AB266" s="25" t="s">
        <v>9</v>
      </c>
      <c r="AC266" s="25" t="s">
        <v>1559</v>
      </c>
      <c r="AD266" s="25" t="s">
        <v>9</v>
      </c>
    </row>
    <row r="267" spans="1:30" ht="6.65" customHeight="1" x14ac:dyDescent="0.4">
      <c r="A267" s="21">
        <v>267</v>
      </c>
      <c r="B267" s="1" t="s">
        <v>1524</v>
      </c>
      <c r="C267" s="1" t="s">
        <v>1525</v>
      </c>
      <c r="D267" s="1" t="s">
        <v>1315</v>
      </c>
      <c r="E267" s="1" t="s">
        <v>957</v>
      </c>
      <c r="F267" s="1" t="s">
        <v>1135</v>
      </c>
      <c r="G267" s="7" t="s">
        <v>9</v>
      </c>
      <c r="H267" s="83" t="s">
        <v>9</v>
      </c>
      <c r="I267" s="83" t="s">
        <v>9</v>
      </c>
      <c r="J267" s="7" t="s">
        <v>9</v>
      </c>
      <c r="K267" s="7" t="s">
        <v>9</v>
      </c>
      <c r="L267" s="24" t="str">
        <f t="shared" si="88"/>
        <v>Arquitetônicos</v>
      </c>
      <c r="M267" s="24" t="str">
        <f t="shared" si="89"/>
        <v>Elementos.de.Esquadrias</v>
      </c>
      <c r="N267" s="24" t="str">
        <f t="shared" si="90"/>
        <v>Portões</v>
      </c>
      <c r="O267" s="24" t="str">
        <f t="shared" si="91"/>
        <v>Portão Seccional</v>
      </c>
      <c r="P267" s="19" t="s">
        <v>797</v>
      </c>
      <c r="Q267" s="19" t="s">
        <v>796</v>
      </c>
      <c r="R267" s="19" t="s">
        <v>1861</v>
      </c>
      <c r="S267" s="43" t="s">
        <v>9</v>
      </c>
      <c r="T267" s="25" t="str">
        <f t="shared" si="92"/>
        <v>Arquitetônicos</v>
      </c>
      <c r="U267" s="25" t="str">
        <f t="shared" si="93"/>
        <v>Elementos de Esquadrias</v>
      </c>
      <c r="V267" s="25" t="str">
        <f t="shared" si="94"/>
        <v>Portões</v>
      </c>
      <c r="W267" s="19" t="s">
        <v>74</v>
      </c>
      <c r="X267" s="57" t="str">
        <f t="shared" si="95"/>
        <v>Key-ARQ-267</v>
      </c>
      <c r="Y267" s="19" t="s">
        <v>1390</v>
      </c>
      <c r="Z267" s="25" t="s">
        <v>9</v>
      </c>
      <c r="AA267" s="25" t="s">
        <v>1322</v>
      </c>
      <c r="AB267" s="25" t="s">
        <v>9</v>
      </c>
      <c r="AC267" s="25" t="s">
        <v>1559</v>
      </c>
      <c r="AD267" s="25" t="s">
        <v>9</v>
      </c>
    </row>
    <row r="268" spans="1:30" ht="6.65" customHeight="1" x14ac:dyDescent="0.4">
      <c r="A268" s="21">
        <v>268</v>
      </c>
      <c r="B268" s="1" t="s">
        <v>1524</v>
      </c>
      <c r="C268" s="1" t="s">
        <v>1525</v>
      </c>
      <c r="D268" s="1" t="s">
        <v>1315</v>
      </c>
      <c r="E268" s="1" t="s">
        <v>1133</v>
      </c>
      <c r="F268" s="1" t="s">
        <v>798</v>
      </c>
      <c r="G268" s="7" t="s">
        <v>9</v>
      </c>
      <c r="H268" s="83" t="s">
        <v>9</v>
      </c>
      <c r="I268" s="83" t="s">
        <v>9</v>
      </c>
      <c r="J268" s="7" t="s">
        <v>9</v>
      </c>
      <c r="K268" s="7" t="s">
        <v>9</v>
      </c>
      <c r="L268" s="24" t="str">
        <f t="shared" si="88"/>
        <v>Arquitetônicos</v>
      </c>
      <c r="M268" s="24" t="str">
        <f t="shared" si="89"/>
        <v>Elementos.de.Esquadrias</v>
      </c>
      <c r="N268" s="24" t="str">
        <f t="shared" si="90"/>
        <v>Alçapões</v>
      </c>
      <c r="O268" s="24" t="str">
        <f t="shared" si="91"/>
        <v>Alçapão Acesso</v>
      </c>
      <c r="P268" s="30" t="s">
        <v>721</v>
      </c>
      <c r="Q268" s="29" t="s">
        <v>728</v>
      </c>
      <c r="R268" s="19" t="s">
        <v>1862</v>
      </c>
      <c r="S268" s="43" t="s">
        <v>9</v>
      </c>
      <c r="T268" s="25" t="str">
        <f t="shared" si="92"/>
        <v>Arquitetônicos</v>
      </c>
      <c r="U268" s="25" t="str">
        <f t="shared" si="93"/>
        <v>Elementos de Esquadrias</v>
      </c>
      <c r="V268" s="25" t="str">
        <f t="shared" si="94"/>
        <v>Alçapões</v>
      </c>
      <c r="W268" s="19" t="s">
        <v>74</v>
      </c>
      <c r="X268" s="57" t="str">
        <f t="shared" si="95"/>
        <v>Key-ARQ-268</v>
      </c>
      <c r="Y268" s="19" t="s">
        <v>1390</v>
      </c>
      <c r="Z268" s="25" t="s">
        <v>9</v>
      </c>
      <c r="AA268" s="25" t="s">
        <v>1322</v>
      </c>
      <c r="AB268" s="25" t="s">
        <v>9</v>
      </c>
      <c r="AC268" s="25" t="s">
        <v>1559</v>
      </c>
      <c r="AD268" s="25" t="s">
        <v>9</v>
      </c>
    </row>
    <row r="269" spans="1:30" ht="6.65" customHeight="1" x14ac:dyDescent="0.4">
      <c r="A269" s="21">
        <v>269</v>
      </c>
      <c r="B269" s="1" t="s">
        <v>1524</v>
      </c>
      <c r="C269" s="1" t="s">
        <v>1525</v>
      </c>
      <c r="D269" s="1" t="s">
        <v>1315</v>
      </c>
      <c r="E269" s="1" t="s">
        <v>1133</v>
      </c>
      <c r="F269" s="1" t="s">
        <v>719</v>
      </c>
      <c r="G269" s="7" t="s">
        <v>9</v>
      </c>
      <c r="H269" s="83" t="s">
        <v>9</v>
      </c>
      <c r="I269" s="83" t="s">
        <v>9</v>
      </c>
      <c r="J269" s="7" t="s">
        <v>9</v>
      </c>
      <c r="K269" s="7" t="s">
        <v>9</v>
      </c>
      <c r="L269" s="24" t="str">
        <f t="shared" si="88"/>
        <v>Arquitetônicos</v>
      </c>
      <c r="M269" s="24" t="str">
        <f t="shared" si="89"/>
        <v>Elementos.de.Esquadrias</v>
      </c>
      <c r="N269" s="24" t="str">
        <f t="shared" si="90"/>
        <v>Alçapões</v>
      </c>
      <c r="O269" s="24" t="str">
        <f t="shared" si="91"/>
        <v>Alçapão Emergência</v>
      </c>
      <c r="P269" s="30" t="s">
        <v>720</v>
      </c>
      <c r="Q269" s="29" t="s">
        <v>729</v>
      </c>
      <c r="R269" s="19" t="s">
        <v>1863</v>
      </c>
      <c r="S269" s="43" t="s">
        <v>9</v>
      </c>
      <c r="T269" s="25" t="str">
        <f t="shared" si="92"/>
        <v>Arquitetônicos</v>
      </c>
      <c r="U269" s="25" t="str">
        <f t="shared" si="93"/>
        <v>Elementos de Esquadrias</v>
      </c>
      <c r="V269" s="25" t="str">
        <f t="shared" si="94"/>
        <v>Alçapões</v>
      </c>
      <c r="W269" s="19" t="s">
        <v>74</v>
      </c>
      <c r="X269" s="57" t="str">
        <f t="shared" si="95"/>
        <v>Key-ARQ-269</v>
      </c>
      <c r="Y269" s="19" t="s">
        <v>1390</v>
      </c>
      <c r="Z269" s="25" t="s">
        <v>9</v>
      </c>
      <c r="AA269" s="25" t="s">
        <v>1322</v>
      </c>
      <c r="AB269" s="25" t="s">
        <v>9</v>
      </c>
      <c r="AC269" s="25" t="s">
        <v>1559</v>
      </c>
      <c r="AD269" s="25" t="s">
        <v>9</v>
      </c>
    </row>
    <row r="270" spans="1:30" ht="6.65" customHeight="1" x14ac:dyDescent="0.4">
      <c r="A270" s="21">
        <v>270</v>
      </c>
      <c r="B270" s="1" t="s">
        <v>1524</v>
      </c>
      <c r="C270" s="1" t="s">
        <v>1525</v>
      </c>
      <c r="D270" s="1" t="s">
        <v>1315</v>
      </c>
      <c r="E270" s="1" t="s">
        <v>958</v>
      </c>
      <c r="F270" s="1" t="s">
        <v>706</v>
      </c>
      <c r="G270" s="7" t="s">
        <v>9</v>
      </c>
      <c r="H270" s="83" t="s">
        <v>9</v>
      </c>
      <c r="I270" s="83" t="s">
        <v>9</v>
      </c>
      <c r="J270" s="7" t="s">
        <v>9</v>
      </c>
      <c r="K270" s="7" t="s">
        <v>9</v>
      </c>
      <c r="L270" s="24" t="str">
        <f t="shared" si="88"/>
        <v>Arquitetônicos</v>
      </c>
      <c r="M270" s="24" t="str">
        <f t="shared" si="89"/>
        <v>Elementos.de.Esquadrias</v>
      </c>
      <c r="N270" s="24" t="str">
        <f t="shared" si="90"/>
        <v>PassThroughs</v>
      </c>
      <c r="O270" s="24" t="str">
        <f t="shared" si="91"/>
        <v>PassT Farmacéutico</v>
      </c>
      <c r="P270" s="19" t="s">
        <v>709</v>
      </c>
      <c r="Q270" s="29" t="s">
        <v>708</v>
      </c>
      <c r="R270" s="19" t="s">
        <v>1864</v>
      </c>
      <c r="S270" s="43" t="s">
        <v>9</v>
      </c>
      <c r="T270" s="25" t="str">
        <f t="shared" si="92"/>
        <v>Arquitetônicos</v>
      </c>
      <c r="U270" s="25" t="str">
        <f t="shared" si="93"/>
        <v>Elementos de Esquadrias</v>
      </c>
      <c r="V270" s="25" t="str">
        <f t="shared" si="94"/>
        <v>PassThroughs</v>
      </c>
      <c r="W270" s="19" t="s">
        <v>74</v>
      </c>
      <c r="X270" s="57" t="str">
        <f t="shared" si="95"/>
        <v>Key-ARQ-270</v>
      </c>
      <c r="Y270" s="19" t="s">
        <v>1390</v>
      </c>
      <c r="Z270" s="25" t="s">
        <v>9</v>
      </c>
      <c r="AA270" s="25" t="s">
        <v>1322</v>
      </c>
      <c r="AB270" s="25" t="s">
        <v>9</v>
      </c>
      <c r="AC270" s="25" t="s">
        <v>1559</v>
      </c>
      <c r="AD270" s="25" t="s">
        <v>9</v>
      </c>
    </row>
    <row r="271" spans="1:30" ht="6.65" customHeight="1" x14ac:dyDescent="0.4">
      <c r="A271" s="21">
        <v>271</v>
      </c>
      <c r="B271" s="1" t="s">
        <v>1524</v>
      </c>
      <c r="C271" s="1" t="s">
        <v>1525</v>
      </c>
      <c r="D271" s="1" t="s">
        <v>1315</v>
      </c>
      <c r="E271" s="1" t="s">
        <v>958</v>
      </c>
      <c r="F271" s="1" t="s">
        <v>707</v>
      </c>
      <c r="G271" s="7" t="s">
        <v>9</v>
      </c>
      <c r="H271" s="83" t="s">
        <v>9</v>
      </c>
      <c r="I271" s="83" t="s">
        <v>9</v>
      </c>
      <c r="J271" s="7" t="s">
        <v>9</v>
      </c>
      <c r="K271" s="7" t="s">
        <v>9</v>
      </c>
      <c r="L271" s="24" t="str">
        <f t="shared" si="88"/>
        <v>Arquitetônicos</v>
      </c>
      <c r="M271" s="24" t="str">
        <f t="shared" si="89"/>
        <v>Elementos.de.Esquadrias</v>
      </c>
      <c r="N271" s="24" t="str">
        <f t="shared" si="90"/>
        <v>PassThroughs</v>
      </c>
      <c r="O271" s="24" t="str">
        <f t="shared" si="91"/>
        <v>PassT Biológico</v>
      </c>
      <c r="P271" s="19" t="s">
        <v>709</v>
      </c>
      <c r="Q271" s="29" t="s">
        <v>730</v>
      </c>
      <c r="R271" s="19" t="s">
        <v>1864</v>
      </c>
      <c r="S271" s="43" t="s">
        <v>9</v>
      </c>
      <c r="T271" s="25" t="str">
        <f t="shared" si="92"/>
        <v>Arquitetônicos</v>
      </c>
      <c r="U271" s="25" t="str">
        <f t="shared" si="93"/>
        <v>Elementos de Esquadrias</v>
      </c>
      <c r="V271" s="25" t="str">
        <f t="shared" si="94"/>
        <v>PassThroughs</v>
      </c>
      <c r="W271" s="19" t="s">
        <v>74</v>
      </c>
      <c r="X271" s="57" t="str">
        <f t="shared" si="95"/>
        <v>Key-ARQ-271</v>
      </c>
      <c r="Y271" s="19" t="s">
        <v>1390</v>
      </c>
      <c r="Z271" s="25" t="s">
        <v>9</v>
      </c>
      <c r="AA271" s="25" t="s">
        <v>1322</v>
      </c>
      <c r="AB271" s="25" t="s">
        <v>9</v>
      </c>
      <c r="AC271" s="25" t="s">
        <v>1559</v>
      </c>
      <c r="AD271" s="25" t="s">
        <v>9</v>
      </c>
    </row>
    <row r="272" spans="1:30" ht="6.65" customHeight="1" x14ac:dyDescent="0.4">
      <c r="A272" s="21">
        <v>272</v>
      </c>
      <c r="B272" s="1" t="s">
        <v>1524</v>
      </c>
      <c r="C272" s="1" t="s">
        <v>1525</v>
      </c>
      <c r="D272" s="1" t="s">
        <v>1315</v>
      </c>
      <c r="E272" s="1" t="s">
        <v>958</v>
      </c>
      <c r="F272" s="1" t="s">
        <v>718</v>
      </c>
      <c r="G272" s="7" t="s">
        <v>9</v>
      </c>
      <c r="H272" s="83" t="s">
        <v>9</v>
      </c>
      <c r="I272" s="83" t="s">
        <v>9</v>
      </c>
      <c r="J272" s="7" t="s">
        <v>9</v>
      </c>
      <c r="K272" s="7" t="s">
        <v>9</v>
      </c>
      <c r="L272" s="24" t="str">
        <f t="shared" si="88"/>
        <v>Arquitetônicos</v>
      </c>
      <c r="M272" s="24" t="str">
        <f t="shared" si="89"/>
        <v>Elementos.de.Esquadrias</v>
      </c>
      <c r="N272" s="24" t="str">
        <f t="shared" si="90"/>
        <v>PassThroughs</v>
      </c>
      <c r="O272" s="24" t="str">
        <f t="shared" si="91"/>
        <v>PassT Alimentação</v>
      </c>
      <c r="P272" s="19" t="s">
        <v>710</v>
      </c>
      <c r="Q272" s="29" t="s">
        <v>731</v>
      </c>
      <c r="R272" s="19" t="s">
        <v>1865</v>
      </c>
      <c r="S272" s="43" t="s">
        <v>9</v>
      </c>
      <c r="T272" s="25" t="str">
        <f t="shared" si="92"/>
        <v>Arquitetônicos</v>
      </c>
      <c r="U272" s="25" t="str">
        <f t="shared" si="93"/>
        <v>Elementos de Esquadrias</v>
      </c>
      <c r="V272" s="25" t="str">
        <f t="shared" si="94"/>
        <v>PassThroughs</v>
      </c>
      <c r="W272" s="19" t="s">
        <v>74</v>
      </c>
      <c r="X272" s="57" t="str">
        <f t="shared" si="95"/>
        <v>Key-ARQ-272</v>
      </c>
      <c r="Y272" s="19" t="s">
        <v>1390</v>
      </c>
      <c r="Z272" s="25" t="s">
        <v>9</v>
      </c>
      <c r="AA272" s="25" t="s">
        <v>1322</v>
      </c>
      <c r="AB272" s="25" t="s">
        <v>9</v>
      </c>
      <c r="AC272" s="25" t="s">
        <v>1559</v>
      </c>
      <c r="AD272" s="25" t="s">
        <v>9</v>
      </c>
    </row>
    <row r="273" spans="1:30" ht="6.65" customHeight="1" x14ac:dyDescent="0.4">
      <c r="A273" s="21">
        <v>273</v>
      </c>
      <c r="B273" s="1" t="s">
        <v>1524</v>
      </c>
      <c r="C273" s="1" t="s">
        <v>1525</v>
      </c>
      <c r="D273" s="1" t="s">
        <v>1315</v>
      </c>
      <c r="E273" s="1" t="s">
        <v>959</v>
      </c>
      <c r="F273" s="23" t="s">
        <v>1273</v>
      </c>
      <c r="G273" s="7" t="s">
        <v>9</v>
      </c>
      <c r="H273" s="7" t="s">
        <v>9</v>
      </c>
      <c r="I273" s="7" t="s">
        <v>9</v>
      </c>
      <c r="J273" s="7" t="s">
        <v>9</v>
      </c>
      <c r="K273" s="7" t="s">
        <v>9</v>
      </c>
      <c r="L273" s="24" t="str">
        <f t="shared" si="88"/>
        <v>Arquitetônicos</v>
      </c>
      <c r="M273" s="24" t="str">
        <f t="shared" si="89"/>
        <v>Elementos.de.Esquadrias</v>
      </c>
      <c r="N273" s="24" t="str">
        <f t="shared" si="90"/>
        <v>Persianas</v>
      </c>
      <c r="O273" s="24" t="str">
        <f t="shared" si="91"/>
        <v>Persiana</v>
      </c>
      <c r="P273" s="19" t="s">
        <v>1276</v>
      </c>
      <c r="Q273" s="19" t="s">
        <v>1270</v>
      </c>
      <c r="R273" s="19" t="s">
        <v>1866</v>
      </c>
      <c r="S273" s="43" t="s">
        <v>9</v>
      </c>
      <c r="T273" s="25" t="str">
        <f t="shared" si="92"/>
        <v>Arquitetônicos</v>
      </c>
      <c r="U273" s="25" t="str">
        <f t="shared" si="93"/>
        <v>Elementos de Esquadrias</v>
      </c>
      <c r="V273" s="25" t="str">
        <f t="shared" si="94"/>
        <v>Persianas</v>
      </c>
      <c r="W273" s="19" t="s">
        <v>74</v>
      </c>
      <c r="X273" s="57" t="str">
        <f t="shared" si="95"/>
        <v>Key-ARQ-273</v>
      </c>
      <c r="Y273" s="19" t="s">
        <v>1427</v>
      </c>
      <c r="Z273" s="25" t="s">
        <v>9</v>
      </c>
      <c r="AA273" s="25" t="s">
        <v>1352</v>
      </c>
      <c r="AB273" s="25" t="s">
        <v>9</v>
      </c>
      <c r="AC273" s="25" t="s">
        <v>1558</v>
      </c>
      <c r="AD273" s="25" t="s">
        <v>9</v>
      </c>
    </row>
    <row r="274" spans="1:30" ht="6.65" customHeight="1" x14ac:dyDescent="0.4">
      <c r="A274" s="21">
        <v>274</v>
      </c>
      <c r="B274" s="1" t="s">
        <v>1524</v>
      </c>
      <c r="C274" s="1" t="s">
        <v>1525</v>
      </c>
      <c r="D274" s="1" t="s">
        <v>1315</v>
      </c>
      <c r="E274" s="1" t="s">
        <v>959</v>
      </c>
      <c r="F274" s="1" t="s">
        <v>722</v>
      </c>
      <c r="G274" s="7" t="s">
        <v>9</v>
      </c>
      <c r="H274" s="83" t="s">
        <v>9</v>
      </c>
      <c r="I274" s="7" t="s">
        <v>9</v>
      </c>
      <c r="J274" s="7" t="s">
        <v>9</v>
      </c>
      <c r="K274" s="7" t="s">
        <v>9</v>
      </c>
      <c r="L274" s="24" t="str">
        <f t="shared" si="88"/>
        <v>Arquitetônicos</v>
      </c>
      <c r="M274" s="24" t="str">
        <f t="shared" si="89"/>
        <v>Elementos.de.Esquadrias</v>
      </c>
      <c r="N274" s="24" t="str">
        <f t="shared" si="90"/>
        <v>Persianas</v>
      </c>
      <c r="O274" s="24" t="str">
        <f t="shared" si="91"/>
        <v>Persiana Horizontal</v>
      </c>
      <c r="P274" s="19" t="s">
        <v>1277</v>
      </c>
      <c r="Q274" s="29" t="s">
        <v>732</v>
      </c>
      <c r="R274" s="19" t="s">
        <v>1867</v>
      </c>
      <c r="S274" s="43" t="s">
        <v>9</v>
      </c>
      <c r="T274" s="25" t="str">
        <f t="shared" si="92"/>
        <v>Arquitetônicos</v>
      </c>
      <c r="U274" s="25" t="str">
        <f t="shared" si="93"/>
        <v>Elementos de Esquadrias</v>
      </c>
      <c r="V274" s="25" t="str">
        <f t="shared" si="94"/>
        <v>Persianas</v>
      </c>
      <c r="W274" s="19" t="s">
        <v>74</v>
      </c>
      <c r="X274" s="57" t="str">
        <f t="shared" si="95"/>
        <v>Key-ARQ-274</v>
      </c>
      <c r="Y274" s="19" t="s">
        <v>1427</v>
      </c>
      <c r="Z274" s="25" t="s">
        <v>9</v>
      </c>
      <c r="AA274" s="25" t="s">
        <v>1352</v>
      </c>
      <c r="AB274" s="25" t="s">
        <v>9</v>
      </c>
      <c r="AC274" s="25" t="s">
        <v>1558</v>
      </c>
      <c r="AD274" s="25" t="s">
        <v>9</v>
      </c>
    </row>
    <row r="275" spans="1:30" ht="6.65" customHeight="1" x14ac:dyDescent="0.4">
      <c r="A275" s="21">
        <v>275</v>
      </c>
      <c r="B275" s="1" t="s">
        <v>1524</v>
      </c>
      <c r="C275" s="1" t="s">
        <v>1525</v>
      </c>
      <c r="D275" s="1" t="s">
        <v>1315</v>
      </c>
      <c r="E275" s="1" t="s">
        <v>959</v>
      </c>
      <c r="F275" s="1" t="s">
        <v>723</v>
      </c>
      <c r="G275" s="7" t="s">
        <v>9</v>
      </c>
      <c r="H275" s="83" t="s">
        <v>9</v>
      </c>
      <c r="I275" s="7" t="s">
        <v>9</v>
      </c>
      <c r="J275" s="7" t="s">
        <v>9</v>
      </c>
      <c r="K275" s="7" t="s">
        <v>9</v>
      </c>
      <c r="L275" s="24" t="str">
        <f t="shared" si="88"/>
        <v>Arquitetônicos</v>
      </c>
      <c r="M275" s="24" t="str">
        <f t="shared" si="89"/>
        <v>Elementos.de.Esquadrias</v>
      </c>
      <c r="N275" s="24" t="str">
        <f t="shared" si="90"/>
        <v>Persianas</v>
      </c>
      <c r="O275" s="24" t="str">
        <f t="shared" si="91"/>
        <v>Persiana Vertical</v>
      </c>
      <c r="P275" s="19" t="s">
        <v>1278</v>
      </c>
      <c r="Q275" s="29" t="s">
        <v>733</v>
      </c>
      <c r="R275" s="19" t="s">
        <v>1868</v>
      </c>
      <c r="S275" s="43" t="s">
        <v>9</v>
      </c>
      <c r="T275" s="25" t="str">
        <f t="shared" si="92"/>
        <v>Arquitetônicos</v>
      </c>
      <c r="U275" s="25" t="str">
        <f t="shared" si="93"/>
        <v>Elementos de Esquadrias</v>
      </c>
      <c r="V275" s="25" t="str">
        <f t="shared" si="94"/>
        <v>Persianas</v>
      </c>
      <c r="W275" s="19" t="s">
        <v>74</v>
      </c>
      <c r="X275" s="57" t="str">
        <f t="shared" si="95"/>
        <v>Key-ARQ-275</v>
      </c>
      <c r="Y275" s="19" t="s">
        <v>1427</v>
      </c>
      <c r="Z275" s="25" t="s">
        <v>9</v>
      </c>
      <c r="AA275" s="25" t="s">
        <v>1352</v>
      </c>
      <c r="AB275" s="25" t="s">
        <v>9</v>
      </c>
      <c r="AC275" s="25" t="s">
        <v>1558</v>
      </c>
      <c r="AD275" s="25" t="s">
        <v>9</v>
      </c>
    </row>
    <row r="276" spans="1:30" ht="6.65" customHeight="1" x14ac:dyDescent="0.4">
      <c r="A276" s="21">
        <v>276</v>
      </c>
      <c r="B276" s="1" t="s">
        <v>1524</v>
      </c>
      <c r="C276" s="1" t="s">
        <v>1525</v>
      </c>
      <c r="D276" s="1" t="s">
        <v>1315</v>
      </c>
      <c r="E276" s="1" t="s">
        <v>1275</v>
      </c>
      <c r="F276" s="23" t="s">
        <v>1272</v>
      </c>
      <c r="G276" s="7" t="s">
        <v>9</v>
      </c>
      <c r="H276" s="7" t="s">
        <v>9</v>
      </c>
      <c r="I276" s="7" t="s">
        <v>9</v>
      </c>
      <c r="J276" s="7" t="s">
        <v>9</v>
      </c>
      <c r="K276" s="7" t="s">
        <v>9</v>
      </c>
      <c r="L276" s="24" t="str">
        <f t="shared" si="88"/>
        <v>Arquitetônicos</v>
      </c>
      <c r="M276" s="24" t="str">
        <f t="shared" si="89"/>
        <v>Elementos.de.Esquadrias</v>
      </c>
      <c r="N276" s="24" t="str">
        <f t="shared" si="90"/>
        <v>Marquises</v>
      </c>
      <c r="O276" s="24" t="str">
        <f t="shared" si="91"/>
        <v>Marquise</v>
      </c>
      <c r="P276" s="19" t="s">
        <v>1279</v>
      </c>
      <c r="Q276" s="19" t="s">
        <v>1269</v>
      </c>
      <c r="R276" s="19" t="s">
        <v>1869</v>
      </c>
      <c r="S276" s="43" t="s">
        <v>9</v>
      </c>
      <c r="T276" s="25" t="str">
        <f t="shared" si="92"/>
        <v>Arquitetônicos</v>
      </c>
      <c r="U276" s="25" t="str">
        <f t="shared" si="93"/>
        <v>Elementos de Esquadrias</v>
      </c>
      <c r="V276" s="25" t="str">
        <f t="shared" si="94"/>
        <v>Marquises</v>
      </c>
      <c r="W276" s="19" t="s">
        <v>74</v>
      </c>
      <c r="X276" s="57" t="str">
        <f t="shared" si="95"/>
        <v>Key-ARQ-276</v>
      </c>
      <c r="Y276" s="19" t="s">
        <v>1538</v>
      </c>
      <c r="Z276" s="25" t="s">
        <v>9</v>
      </c>
      <c r="AA276" s="25" t="s">
        <v>1353</v>
      </c>
      <c r="AB276" s="25" t="s">
        <v>9</v>
      </c>
      <c r="AC276" s="25" t="s">
        <v>1558</v>
      </c>
      <c r="AD276" s="25" t="s">
        <v>9</v>
      </c>
    </row>
    <row r="277" spans="1:30" ht="6.65" customHeight="1" x14ac:dyDescent="0.4">
      <c r="A277" s="21">
        <v>277</v>
      </c>
      <c r="B277" s="1" t="s">
        <v>1524</v>
      </c>
      <c r="C277" s="1" t="s">
        <v>1525</v>
      </c>
      <c r="D277" s="1" t="s">
        <v>1315</v>
      </c>
      <c r="E277" s="1" t="s">
        <v>960</v>
      </c>
      <c r="F277" s="1" t="s">
        <v>1034</v>
      </c>
      <c r="G277" s="7" t="s">
        <v>9</v>
      </c>
      <c r="H277" s="83" t="s">
        <v>9</v>
      </c>
      <c r="I277" s="83" t="s">
        <v>9</v>
      </c>
      <c r="J277" s="7" t="s">
        <v>9</v>
      </c>
      <c r="K277" s="7" t="s">
        <v>9</v>
      </c>
      <c r="L277" s="24" t="str">
        <f t="shared" si="88"/>
        <v>Arquitetônicos</v>
      </c>
      <c r="M277" s="24" t="str">
        <f t="shared" si="89"/>
        <v>Elementos.de.Esquadrias</v>
      </c>
      <c r="N277" s="24" t="str">
        <f t="shared" si="90"/>
        <v>Brises</v>
      </c>
      <c r="O277" s="24" t="str">
        <f t="shared" si="91"/>
        <v>Brise Retrátil Horizontal</v>
      </c>
      <c r="P277" s="19" t="s">
        <v>1280</v>
      </c>
      <c r="Q277" s="29" t="s">
        <v>1046</v>
      </c>
      <c r="R277" s="19" t="s">
        <v>1870</v>
      </c>
      <c r="S277" s="43" t="s">
        <v>9</v>
      </c>
      <c r="T277" s="25" t="str">
        <f t="shared" si="92"/>
        <v>Arquitetônicos</v>
      </c>
      <c r="U277" s="25" t="str">
        <f t="shared" si="93"/>
        <v>Elementos de Esquadrias</v>
      </c>
      <c r="V277" s="25" t="str">
        <f t="shared" si="94"/>
        <v>Brises</v>
      </c>
      <c r="W277" s="19" t="s">
        <v>74</v>
      </c>
      <c r="X277" s="57" t="str">
        <f t="shared" si="95"/>
        <v>Key-ARQ-277</v>
      </c>
      <c r="Y277" s="19" t="s">
        <v>1538</v>
      </c>
      <c r="Z277" s="25" t="s">
        <v>9</v>
      </c>
      <c r="AA277" s="25" t="s">
        <v>1354</v>
      </c>
      <c r="AB277" s="25" t="s">
        <v>9</v>
      </c>
      <c r="AC277" s="25" t="s">
        <v>1558</v>
      </c>
      <c r="AD277" s="25" t="s">
        <v>9</v>
      </c>
    </row>
    <row r="278" spans="1:30" ht="6.65" customHeight="1" x14ac:dyDescent="0.4">
      <c r="A278" s="21">
        <v>278</v>
      </c>
      <c r="B278" s="1" t="s">
        <v>1524</v>
      </c>
      <c r="C278" s="1" t="s">
        <v>1525</v>
      </c>
      <c r="D278" s="1" t="s">
        <v>1315</v>
      </c>
      <c r="E278" s="1" t="s">
        <v>960</v>
      </c>
      <c r="F278" s="1" t="s">
        <v>1035</v>
      </c>
      <c r="G278" s="7" t="s">
        <v>9</v>
      </c>
      <c r="H278" s="83" t="s">
        <v>9</v>
      </c>
      <c r="I278" s="83" t="s">
        <v>9</v>
      </c>
      <c r="J278" s="7" t="s">
        <v>9</v>
      </c>
      <c r="K278" s="7" t="s">
        <v>9</v>
      </c>
      <c r="L278" s="24" t="str">
        <f t="shared" si="88"/>
        <v>Arquitetônicos</v>
      </c>
      <c r="M278" s="24" t="str">
        <f t="shared" si="89"/>
        <v>Elementos.de.Esquadrias</v>
      </c>
      <c r="N278" s="24" t="str">
        <f t="shared" si="90"/>
        <v>Brises</v>
      </c>
      <c r="O278" s="24" t="str">
        <f t="shared" si="91"/>
        <v>Brise Retratil Vertical</v>
      </c>
      <c r="P278" s="19" t="s">
        <v>1281</v>
      </c>
      <c r="Q278" s="29" t="s">
        <v>1047</v>
      </c>
      <c r="R278" s="19" t="s">
        <v>1871</v>
      </c>
      <c r="S278" s="43" t="s">
        <v>9</v>
      </c>
      <c r="T278" s="25" t="str">
        <f t="shared" si="92"/>
        <v>Arquitetônicos</v>
      </c>
      <c r="U278" s="25" t="str">
        <f t="shared" si="93"/>
        <v>Elementos de Esquadrias</v>
      </c>
      <c r="V278" s="25" t="str">
        <f t="shared" si="94"/>
        <v>Brises</v>
      </c>
      <c r="W278" s="19" t="s">
        <v>74</v>
      </c>
      <c r="X278" s="57" t="str">
        <f t="shared" si="95"/>
        <v>Key-ARQ-278</v>
      </c>
      <c r="Y278" s="19" t="s">
        <v>1538</v>
      </c>
      <c r="Z278" s="25" t="s">
        <v>9</v>
      </c>
      <c r="AA278" s="25" t="s">
        <v>1354</v>
      </c>
      <c r="AB278" s="25" t="s">
        <v>9</v>
      </c>
      <c r="AC278" s="25" t="s">
        <v>1558</v>
      </c>
      <c r="AD278" s="25" t="s">
        <v>9</v>
      </c>
    </row>
    <row r="279" spans="1:30" ht="6.65" customHeight="1" x14ac:dyDescent="0.4">
      <c r="A279" s="21">
        <v>279</v>
      </c>
      <c r="B279" s="1" t="s">
        <v>1524</v>
      </c>
      <c r="C279" s="1" t="s">
        <v>1525</v>
      </c>
      <c r="D279" s="1" t="s">
        <v>1315</v>
      </c>
      <c r="E279" s="1" t="s">
        <v>960</v>
      </c>
      <c r="F279" s="1" t="s">
        <v>1039</v>
      </c>
      <c r="G279" s="7" t="s">
        <v>9</v>
      </c>
      <c r="H279" s="83" t="s">
        <v>9</v>
      </c>
      <c r="I279" s="83" t="s">
        <v>9</v>
      </c>
      <c r="J279" s="7" t="s">
        <v>9</v>
      </c>
      <c r="K279" s="7" t="s">
        <v>9</v>
      </c>
      <c r="L279" s="24" t="str">
        <f t="shared" si="88"/>
        <v>Arquitetônicos</v>
      </c>
      <c r="M279" s="24" t="str">
        <f t="shared" si="89"/>
        <v>Elementos.de.Esquadrias</v>
      </c>
      <c r="N279" s="24" t="str">
        <f t="shared" si="90"/>
        <v>Brises</v>
      </c>
      <c r="O279" s="24" t="str">
        <f t="shared" si="91"/>
        <v>Brise Fixo Horizontal</v>
      </c>
      <c r="P279" s="19" t="s">
        <v>1282</v>
      </c>
      <c r="Q279" s="29" t="s">
        <v>1045</v>
      </c>
      <c r="R279" s="19" t="s">
        <v>1872</v>
      </c>
      <c r="S279" s="43" t="s">
        <v>9</v>
      </c>
      <c r="T279" s="25" t="str">
        <f t="shared" si="92"/>
        <v>Arquitetônicos</v>
      </c>
      <c r="U279" s="25" t="str">
        <f t="shared" si="93"/>
        <v>Elementos de Esquadrias</v>
      </c>
      <c r="V279" s="25" t="str">
        <f t="shared" si="94"/>
        <v>Brises</v>
      </c>
      <c r="W279" s="19" t="s">
        <v>74</v>
      </c>
      <c r="X279" s="57" t="str">
        <f t="shared" si="95"/>
        <v>Key-ARQ-279</v>
      </c>
      <c r="Y279" s="19" t="s">
        <v>1538</v>
      </c>
      <c r="Z279" s="25" t="s">
        <v>9</v>
      </c>
      <c r="AA279" s="25" t="s">
        <v>1354</v>
      </c>
      <c r="AB279" s="25" t="s">
        <v>9</v>
      </c>
      <c r="AC279" s="25" t="s">
        <v>1558</v>
      </c>
      <c r="AD279" s="25" t="s">
        <v>9</v>
      </c>
    </row>
    <row r="280" spans="1:30" ht="6.65" customHeight="1" x14ac:dyDescent="0.4">
      <c r="A280" s="21">
        <v>280</v>
      </c>
      <c r="B280" s="1" t="s">
        <v>1524</v>
      </c>
      <c r="C280" s="1" t="s">
        <v>1525</v>
      </c>
      <c r="D280" s="1" t="s">
        <v>1315</v>
      </c>
      <c r="E280" s="1" t="s">
        <v>960</v>
      </c>
      <c r="F280" s="1" t="s">
        <v>1040</v>
      </c>
      <c r="G280" s="7" t="s">
        <v>9</v>
      </c>
      <c r="H280" s="83" t="s">
        <v>9</v>
      </c>
      <c r="I280" s="83" t="s">
        <v>9</v>
      </c>
      <c r="J280" s="7" t="s">
        <v>9</v>
      </c>
      <c r="K280" s="7" t="s">
        <v>9</v>
      </c>
      <c r="L280" s="24" t="str">
        <f t="shared" si="88"/>
        <v>Arquitetônicos</v>
      </c>
      <c r="M280" s="24" t="str">
        <f t="shared" si="89"/>
        <v>Elementos.de.Esquadrias</v>
      </c>
      <c r="N280" s="24" t="str">
        <f t="shared" si="90"/>
        <v>Brises</v>
      </c>
      <c r="O280" s="24" t="str">
        <f t="shared" si="91"/>
        <v>Brise Fixo Vertical</v>
      </c>
      <c r="P280" s="19" t="s">
        <v>1283</v>
      </c>
      <c r="Q280" s="29" t="s">
        <v>1048</v>
      </c>
      <c r="R280" s="19" t="s">
        <v>1873</v>
      </c>
      <c r="S280" s="43" t="s">
        <v>9</v>
      </c>
      <c r="T280" s="25" t="str">
        <f t="shared" si="92"/>
        <v>Arquitetônicos</v>
      </c>
      <c r="U280" s="25" t="str">
        <f t="shared" si="93"/>
        <v>Elementos de Esquadrias</v>
      </c>
      <c r="V280" s="25" t="str">
        <f t="shared" si="94"/>
        <v>Brises</v>
      </c>
      <c r="W280" s="19" t="s">
        <v>74</v>
      </c>
      <c r="X280" s="57" t="str">
        <f t="shared" si="95"/>
        <v>Key-ARQ-280</v>
      </c>
      <c r="Y280" s="19" t="s">
        <v>1538</v>
      </c>
      <c r="Z280" s="25" t="s">
        <v>9</v>
      </c>
      <c r="AA280" s="25" t="s">
        <v>1354</v>
      </c>
      <c r="AB280" s="25" t="s">
        <v>9</v>
      </c>
      <c r="AC280" s="25" t="s">
        <v>1558</v>
      </c>
      <c r="AD280" s="25" t="s">
        <v>9</v>
      </c>
    </row>
    <row r="281" spans="1:30" ht="6.65" customHeight="1" x14ac:dyDescent="0.4">
      <c r="A281" s="21">
        <v>281</v>
      </c>
      <c r="B281" s="1" t="s">
        <v>1524</v>
      </c>
      <c r="C281" s="1" t="s">
        <v>1525</v>
      </c>
      <c r="D281" s="1" t="s">
        <v>1315</v>
      </c>
      <c r="E281" s="1" t="s">
        <v>960</v>
      </c>
      <c r="F281" s="1" t="s">
        <v>1041</v>
      </c>
      <c r="G281" s="7" t="s">
        <v>9</v>
      </c>
      <c r="H281" s="83" t="s">
        <v>9</v>
      </c>
      <c r="I281" s="83" t="s">
        <v>9</v>
      </c>
      <c r="J281" s="7" t="s">
        <v>9</v>
      </c>
      <c r="K281" s="7" t="s">
        <v>9</v>
      </c>
      <c r="L281" s="24" t="str">
        <f t="shared" si="88"/>
        <v>Arquitetônicos</v>
      </c>
      <c r="M281" s="24" t="str">
        <f t="shared" si="89"/>
        <v>Elementos.de.Esquadrias</v>
      </c>
      <c r="N281" s="24" t="str">
        <f t="shared" si="90"/>
        <v>Brises</v>
      </c>
      <c r="O281" s="24" t="str">
        <f t="shared" si="91"/>
        <v>Brise Perfurado Horizontal</v>
      </c>
      <c r="P281" s="19" t="s">
        <v>1284</v>
      </c>
      <c r="Q281" s="29" t="s">
        <v>1043</v>
      </c>
      <c r="R281" s="19" t="s">
        <v>1874</v>
      </c>
      <c r="S281" s="43" t="s">
        <v>9</v>
      </c>
      <c r="T281" s="25" t="str">
        <f t="shared" si="92"/>
        <v>Arquitetônicos</v>
      </c>
      <c r="U281" s="25" t="str">
        <f t="shared" si="93"/>
        <v>Elementos de Esquadrias</v>
      </c>
      <c r="V281" s="25" t="str">
        <f t="shared" si="94"/>
        <v>Brises</v>
      </c>
      <c r="W281" s="19" t="s">
        <v>74</v>
      </c>
      <c r="X281" s="57" t="str">
        <f t="shared" si="95"/>
        <v>Key-ARQ-281</v>
      </c>
      <c r="Y281" s="19" t="s">
        <v>1538</v>
      </c>
      <c r="Z281" s="25" t="s">
        <v>9</v>
      </c>
      <c r="AA281" s="25" t="s">
        <v>1354</v>
      </c>
      <c r="AB281" s="25" t="s">
        <v>9</v>
      </c>
      <c r="AC281" s="25" t="s">
        <v>1558</v>
      </c>
      <c r="AD281" s="25" t="s">
        <v>9</v>
      </c>
    </row>
    <row r="282" spans="1:30" ht="6.65" customHeight="1" x14ac:dyDescent="0.4">
      <c r="A282" s="21">
        <v>282</v>
      </c>
      <c r="B282" s="1" t="s">
        <v>1524</v>
      </c>
      <c r="C282" s="1" t="s">
        <v>1525</v>
      </c>
      <c r="D282" s="1" t="s">
        <v>1315</v>
      </c>
      <c r="E282" s="1" t="s">
        <v>960</v>
      </c>
      <c r="F282" s="1" t="s">
        <v>1042</v>
      </c>
      <c r="G282" s="7" t="s">
        <v>9</v>
      </c>
      <c r="H282" s="83" t="s">
        <v>9</v>
      </c>
      <c r="I282" s="83" t="s">
        <v>9</v>
      </c>
      <c r="J282" s="7" t="s">
        <v>9</v>
      </c>
      <c r="K282" s="7" t="s">
        <v>9</v>
      </c>
      <c r="L282" s="24" t="str">
        <f t="shared" si="88"/>
        <v>Arquitetônicos</v>
      </c>
      <c r="M282" s="24" t="str">
        <f t="shared" si="89"/>
        <v>Elementos.de.Esquadrias</v>
      </c>
      <c r="N282" s="24" t="str">
        <f t="shared" si="90"/>
        <v>Brises</v>
      </c>
      <c r="O282" s="24" t="str">
        <f t="shared" si="91"/>
        <v>Brise Perfurado Vertical</v>
      </c>
      <c r="P282" s="19" t="s">
        <v>1285</v>
      </c>
      <c r="Q282" s="29" t="s">
        <v>1044</v>
      </c>
      <c r="R282" s="19" t="s">
        <v>1875</v>
      </c>
      <c r="S282" s="43" t="s">
        <v>9</v>
      </c>
      <c r="T282" s="25" t="str">
        <f t="shared" si="92"/>
        <v>Arquitetônicos</v>
      </c>
      <c r="U282" s="25" t="str">
        <f t="shared" si="93"/>
        <v>Elementos de Esquadrias</v>
      </c>
      <c r="V282" s="25" t="str">
        <f t="shared" si="94"/>
        <v>Brises</v>
      </c>
      <c r="W282" s="19" t="s">
        <v>74</v>
      </c>
      <c r="X282" s="57" t="str">
        <f t="shared" si="95"/>
        <v>Key-ARQ-282</v>
      </c>
      <c r="Y282" s="19" t="s">
        <v>1538</v>
      </c>
      <c r="Z282" s="25" t="s">
        <v>9</v>
      </c>
      <c r="AA282" s="25" t="s">
        <v>1354</v>
      </c>
      <c r="AB282" s="25" t="s">
        <v>9</v>
      </c>
      <c r="AC282" s="25" t="s">
        <v>1558</v>
      </c>
      <c r="AD282" s="25" t="s">
        <v>9</v>
      </c>
    </row>
    <row r="283" spans="1:30" ht="6.65" customHeight="1" x14ac:dyDescent="0.4">
      <c r="A283" s="21">
        <v>283</v>
      </c>
      <c r="B283" s="1" t="s">
        <v>1524</v>
      </c>
      <c r="C283" s="1" t="s">
        <v>1525</v>
      </c>
      <c r="D283" s="1" t="s">
        <v>1315</v>
      </c>
      <c r="E283" s="1" t="s">
        <v>960</v>
      </c>
      <c r="F283" s="23" t="s">
        <v>1274</v>
      </c>
      <c r="G283" s="7" t="s">
        <v>9</v>
      </c>
      <c r="H283" s="7" t="s">
        <v>9</v>
      </c>
      <c r="I283" s="7" t="s">
        <v>9</v>
      </c>
      <c r="J283" s="7" t="s">
        <v>9</v>
      </c>
      <c r="K283" s="7" t="s">
        <v>9</v>
      </c>
      <c r="L283" s="24" t="str">
        <f t="shared" si="88"/>
        <v>Arquitetônicos</v>
      </c>
      <c r="M283" s="24" t="str">
        <f t="shared" si="89"/>
        <v>Elementos.de.Esquadrias</v>
      </c>
      <c r="N283" s="24" t="str">
        <f t="shared" si="90"/>
        <v>Brises</v>
      </c>
      <c r="O283" s="24" t="str">
        <f t="shared" si="91"/>
        <v>Brise Veneziana</v>
      </c>
      <c r="P283" s="19" t="s">
        <v>1286</v>
      </c>
      <c r="Q283" s="19" t="s">
        <v>1271</v>
      </c>
      <c r="R283" s="19" t="s">
        <v>1876</v>
      </c>
      <c r="S283" s="43" t="s">
        <v>9</v>
      </c>
      <c r="T283" s="25" t="str">
        <f t="shared" si="92"/>
        <v>Arquitetônicos</v>
      </c>
      <c r="U283" s="25" t="str">
        <f t="shared" si="93"/>
        <v>Elementos de Esquadrias</v>
      </c>
      <c r="V283" s="25" t="str">
        <f t="shared" si="94"/>
        <v>Brises</v>
      </c>
      <c r="W283" s="19" t="s">
        <v>74</v>
      </c>
      <c r="X283" s="57" t="str">
        <f t="shared" si="95"/>
        <v>Key-ARQ-283</v>
      </c>
      <c r="Y283" s="19" t="s">
        <v>1538</v>
      </c>
      <c r="Z283" s="25" t="s">
        <v>9</v>
      </c>
      <c r="AA283" s="25" t="s">
        <v>1354</v>
      </c>
      <c r="AB283" s="25" t="s">
        <v>9</v>
      </c>
      <c r="AC283" s="25" t="s">
        <v>1558</v>
      </c>
      <c r="AD283" s="25" t="s">
        <v>9</v>
      </c>
    </row>
    <row r="284" spans="1:30" ht="6.65" customHeight="1" x14ac:dyDescent="0.4">
      <c r="A284" s="21">
        <v>284</v>
      </c>
      <c r="B284" s="1" t="s">
        <v>1524</v>
      </c>
      <c r="C284" s="1" t="s">
        <v>1525</v>
      </c>
      <c r="D284" s="1" t="s">
        <v>1316</v>
      </c>
      <c r="E284" s="1" t="s">
        <v>1054</v>
      </c>
      <c r="F284" s="23" t="s">
        <v>1136</v>
      </c>
      <c r="G284" s="7" t="s">
        <v>9</v>
      </c>
      <c r="H284" s="83" t="s">
        <v>9</v>
      </c>
      <c r="I284" s="83" t="s">
        <v>9</v>
      </c>
      <c r="J284" s="7" t="s">
        <v>9</v>
      </c>
      <c r="K284" s="7" t="s">
        <v>9</v>
      </c>
      <c r="L284" s="24" t="str">
        <f t="shared" si="88"/>
        <v>Arquitetônicos</v>
      </c>
      <c r="M284" s="24" t="str">
        <f t="shared" si="89"/>
        <v>Elementos.de.Passagens</v>
      </c>
      <c r="N284" s="24" t="str">
        <f t="shared" si="90"/>
        <v>Shafts</v>
      </c>
      <c r="O284" s="24" t="str">
        <f t="shared" si="91"/>
        <v>Shaft Inespecífico</v>
      </c>
      <c r="P284" s="19" t="s">
        <v>1056</v>
      </c>
      <c r="Q284" s="19" t="s">
        <v>1056</v>
      </c>
      <c r="R284" s="19" t="s">
        <v>1877</v>
      </c>
      <c r="S284" s="43" t="s">
        <v>9</v>
      </c>
      <c r="T284" s="25" t="str">
        <f t="shared" si="92"/>
        <v>Arquitetônicos</v>
      </c>
      <c r="U284" s="25" t="str">
        <f t="shared" si="93"/>
        <v>Elementos de Passagens</v>
      </c>
      <c r="V284" s="25" t="str">
        <f t="shared" si="94"/>
        <v>Shafts</v>
      </c>
      <c r="W284" s="19" t="s">
        <v>74</v>
      </c>
      <c r="X284" s="57" t="str">
        <f t="shared" si="95"/>
        <v>Key-ARQ-284</v>
      </c>
      <c r="Y284" s="19" t="s">
        <v>1428</v>
      </c>
      <c r="Z284" s="25" t="s">
        <v>9</v>
      </c>
      <c r="AA284" s="25" t="s">
        <v>1355</v>
      </c>
      <c r="AB284" s="25" t="s">
        <v>9</v>
      </c>
      <c r="AC284" s="25" t="s">
        <v>1305</v>
      </c>
      <c r="AD284" s="25" t="s">
        <v>9</v>
      </c>
    </row>
    <row r="285" spans="1:30" ht="6.65" customHeight="1" x14ac:dyDescent="0.4">
      <c r="A285" s="21">
        <v>285</v>
      </c>
      <c r="B285" s="1" t="s">
        <v>1524</v>
      </c>
      <c r="C285" s="1" t="s">
        <v>1525</v>
      </c>
      <c r="D285" s="1" t="s">
        <v>1316</v>
      </c>
      <c r="E285" s="1" t="s">
        <v>1054</v>
      </c>
      <c r="F285" s="23" t="s">
        <v>1137</v>
      </c>
      <c r="G285" s="7" t="s">
        <v>9</v>
      </c>
      <c r="H285" s="83" t="s">
        <v>9</v>
      </c>
      <c r="I285" s="83" t="s">
        <v>9</v>
      </c>
      <c r="J285" s="7" t="s">
        <v>9</v>
      </c>
      <c r="K285" s="7" t="s">
        <v>9</v>
      </c>
      <c r="L285" s="24" t="str">
        <f t="shared" si="88"/>
        <v>Arquitetônicos</v>
      </c>
      <c r="M285" s="24" t="str">
        <f t="shared" si="89"/>
        <v>Elementos.de.Passagens</v>
      </c>
      <c r="N285" s="24" t="str">
        <f t="shared" si="90"/>
        <v>Shafts</v>
      </c>
      <c r="O285" s="24" t="str">
        <f t="shared" si="91"/>
        <v>Shaft Laje</v>
      </c>
      <c r="P285" s="19" t="s">
        <v>1055</v>
      </c>
      <c r="Q285" s="19" t="s">
        <v>1060</v>
      </c>
      <c r="R285" s="19" t="s">
        <v>1878</v>
      </c>
      <c r="S285" s="43" t="s">
        <v>9</v>
      </c>
      <c r="T285" s="25" t="str">
        <f t="shared" si="92"/>
        <v>Arquitetônicos</v>
      </c>
      <c r="U285" s="25" t="str">
        <f t="shared" si="93"/>
        <v>Elementos de Passagens</v>
      </c>
      <c r="V285" s="25" t="str">
        <f t="shared" si="94"/>
        <v>Shafts</v>
      </c>
      <c r="W285" s="19" t="s">
        <v>74</v>
      </c>
      <c r="X285" s="57" t="str">
        <f t="shared" si="95"/>
        <v>Key-ARQ-285</v>
      </c>
      <c r="Y285" s="19" t="s">
        <v>1428</v>
      </c>
      <c r="Z285" s="25" t="s">
        <v>9</v>
      </c>
      <c r="AA285" s="25" t="s">
        <v>1356</v>
      </c>
      <c r="AB285" s="25" t="s">
        <v>9</v>
      </c>
      <c r="AC285" s="25" t="s">
        <v>1305</v>
      </c>
      <c r="AD285" s="25" t="s">
        <v>9</v>
      </c>
    </row>
    <row r="286" spans="1:30" ht="6.65" customHeight="1" x14ac:dyDescent="0.4">
      <c r="A286" s="21">
        <v>286</v>
      </c>
      <c r="B286" s="1" t="s">
        <v>1524</v>
      </c>
      <c r="C286" s="1" t="s">
        <v>1525</v>
      </c>
      <c r="D286" s="1" t="s">
        <v>1316</v>
      </c>
      <c r="E286" s="1" t="s">
        <v>1054</v>
      </c>
      <c r="F286" s="33" t="s">
        <v>1066</v>
      </c>
      <c r="G286" s="7" t="s">
        <v>9</v>
      </c>
      <c r="H286" s="83" t="s">
        <v>9</v>
      </c>
      <c r="I286" s="83" t="s">
        <v>9</v>
      </c>
      <c r="J286" s="7" t="s">
        <v>9</v>
      </c>
      <c r="K286" s="7" t="s">
        <v>9</v>
      </c>
      <c r="L286" s="24" t="str">
        <f t="shared" si="88"/>
        <v>Arquitetônicos</v>
      </c>
      <c r="M286" s="24" t="str">
        <f t="shared" si="89"/>
        <v>Elementos.de.Passagens</v>
      </c>
      <c r="N286" s="24" t="str">
        <f t="shared" si="90"/>
        <v>Shafts</v>
      </c>
      <c r="O286" s="24" t="str">
        <f t="shared" si="91"/>
        <v>Shaft Instalação</v>
      </c>
      <c r="P286" s="19" t="s">
        <v>1063</v>
      </c>
      <c r="Q286" s="19" t="s">
        <v>1064</v>
      </c>
      <c r="R286" s="19" t="s">
        <v>1879</v>
      </c>
      <c r="S286" s="43" t="s">
        <v>9</v>
      </c>
      <c r="T286" s="25" t="str">
        <f t="shared" si="92"/>
        <v>Arquitetônicos</v>
      </c>
      <c r="U286" s="25" t="str">
        <f t="shared" si="93"/>
        <v>Elementos de Passagens</v>
      </c>
      <c r="V286" s="25" t="str">
        <f t="shared" si="94"/>
        <v>Shafts</v>
      </c>
      <c r="W286" s="19" t="s">
        <v>74</v>
      </c>
      <c r="X286" s="57" t="str">
        <f t="shared" si="95"/>
        <v>Key-ARQ-286</v>
      </c>
      <c r="Y286" s="19" t="s">
        <v>1429</v>
      </c>
      <c r="Z286" s="25" t="s">
        <v>9</v>
      </c>
      <c r="AA286" s="25" t="s">
        <v>1356</v>
      </c>
      <c r="AB286" s="25" t="s">
        <v>9</v>
      </c>
      <c r="AC286" s="25" t="s">
        <v>1305</v>
      </c>
      <c r="AD286" s="25" t="s">
        <v>9</v>
      </c>
    </row>
    <row r="287" spans="1:30" ht="6.65" customHeight="1" x14ac:dyDescent="0.4">
      <c r="A287" s="21">
        <v>287</v>
      </c>
      <c r="B287" s="1" t="s">
        <v>1524</v>
      </c>
      <c r="C287" s="1" t="s">
        <v>1525</v>
      </c>
      <c r="D287" s="1" t="s">
        <v>1316</v>
      </c>
      <c r="E287" s="1" t="s">
        <v>1054</v>
      </c>
      <c r="F287" s="33" t="s">
        <v>1051</v>
      </c>
      <c r="G287" s="7" t="s">
        <v>9</v>
      </c>
      <c r="H287" s="83" t="s">
        <v>9</v>
      </c>
      <c r="I287" s="83" t="s">
        <v>9</v>
      </c>
      <c r="J287" s="7" t="s">
        <v>9</v>
      </c>
      <c r="K287" s="7" t="s">
        <v>9</v>
      </c>
      <c r="L287" s="24" t="str">
        <f t="shared" si="88"/>
        <v>Arquitetônicos</v>
      </c>
      <c r="M287" s="24" t="str">
        <f t="shared" si="89"/>
        <v>Elementos.de.Passagens</v>
      </c>
      <c r="N287" s="24" t="str">
        <f t="shared" si="90"/>
        <v>Shafts</v>
      </c>
      <c r="O287" s="24" t="str">
        <f t="shared" si="91"/>
        <v>Shaft Elétrica</v>
      </c>
      <c r="P287" s="19" t="s">
        <v>1057</v>
      </c>
      <c r="Q287" s="19" t="s">
        <v>1065</v>
      </c>
      <c r="R287" s="19" t="s">
        <v>1880</v>
      </c>
      <c r="S287" s="43" t="s">
        <v>9</v>
      </c>
      <c r="T287" s="25" t="str">
        <f t="shared" si="92"/>
        <v>Arquitetônicos</v>
      </c>
      <c r="U287" s="25" t="str">
        <f t="shared" si="93"/>
        <v>Elementos de Passagens</v>
      </c>
      <c r="V287" s="25" t="str">
        <f t="shared" si="94"/>
        <v>Shafts</v>
      </c>
      <c r="W287" s="19" t="s">
        <v>74</v>
      </c>
      <c r="X287" s="57" t="str">
        <f t="shared" si="95"/>
        <v>Key-ARQ-287</v>
      </c>
      <c r="Y287" s="19" t="s">
        <v>1429</v>
      </c>
      <c r="Z287" s="25" t="s">
        <v>9</v>
      </c>
      <c r="AA287" s="25" t="s">
        <v>1356</v>
      </c>
      <c r="AB287" s="25" t="s">
        <v>9</v>
      </c>
      <c r="AC287" s="25" t="s">
        <v>1305</v>
      </c>
      <c r="AD287" s="25" t="s">
        <v>9</v>
      </c>
    </row>
    <row r="288" spans="1:30" ht="6.65" customHeight="1" x14ac:dyDescent="0.4">
      <c r="A288" s="21">
        <v>288</v>
      </c>
      <c r="B288" s="1" t="s">
        <v>1524</v>
      </c>
      <c r="C288" s="1" t="s">
        <v>1525</v>
      </c>
      <c r="D288" s="1" t="s">
        <v>1316</v>
      </c>
      <c r="E288" s="1" t="s">
        <v>1054</v>
      </c>
      <c r="F288" s="33" t="s">
        <v>1052</v>
      </c>
      <c r="G288" s="7" t="s">
        <v>9</v>
      </c>
      <c r="H288" s="83" t="s">
        <v>9</v>
      </c>
      <c r="I288" s="83" t="s">
        <v>9</v>
      </c>
      <c r="J288" s="7" t="s">
        <v>9</v>
      </c>
      <c r="K288" s="7" t="s">
        <v>9</v>
      </c>
      <c r="L288" s="24" t="str">
        <f t="shared" si="88"/>
        <v>Arquitetônicos</v>
      </c>
      <c r="M288" s="24" t="str">
        <f t="shared" si="89"/>
        <v>Elementos.de.Passagens</v>
      </c>
      <c r="N288" s="24" t="str">
        <f t="shared" si="90"/>
        <v>Shafts</v>
      </c>
      <c r="O288" s="24" t="str">
        <f t="shared" si="91"/>
        <v>Shaft Hidráulico</v>
      </c>
      <c r="P288" s="19" t="s">
        <v>1058</v>
      </c>
      <c r="Q288" s="19" t="s">
        <v>1061</v>
      </c>
      <c r="R288" s="19" t="s">
        <v>1881</v>
      </c>
      <c r="S288" s="43" t="s">
        <v>9</v>
      </c>
      <c r="T288" s="25" t="str">
        <f t="shared" si="92"/>
        <v>Arquitetônicos</v>
      </c>
      <c r="U288" s="25" t="str">
        <f t="shared" si="93"/>
        <v>Elementos de Passagens</v>
      </c>
      <c r="V288" s="25" t="str">
        <f t="shared" si="94"/>
        <v>Shafts</v>
      </c>
      <c r="W288" s="19" t="s">
        <v>74</v>
      </c>
      <c r="X288" s="57" t="str">
        <f t="shared" si="95"/>
        <v>Key-ARQ-288</v>
      </c>
      <c r="Y288" s="19" t="s">
        <v>1429</v>
      </c>
      <c r="Z288" s="25" t="s">
        <v>9</v>
      </c>
      <c r="AA288" s="25" t="s">
        <v>1356</v>
      </c>
      <c r="AB288" s="25" t="s">
        <v>9</v>
      </c>
      <c r="AC288" s="25" t="s">
        <v>1305</v>
      </c>
      <c r="AD288" s="25" t="s">
        <v>9</v>
      </c>
    </row>
    <row r="289" spans="1:30" ht="6.65" customHeight="1" x14ac:dyDescent="0.4">
      <c r="A289" s="21">
        <v>289</v>
      </c>
      <c r="B289" s="1" t="s">
        <v>1524</v>
      </c>
      <c r="C289" s="1" t="s">
        <v>1525</v>
      </c>
      <c r="D289" s="1" t="s">
        <v>1316</v>
      </c>
      <c r="E289" s="1" t="s">
        <v>1054</v>
      </c>
      <c r="F289" s="33" t="s">
        <v>1053</v>
      </c>
      <c r="G289" s="7" t="s">
        <v>9</v>
      </c>
      <c r="H289" s="83" t="s">
        <v>9</v>
      </c>
      <c r="I289" s="83" t="s">
        <v>9</v>
      </c>
      <c r="J289" s="7" t="s">
        <v>9</v>
      </c>
      <c r="K289" s="7" t="s">
        <v>9</v>
      </c>
      <c r="L289" s="24" t="str">
        <f t="shared" si="88"/>
        <v>Arquitetônicos</v>
      </c>
      <c r="M289" s="24" t="str">
        <f t="shared" si="89"/>
        <v>Elementos.de.Passagens</v>
      </c>
      <c r="N289" s="24" t="str">
        <f t="shared" si="90"/>
        <v>Shafts</v>
      </c>
      <c r="O289" s="24" t="str">
        <f t="shared" si="91"/>
        <v>Shaft AVAC</v>
      </c>
      <c r="P289" s="19" t="s">
        <v>1059</v>
      </c>
      <c r="Q289" s="19" t="s">
        <v>1062</v>
      </c>
      <c r="R289" s="19" t="s">
        <v>1882</v>
      </c>
      <c r="S289" s="43" t="s">
        <v>9</v>
      </c>
      <c r="T289" s="25" t="str">
        <f t="shared" si="92"/>
        <v>Arquitetônicos</v>
      </c>
      <c r="U289" s="25" t="str">
        <f t="shared" si="93"/>
        <v>Elementos de Passagens</v>
      </c>
      <c r="V289" s="25" t="str">
        <f t="shared" si="94"/>
        <v>Shafts</v>
      </c>
      <c r="W289" s="19" t="s">
        <v>74</v>
      </c>
      <c r="X289" s="57" t="str">
        <f t="shared" si="95"/>
        <v>Key-ARQ-289</v>
      </c>
      <c r="Y289" s="19" t="s">
        <v>1429</v>
      </c>
      <c r="Z289" s="25" t="s">
        <v>9</v>
      </c>
      <c r="AA289" s="25" t="s">
        <v>1356</v>
      </c>
      <c r="AB289" s="25" t="s">
        <v>9</v>
      </c>
      <c r="AC289" s="25" t="s">
        <v>1305</v>
      </c>
      <c r="AD289" s="25" t="s">
        <v>9</v>
      </c>
    </row>
    <row r="290" spans="1:30" ht="6.65" customHeight="1" x14ac:dyDescent="0.4">
      <c r="A290" s="21">
        <v>290</v>
      </c>
      <c r="B290" s="1" t="s">
        <v>1524</v>
      </c>
      <c r="C290" s="1" t="s">
        <v>1525</v>
      </c>
      <c r="D290" s="1" t="s">
        <v>1316</v>
      </c>
      <c r="E290" s="1" t="s">
        <v>1054</v>
      </c>
      <c r="F290" s="33" t="s">
        <v>1076</v>
      </c>
      <c r="G290" s="7" t="s">
        <v>9</v>
      </c>
      <c r="H290" s="83" t="s">
        <v>9</v>
      </c>
      <c r="I290" s="83" t="s">
        <v>9</v>
      </c>
      <c r="J290" s="7" t="s">
        <v>9</v>
      </c>
      <c r="K290" s="7" t="s">
        <v>9</v>
      </c>
      <c r="L290" s="24" t="str">
        <f t="shared" si="88"/>
        <v>Arquitetônicos</v>
      </c>
      <c r="M290" s="24" t="str">
        <f t="shared" si="89"/>
        <v>Elementos.de.Passagens</v>
      </c>
      <c r="N290" s="24" t="str">
        <f t="shared" si="90"/>
        <v>Shafts</v>
      </c>
      <c r="O290" s="24" t="str">
        <f t="shared" si="91"/>
        <v>Shaft Lógico</v>
      </c>
      <c r="P290" s="19" t="s">
        <v>1077</v>
      </c>
      <c r="Q290" s="19" t="s">
        <v>1078</v>
      </c>
      <c r="R290" s="19" t="s">
        <v>1883</v>
      </c>
      <c r="S290" s="43" t="s">
        <v>9</v>
      </c>
      <c r="T290" s="25" t="str">
        <f t="shared" si="92"/>
        <v>Arquitetônicos</v>
      </c>
      <c r="U290" s="25" t="str">
        <f t="shared" si="93"/>
        <v>Elementos de Passagens</v>
      </c>
      <c r="V290" s="25" t="str">
        <f t="shared" si="94"/>
        <v>Shafts</v>
      </c>
      <c r="W290" s="19" t="s">
        <v>74</v>
      </c>
      <c r="X290" s="57" t="str">
        <f t="shared" si="95"/>
        <v>Key-ARQ-290</v>
      </c>
      <c r="Y290" s="19" t="s">
        <v>1429</v>
      </c>
      <c r="Z290" s="25" t="s">
        <v>9</v>
      </c>
      <c r="AA290" s="25" t="s">
        <v>1356</v>
      </c>
      <c r="AB290" s="25" t="s">
        <v>9</v>
      </c>
      <c r="AC290" s="25" t="s">
        <v>1305</v>
      </c>
      <c r="AD290" s="25" t="s">
        <v>9</v>
      </c>
    </row>
    <row r="291" spans="1:30" ht="6.65" customHeight="1" x14ac:dyDescent="0.4">
      <c r="A291" s="21">
        <v>291</v>
      </c>
      <c r="B291" s="1" t="s">
        <v>1524</v>
      </c>
      <c r="C291" s="1" t="s">
        <v>1525</v>
      </c>
      <c r="D291" s="1" t="s">
        <v>1595</v>
      </c>
      <c r="E291" s="1" t="s">
        <v>1186</v>
      </c>
      <c r="F291" s="23" t="s">
        <v>860</v>
      </c>
      <c r="G291" s="7" t="s">
        <v>9</v>
      </c>
      <c r="H291" s="83" t="s">
        <v>9</v>
      </c>
      <c r="I291" s="83" t="s">
        <v>9</v>
      </c>
      <c r="J291" s="7" t="s">
        <v>9</v>
      </c>
      <c r="K291" s="7" t="s">
        <v>9</v>
      </c>
      <c r="L291" s="24" t="str">
        <f t="shared" si="88"/>
        <v>Arquitetônicos</v>
      </c>
      <c r="M291" s="24" t="str">
        <f t="shared" si="89"/>
        <v>Elementos.de.Sanitários</v>
      </c>
      <c r="N291" s="24" t="str">
        <f t="shared" si="90"/>
        <v>De Banheiros</v>
      </c>
      <c r="O291" s="24" t="str">
        <f t="shared" si="91"/>
        <v>Peça Sanitária</v>
      </c>
      <c r="P291" s="19" t="s">
        <v>848</v>
      </c>
      <c r="Q291" s="19" t="s">
        <v>849</v>
      </c>
      <c r="R291" s="19" t="s">
        <v>1884</v>
      </c>
      <c r="S291" s="43" t="s">
        <v>9</v>
      </c>
      <c r="T291" s="25" t="str">
        <f t="shared" si="92"/>
        <v>Arquitetônicos</v>
      </c>
      <c r="U291" s="25" t="str">
        <f t="shared" si="93"/>
        <v>Elementos de Sanitários</v>
      </c>
      <c r="V291" s="25" t="str">
        <f t="shared" si="94"/>
        <v>De Banheiros</v>
      </c>
      <c r="W291" s="19" t="s">
        <v>74</v>
      </c>
      <c r="X291" s="57" t="str">
        <f t="shared" si="95"/>
        <v>Key-ARQ-291</v>
      </c>
      <c r="Y291" s="19" t="s">
        <v>1537</v>
      </c>
      <c r="Z291" s="25" t="s">
        <v>9</v>
      </c>
      <c r="AA291" s="25" t="s">
        <v>1351</v>
      </c>
      <c r="AB291" s="25" t="s">
        <v>9</v>
      </c>
      <c r="AC291" s="25" t="s">
        <v>1565</v>
      </c>
      <c r="AD291" s="25" t="s">
        <v>9</v>
      </c>
    </row>
    <row r="292" spans="1:30" ht="6.65" customHeight="1" x14ac:dyDescent="0.4">
      <c r="A292" s="21">
        <v>292</v>
      </c>
      <c r="B292" s="1" t="s">
        <v>1524</v>
      </c>
      <c r="C292" s="1" t="s">
        <v>1525</v>
      </c>
      <c r="D292" s="1" t="s">
        <v>1595</v>
      </c>
      <c r="E292" s="1" t="s">
        <v>1186</v>
      </c>
      <c r="F292" s="23" t="s">
        <v>829</v>
      </c>
      <c r="G292" s="7" t="s">
        <v>9</v>
      </c>
      <c r="H292" s="83" t="s">
        <v>9</v>
      </c>
      <c r="I292" s="83" t="s">
        <v>9</v>
      </c>
      <c r="J292" s="7" t="s">
        <v>9</v>
      </c>
      <c r="K292" s="7" t="s">
        <v>9</v>
      </c>
      <c r="L292" s="24" t="str">
        <f t="shared" si="88"/>
        <v>Arquitetônicos</v>
      </c>
      <c r="M292" s="24" t="str">
        <f t="shared" si="89"/>
        <v>Elementos.de.Sanitários</v>
      </c>
      <c r="N292" s="24" t="str">
        <f t="shared" si="90"/>
        <v>De Banheiros</v>
      </c>
      <c r="O292" s="24" t="str">
        <f t="shared" si="91"/>
        <v>Banheira</v>
      </c>
      <c r="P292" s="19" t="s">
        <v>830</v>
      </c>
      <c r="Q292" s="19" t="s">
        <v>831</v>
      </c>
      <c r="R292" s="19" t="s">
        <v>1885</v>
      </c>
      <c r="S292" s="43" t="s">
        <v>9</v>
      </c>
      <c r="T292" s="25" t="str">
        <f t="shared" si="92"/>
        <v>Arquitetônicos</v>
      </c>
      <c r="U292" s="25" t="str">
        <f t="shared" si="93"/>
        <v>Elementos de Sanitários</v>
      </c>
      <c r="V292" s="25" t="str">
        <f t="shared" si="94"/>
        <v>De Banheiros</v>
      </c>
      <c r="W292" s="19" t="s">
        <v>74</v>
      </c>
      <c r="X292" s="57" t="str">
        <f t="shared" si="95"/>
        <v>Key-ARQ-292</v>
      </c>
      <c r="Y292" s="19" t="s">
        <v>1537</v>
      </c>
      <c r="Z292" s="25" t="s">
        <v>9</v>
      </c>
      <c r="AA292" s="25" t="s">
        <v>1357</v>
      </c>
      <c r="AB292" s="25" t="s">
        <v>9</v>
      </c>
      <c r="AC292" s="25" t="s">
        <v>1565</v>
      </c>
      <c r="AD292" s="25" t="s">
        <v>9</v>
      </c>
    </row>
    <row r="293" spans="1:30" ht="6.65" customHeight="1" x14ac:dyDescent="0.4">
      <c r="A293" s="21">
        <v>293</v>
      </c>
      <c r="B293" s="1" t="s">
        <v>1524</v>
      </c>
      <c r="C293" s="1" t="s">
        <v>1525</v>
      </c>
      <c r="D293" s="1" t="s">
        <v>1595</v>
      </c>
      <c r="E293" s="1" t="s">
        <v>1186</v>
      </c>
      <c r="F293" s="23" t="s">
        <v>1082</v>
      </c>
      <c r="G293" s="7" t="s">
        <v>9</v>
      </c>
      <c r="H293" s="83" t="s">
        <v>9</v>
      </c>
      <c r="I293" s="83" t="s">
        <v>9</v>
      </c>
      <c r="J293" s="7" t="s">
        <v>9</v>
      </c>
      <c r="K293" s="7" t="s">
        <v>9</v>
      </c>
      <c r="L293" s="24" t="str">
        <f t="shared" si="88"/>
        <v>Arquitetônicos</v>
      </c>
      <c r="M293" s="24" t="str">
        <f t="shared" si="89"/>
        <v>Elementos.de.Sanitários</v>
      </c>
      <c r="N293" s="24" t="str">
        <f t="shared" si="90"/>
        <v>De Banheiros</v>
      </c>
      <c r="O293" s="24" t="str">
        <f t="shared" si="91"/>
        <v>Bebedouro</v>
      </c>
      <c r="P293" s="19" t="s">
        <v>832</v>
      </c>
      <c r="Q293" s="19" t="s">
        <v>833</v>
      </c>
      <c r="R293" s="19" t="s">
        <v>1886</v>
      </c>
      <c r="S293" s="43" t="s">
        <v>9</v>
      </c>
      <c r="T293" s="25" t="str">
        <f t="shared" si="92"/>
        <v>Arquitetônicos</v>
      </c>
      <c r="U293" s="25" t="str">
        <f t="shared" si="93"/>
        <v>Elementos de Sanitários</v>
      </c>
      <c r="V293" s="25" t="str">
        <f t="shared" si="94"/>
        <v>De Banheiros</v>
      </c>
      <c r="W293" s="19" t="s">
        <v>74</v>
      </c>
      <c r="X293" s="57" t="str">
        <f t="shared" si="95"/>
        <v>Key-ARQ-293</v>
      </c>
      <c r="Y293" s="19" t="s">
        <v>1537</v>
      </c>
      <c r="Z293" s="25" t="s">
        <v>9</v>
      </c>
      <c r="AA293" s="25" t="s">
        <v>1358</v>
      </c>
      <c r="AB293" s="25" t="s">
        <v>9</v>
      </c>
      <c r="AC293" s="25" t="s">
        <v>1565</v>
      </c>
      <c r="AD293" s="25" t="s">
        <v>9</v>
      </c>
    </row>
    <row r="294" spans="1:30" ht="6.65" customHeight="1" x14ac:dyDescent="0.4">
      <c r="A294" s="21">
        <v>294</v>
      </c>
      <c r="B294" s="1" t="s">
        <v>1524</v>
      </c>
      <c r="C294" s="1" t="s">
        <v>1525</v>
      </c>
      <c r="D294" s="1" t="s">
        <v>1595</v>
      </c>
      <c r="E294" s="1" t="s">
        <v>1186</v>
      </c>
      <c r="F294" s="23" t="s">
        <v>834</v>
      </c>
      <c r="G294" s="7" t="s">
        <v>9</v>
      </c>
      <c r="H294" s="83" t="s">
        <v>9</v>
      </c>
      <c r="I294" s="83" t="s">
        <v>9</v>
      </c>
      <c r="J294" s="7" t="s">
        <v>9</v>
      </c>
      <c r="K294" s="7" t="s">
        <v>9</v>
      </c>
      <c r="L294" s="24" t="str">
        <f t="shared" si="88"/>
        <v>Arquitetônicos</v>
      </c>
      <c r="M294" s="24" t="str">
        <f t="shared" si="89"/>
        <v>Elementos.de.Sanitários</v>
      </c>
      <c r="N294" s="24" t="str">
        <f t="shared" si="90"/>
        <v>De Banheiros</v>
      </c>
      <c r="O294" s="24" t="str">
        <f t="shared" si="91"/>
        <v>Bidet</v>
      </c>
      <c r="P294" s="19" t="s">
        <v>835</v>
      </c>
      <c r="Q294" s="19" t="s">
        <v>836</v>
      </c>
      <c r="R294" s="19" t="s">
        <v>1887</v>
      </c>
      <c r="S294" s="43" t="s">
        <v>9</v>
      </c>
      <c r="T294" s="25" t="str">
        <f t="shared" si="92"/>
        <v>Arquitetônicos</v>
      </c>
      <c r="U294" s="25" t="str">
        <f t="shared" si="93"/>
        <v>Elementos de Sanitários</v>
      </c>
      <c r="V294" s="25" t="str">
        <f t="shared" si="94"/>
        <v>De Banheiros</v>
      </c>
      <c r="W294" s="19" t="s">
        <v>74</v>
      </c>
      <c r="X294" s="57" t="str">
        <f t="shared" si="95"/>
        <v>Key-ARQ-294</v>
      </c>
      <c r="Y294" s="19" t="s">
        <v>1537</v>
      </c>
      <c r="Z294" s="25" t="s">
        <v>9</v>
      </c>
      <c r="AA294" s="25" t="s">
        <v>1359</v>
      </c>
      <c r="AB294" s="25" t="s">
        <v>9</v>
      </c>
      <c r="AC294" s="25" t="s">
        <v>1565</v>
      </c>
      <c r="AD294" s="25" t="s">
        <v>9</v>
      </c>
    </row>
    <row r="295" spans="1:30" ht="6.65" customHeight="1" x14ac:dyDescent="0.4">
      <c r="A295" s="21">
        <v>295</v>
      </c>
      <c r="B295" s="1" t="s">
        <v>1524</v>
      </c>
      <c r="C295" s="1" t="s">
        <v>1525</v>
      </c>
      <c r="D295" s="1" t="s">
        <v>1595</v>
      </c>
      <c r="E295" s="1" t="s">
        <v>1186</v>
      </c>
      <c r="F295" s="23" t="s">
        <v>837</v>
      </c>
      <c r="G295" s="7" t="s">
        <v>9</v>
      </c>
      <c r="H295" s="83" t="s">
        <v>9</v>
      </c>
      <c r="I295" s="83" t="s">
        <v>9</v>
      </c>
      <c r="J295" s="7" t="s">
        <v>9</v>
      </c>
      <c r="K295" s="7" t="s">
        <v>9</v>
      </c>
      <c r="L295" s="24" t="str">
        <f t="shared" si="88"/>
        <v>Arquitetônicos</v>
      </c>
      <c r="M295" s="24" t="str">
        <f t="shared" si="89"/>
        <v>Elementos.de.Sanitários</v>
      </c>
      <c r="N295" s="24" t="str">
        <f t="shared" si="90"/>
        <v>De Banheiros</v>
      </c>
      <c r="O295" s="24" t="str">
        <f t="shared" si="91"/>
        <v>Chuveiro</v>
      </c>
      <c r="P295" s="19" t="s">
        <v>838</v>
      </c>
      <c r="Q295" s="19" t="s">
        <v>839</v>
      </c>
      <c r="R295" s="19" t="s">
        <v>1888</v>
      </c>
      <c r="S295" s="43" t="s">
        <v>9</v>
      </c>
      <c r="T295" s="25" t="str">
        <f t="shared" si="92"/>
        <v>Arquitetônicos</v>
      </c>
      <c r="U295" s="25" t="str">
        <f t="shared" si="93"/>
        <v>Elementos de Sanitários</v>
      </c>
      <c r="V295" s="25" t="str">
        <f t="shared" si="94"/>
        <v>De Banheiros</v>
      </c>
      <c r="W295" s="19" t="s">
        <v>74</v>
      </c>
      <c r="X295" s="57" t="str">
        <f t="shared" si="95"/>
        <v>Key-ARQ-295</v>
      </c>
      <c r="Y295" s="19" t="s">
        <v>1537</v>
      </c>
      <c r="Z295" s="25" t="s">
        <v>9</v>
      </c>
      <c r="AA295" s="25" t="s">
        <v>1360</v>
      </c>
      <c r="AB295" s="25" t="s">
        <v>9</v>
      </c>
      <c r="AC295" s="25" t="s">
        <v>1565</v>
      </c>
      <c r="AD295" s="25" t="s">
        <v>9</v>
      </c>
    </row>
    <row r="296" spans="1:30" ht="6.65" customHeight="1" x14ac:dyDescent="0.4">
      <c r="A296" s="21">
        <v>296</v>
      </c>
      <c r="B296" s="1" t="s">
        <v>1524</v>
      </c>
      <c r="C296" s="1" t="s">
        <v>1525</v>
      </c>
      <c r="D296" s="1" t="s">
        <v>1595</v>
      </c>
      <c r="E296" s="1" t="s">
        <v>1186</v>
      </c>
      <c r="F296" s="23" t="s">
        <v>1083</v>
      </c>
      <c r="G296" s="7" t="s">
        <v>9</v>
      </c>
      <c r="H296" s="83" t="s">
        <v>9</v>
      </c>
      <c r="I296" s="83" t="s">
        <v>9</v>
      </c>
      <c r="J296" s="7" t="s">
        <v>9</v>
      </c>
      <c r="K296" s="7" t="s">
        <v>9</v>
      </c>
      <c r="L296" s="24" t="str">
        <f t="shared" si="88"/>
        <v>Arquitetônicos</v>
      </c>
      <c r="M296" s="24" t="str">
        <f t="shared" si="89"/>
        <v>Elementos.de.Sanitários</v>
      </c>
      <c r="N296" s="24" t="str">
        <f t="shared" si="90"/>
        <v>De Banheiros</v>
      </c>
      <c r="O296" s="24" t="str">
        <f t="shared" si="91"/>
        <v>Lavatório</v>
      </c>
      <c r="P296" s="19" t="s">
        <v>840</v>
      </c>
      <c r="Q296" s="19" t="s">
        <v>841</v>
      </c>
      <c r="R296" s="19" t="s">
        <v>1889</v>
      </c>
      <c r="S296" s="43" t="s">
        <v>9</v>
      </c>
      <c r="T296" s="25" t="str">
        <f t="shared" si="92"/>
        <v>Arquitetônicos</v>
      </c>
      <c r="U296" s="25" t="str">
        <f t="shared" si="93"/>
        <v>Elementos de Sanitários</v>
      </c>
      <c r="V296" s="25" t="str">
        <f t="shared" si="94"/>
        <v>De Banheiros</v>
      </c>
      <c r="W296" s="19" t="s">
        <v>74</v>
      </c>
      <c r="X296" s="57" t="str">
        <f t="shared" si="95"/>
        <v>Key-ARQ-296</v>
      </c>
      <c r="Y296" s="19" t="s">
        <v>1537</v>
      </c>
      <c r="Z296" s="25" t="s">
        <v>9</v>
      </c>
      <c r="AA296" s="25" t="s">
        <v>1361</v>
      </c>
      <c r="AB296" s="25" t="s">
        <v>9</v>
      </c>
      <c r="AC296" s="25" t="s">
        <v>1565</v>
      </c>
      <c r="AD296" s="25" t="s">
        <v>9</v>
      </c>
    </row>
    <row r="297" spans="1:30" ht="6.65" customHeight="1" x14ac:dyDescent="0.4">
      <c r="A297" s="21">
        <v>297</v>
      </c>
      <c r="B297" s="1" t="s">
        <v>1524</v>
      </c>
      <c r="C297" s="1" t="s">
        <v>1525</v>
      </c>
      <c r="D297" s="1" t="s">
        <v>1595</v>
      </c>
      <c r="E297" s="1" t="s">
        <v>1186</v>
      </c>
      <c r="F297" s="23" t="s">
        <v>842</v>
      </c>
      <c r="G297" s="7" t="s">
        <v>9</v>
      </c>
      <c r="H297" s="83" t="s">
        <v>9</v>
      </c>
      <c r="I297" s="83" t="s">
        <v>9</v>
      </c>
      <c r="J297" s="7" t="s">
        <v>9</v>
      </c>
      <c r="K297" s="7" t="s">
        <v>9</v>
      </c>
      <c r="L297" s="24" t="str">
        <f t="shared" si="88"/>
        <v>Arquitetônicos</v>
      </c>
      <c r="M297" s="24" t="str">
        <f t="shared" si="89"/>
        <v>Elementos.de.Sanitários</v>
      </c>
      <c r="N297" s="24" t="str">
        <f t="shared" si="90"/>
        <v>De Banheiros</v>
      </c>
      <c r="O297" s="24" t="str">
        <f t="shared" si="91"/>
        <v>Mictório</v>
      </c>
      <c r="P297" s="19" t="s">
        <v>843</v>
      </c>
      <c r="Q297" s="19" t="s">
        <v>844</v>
      </c>
      <c r="R297" s="19" t="s">
        <v>1890</v>
      </c>
      <c r="S297" s="43" t="s">
        <v>9</v>
      </c>
      <c r="T297" s="25" t="str">
        <f t="shared" si="92"/>
        <v>Arquitetônicos</v>
      </c>
      <c r="U297" s="25" t="str">
        <f t="shared" si="93"/>
        <v>Elementos de Sanitários</v>
      </c>
      <c r="V297" s="25" t="str">
        <f t="shared" si="94"/>
        <v>De Banheiros</v>
      </c>
      <c r="W297" s="19" t="s">
        <v>74</v>
      </c>
      <c r="X297" s="57" t="str">
        <f t="shared" si="95"/>
        <v>Key-ARQ-297</v>
      </c>
      <c r="Y297" s="19" t="s">
        <v>1537</v>
      </c>
      <c r="Z297" s="25" t="s">
        <v>9</v>
      </c>
      <c r="AA297" s="25" t="s">
        <v>1362</v>
      </c>
      <c r="AB297" s="25" t="s">
        <v>9</v>
      </c>
      <c r="AC297" s="25" t="s">
        <v>1565</v>
      </c>
      <c r="AD297" s="25" t="s">
        <v>9</v>
      </c>
    </row>
    <row r="298" spans="1:30" ht="6.65" customHeight="1" x14ac:dyDescent="0.4">
      <c r="A298" s="21">
        <v>298</v>
      </c>
      <c r="B298" s="1" t="s">
        <v>1524</v>
      </c>
      <c r="C298" s="1" t="s">
        <v>1525</v>
      </c>
      <c r="D298" s="1" t="s">
        <v>1595</v>
      </c>
      <c r="E298" s="1" t="s">
        <v>1186</v>
      </c>
      <c r="F298" s="23" t="s">
        <v>845</v>
      </c>
      <c r="G298" s="7" t="s">
        <v>9</v>
      </c>
      <c r="H298" s="83" t="s">
        <v>9</v>
      </c>
      <c r="I298" s="83" t="s">
        <v>9</v>
      </c>
      <c r="J298" s="7" t="s">
        <v>9</v>
      </c>
      <c r="K298" s="7" t="s">
        <v>9</v>
      </c>
      <c r="L298" s="24" t="str">
        <f t="shared" si="88"/>
        <v>Arquitetônicos</v>
      </c>
      <c r="M298" s="24" t="str">
        <f t="shared" si="89"/>
        <v>Elementos.de.Sanitários</v>
      </c>
      <c r="N298" s="24" t="str">
        <f t="shared" si="90"/>
        <v>De Banheiros</v>
      </c>
      <c r="O298" s="24" t="str">
        <f t="shared" si="91"/>
        <v>Pia</v>
      </c>
      <c r="P298" s="19" t="s">
        <v>846</v>
      </c>
      <c r="Q298" s="19" t="s">
        <v>847</v>
      </c>
      <c r="R298" s="19" t="s">
        <v>1891</v>
      </c>
      <c r="S298" s="43" t="s">
        <v>9</v>
      </c>
      <c r="T298" s="25" t="str">
        <f t="shared" si="92"/>
        <v>Arquitetônicos</v>
      </c>
      <c r="U298" s="25" t="str">
        <f t="shared" si="93"/>
        <v>Elementos de Sanitários</v>
      </c>
      <c r="V298" s="25" t="str">
        <f t="shared" si="94"/>
        <v>De Banheiros</v>
      </c>
      <c r="W298" s="19" t="s">
        <v>74</v>
      </c>
      <c r="X298" s="57" t="str">
        <f t="shared" si="95"/>
        <v>Key-ARQ-298</v>
      </c>
      <c r="Y298" s="19" t="s">
        <v>1537</v>
      </c>
      <c r="Z298" s="25" t="s">
        <v>9</v>
      </c>
      <c r="AA298" s="25" t="s">
        <v>1363</v>
      </c>
      <c r="AB298" s="25" t="s">
        <v>9</v>
      </c>
      <c r="AC298" s="25" t="s">
        <v>1565</v>
      </c>
      <c r="AD298" s="25" t="s">
        <v>9</v>
      </c>
    </row>
    <row r="299" spans="1:30" ht="6.65" customHeight="1" x14ac:dyDescent="0.4">
      <c r="A299" s="21">
        <v>299</v>
      </c>
      <c r="B299" s="1" t="s">
        <v>1524</v>
      </c>
      <c r="C299" s="1" t="s">
        <v>1525</v>
      </c>
      <c r="D299" s="1" t="s">
        <v>1595</v>
      </c>
      <c r="E299" s="1" t="s">
        <v>1186</v>
      </c>
      <c r="F299" s="23" t="s">
        <v>850</v>
      </c>
      <c r="G299" s="7" t="s">
        <v>9</v>
      </c>
      <c r="H299" s="83" t="s">
        <v>9</v>
      </c>
      <c r="I299" s="83" t="s">
        <v>9</v>
      </c>
      <c r="J299" s="7" t="s">
        <v>9</v>
      </c>
      <c r="K299" s="7" t="s">
        <v>9</v>
      </c>
      <c r="L299" s="24" t="str">
        <f t="shared" si="88"/>
        <v>Arquitetônicos</v>
      </c>
      <c r="M299" s="24" t="str">
        <f t="shared" si="89"/>
        <v>Elementos.de.Sanitários</v>
      </c>
      <c r="N299" s="24" t="str">
        <f t="shared" si="90"/>
        <v>De Banheiros</v>
      </c>
      <c r="O299" s="24" t="str">
        <f t="shared" si="91"/>
        <v>Vaso Sanitário</v>
      </c>
      <c r="P299" s="19" t="s">
        <v>851</v>
      </c>
      <c r="Q299" s="19" t="s">
        <v>852</v>
      </c>
      <c r="R299" s="19" t="s">
        <v>1892</v>
      </c>
      <c r="S299" s="43" t="s">
        <v>9</v>
      </c>
      <c r="T299" s="25" t="str">
        <f t="shared" si="92"/>
        <v>Arquitetônicos</v>
      </c>
      <c r="U299" s="25" t="str">
        <f t="shared" si="93"/>
        <v>Elementos de Sanitários</v>
      </c>
      <c r="V299" s="25" t="str">
        <f t="shared" si="94"/>
        <v>De Banheiros</v>
      </c>
      <c r="W299" s="19" t="s">
        <v>74</v>
      </c>
      <c r="X299" s="57" t="str">
        <f t="shared" si="95"/>
        <v>Key-ARQ-299</v>
      </c>
      <c r="Y299" s="19" t="s">
        <v>1537</v>
      </c>
      <c r="Z299" s="25" t="s">
        <v>9</v>
      </c>
      <c r="AA299" s="25" t="s">
        <v>1364</v>
      </c>
      <c r="AB299" s="25" t="s">
        <v>9</v>
      </c>
      <c r="AC299" s="25" t="s">
        <v>1565</v>
      </c>
      <c r="AD299" s="25" t="s">
        <v>9</v>
      </c>
    </row>
    <row r="300" spans="1:30" ht="6.65" customHeight="1" x14ac:dyDescent="0.4">
      <c r="A300" s="21">
        <v>300</v>
      </c>
      <c r="B300" s="1" t="s">
        <v>1524</v>
      </c>
      <c r="C300" s="1" t="s">
        <v>1525</v>
      </c>
      <c r="D300" s="1" t="s">
        <v>1595</v>
      </c>
      <c r="E300" s="1" t="s">
        <v>1186</v>
      </c>
      <c r="F300" s="23" t="s">
        <v>853</v>
      </c>
      <c r="G300" s="7" t="s">
        <v>9</v>
      </c>
      <c r="H300" s="83" t="s">
        <v>9</v>
      </c>
      <c r="I300" s="83" t="s">
        <v>9</v>
      </c>
      <c r="J300" s="7" t="s">
        <v>9</v>
      </c>
      <c r="K300" s="7" t="s">
        <v>9</v>
      </c>
      <c r="L300" s="24" t="str">
        <f t="shared" si="88"/>
        <v>Arquitetônicos</v>
      </c>
      <c r="M300" s="24" t="str">
        <f t="shared" si="89"/>
        <v>Elementos.de.Sanitários</v>
      </c>
      <c r="N300" s="24" t="str">
        <f t="shared" si="90"/>
        <v>De Banheiros</v>
      </c>
      <c r="O300" s="24" t="str">
        <f t="shared" si="91"/>
        <v>Vaso Sanitário Assento</v>
      </c>
      <c r="P300" s="19" t="s">
        <v>854</v>
      </c>
      <c r="Q300" s="19" t="s">
        <v>855</v>
      </c>
      <c r="R300" s="19" t="s">
        <v>1893</v>
      </c>
      <c r="S300" s="43" t="s">
        <v>9</v>
      </c>
      <c r="T300" s="25" t="str">
        <f t="shared" si="92"/>
        <v>Arquitetônicos</v>
      </c>
      <c r="U300" s="25" t="str">
        <f t="shared" si="93"/>
        <v>Elementos de Sanitários</v>
      </c>
      <c r="V300" s="25" t="str">
        <f t="shared" si="94"/>
        <v>De Banheiros</v>
      </c>
      <c r="W300" s="19" t="s">
        <v>74</v>
      </c>
      <c r="X300" s="57" t="str">
        <f t="shared" si="95"/>
        <v>Key-ARQ-300</v>
      </c>
      <c r="Y300" s="19" t="s">
        <v>1537</v>
      </c>
      <c r="Z300" s="25" t="s">
        <v>9</v>
      </c>
      <c r="AA300" s="25" t="s">
        <v>1365</v>
      </c>
      <c r="AB300" s="25" t="s">
        <v>9</v>
      </c>
      <c r="AC300" s="25" t="s">
        <v>1565</v>
      </c>
      <c r="AD300" s="25" t="s">
        <v>9</v>
      </c>
    </row>
    <row r="301" spans="1:30" ht="6.65" customHeight="1" x14ac:dyDescent="0.4">
      <c r="A301" s="21">
        <v>301</v>
      </c>
      <c r="B301" s="1" t="s">
        <v>1524</v>
      </c>
      <c r="C301" s="1" t="s">
        <v>1525</v>
      </c>
      <c r="D301" s="1" t="s">
        <v>1595</v>
      </c>
      <c r="E301" s="1" t="s">
        <v>1186</v>
      </c>
      <c r="F301" s="23" t="s">
        <v>1084</v>
      </c>
      <c r="G301" s="7" t="s">
        <v>9</v>
      </c>
      <c r="H301" s="83" t="s">
        <v>9</v>
      </c>
      <c r="I301" s="83" t="s">
        <v>9</v>
      </c>
      <c r="J301" s="7" t="s">
        <v>9</v>
      </c>
      <c r="K301" s="7" t="s">
        <v>9</v>
      </c>
      <c r="L301" s="24" t="str">
        <f t="shared" si="88"/>
        <v>Arquitetônicos</v>
      </c>
      <c r="M301" s="24" t="str">
        <f t="shared" si="89"/>
        <v>Elementos.de.Sanitários</v>
      </c>
      <c r="N301" s="24" t="str">
        <f t="shared" si="90"/>
        <v>De Banheiros</v>
      </c>
      <c r="O301" s="24" t="str">
        <f t="shared" si="91"/>
        <v>Vaso Sanitário Caixa</v>
      </c>
      <c r="P301" s="19" t="s">
        <v>856</v>
      </c>
      <c r="Q301" s="19" t="s">
        <v>857</v>
      </c>
      <c r="R301" s="19" t="s">
        <v>1894</v>
      </c>
      <c r="S301" s="43" t="s">
        <v>9</v>
      </c>
      <c r="T301" s="25" t="str">
        <f t="shared" si="92"/>
        <v>Arquitetônicos</v>
      </c>
      <c r="U301" s="25" t="str">
        <f t="shared" si="93"/>
        <v>Elementos de Sanitários</v>
      </c>
      <c r="V301" s="25" t="str">
        <f t="shared" si="94"/>
        <v>De Banheiros</v>
      </c>
      <c r="W301" s="19" t="s">
        <v>74</v>
      </c>
      <c r="X301" s="57" t="str">
        <f t="shared" si="95"/>
        <v>Key-ARQ-301</v>
      </c>
      <c r="Y301" s="19" t="s">
        <v>1537</v>
      </c>
      <c r="Z301" s="25" t="s">
        <v>9</v>
      </c>
      <c r="AA301" s="25" t="s">
        <v>1366</v>
      </c>
      <c r="AB301" s="25" t="s">
        <v>9</v>
      </c>
      <c r="AC301" s="25" t="s">
        <v>1565</v>
      </c>
      <c r="AD301" s="25" t="s">
        <v>9</v>
      </c>
    </row>
    <row r="302" spans="1:30" ht="6.65" customHeight="1" x14ac:dyDescent="0.4">
      <c r="A302" s="21">
        <v>302</v>
      </c>
      <c r="B302" s="1" t="s">
        <v>1524</v>
      </c>
      <c r="C302" s="1" t="s">
        <v>1525</v>
      </c>
      <c r="D302" s="1" t="s">
        <v>1602</v>
      </c>
      <c r="E302" s="1" t="s">
        <v>1079</v>
      </c>
      <c r="F302" s="23" t="s">
        <v>917</v>
      </c>
      <c r="G302" s="7" t="s">
        <v>9</v>
      </c>
      <c r="H302" s="83" t="s">
        <v>9</v>
      </c>
      <c r="I302" s="83" t="s">
        <v>9</v>
      </c>
      <c r="J302" s="7" t="s">
        <v>9</v>
      </c>
      <c r="K302" s="7" t="s">
        <v>9</v>
      </c>
      <c r="L302" s="24" t="str">
        <f t="shared" si="88"/>
        <v>Arquitetônicos</v>
      </c>
      <c r="M302" s="24" t="str">
        <f t="shared" si="89"/>
        <v>Elementos.de.Saúde</v>
      </c>
      <c r="N302" s="24" t="str">
        <f t="shared" si="90"/>
        <v>Aparelho Saúde</v>
      </c>
      <c r="O302" s="24" t="str">
        <f t="shared" si="91"/>
        <v>Dispositivo Médico</v>
      </c>
      <c r="P302" s="19" t="s">
        <v>918</v>
      </c>
      <c r="Q302" s="19" t="s">
        <v>919</v>
      </c>
      <c r="R302" s="19" t="s">
        <v>1895</v>
      </c>
      <c r="S302" s="43" t="s">
        <v>9</v>
      </c>
      <c r="T302" s="25" t="str">
        <f t="shared" si="92"/>
        <v>Arquitetônicos</v>
      </c>
      <c r="U302" s="25" t="str">
        <f t="shared" si="93"/>
        <v>Elementos de Saúde</v>
      </c>
      <c r="V302" s="25" t="str">
        <f t="shared" si="94"/>
        <v>Aparelho Saúde</v>
      </c>
      <c r="W302" s="19" t="s">
        <v>74</v>
      </c>
      <c r="X302" s="57" t="str">
        <f t="shared" si="95"/>
        <v>Key-ARQ-302</v>
      </c>
      <c r="Y302" s="19" t="s">
        <v>1430</v>
      </c>
      <c r="Z302" s="25" t="s">
        <v>9</v>
      </c>
      <c r="AA302" s="25" t="s">
        <v>1367</v>
      </c>
      <c r="AB302" s="25" t="s">
        <v>9</v>
      </c>
      <c r="AC302" s="25" t="s">
        <v>1566</v>
      </c>
      <c r="AD302" s="25" t="s">
        <v>9</v>
      </c>
    </row>
    <row r="303" spans="1:30" ht="6.65" customHeight="1" x14ac:dyDescent="0.4">
      <c r="A303" s="21">
        <v>303</v>
      </c>
      <c r="B303" s="1" t="s">
        <v>1524</v>
      </c>
      <c r="C303" s="1" t="s">
        <v>1525</v>
      </c>
      <c r="D303" s="1" t="s">
        <v>1602</v>
      </c>
      <c r="E303" s="1" t="s">
        <v>1079</v>
      </c>
      <c r="F303" s="23" t="s">
        <v>933</v>
      </c>
      <c r="G303" s="7" t="s">
        <v>9</v>
      </c>
      <c r="H303" s="83" t="s">
        <v>9</v>
      </c>
      <c r="I303" s="83" t="s">
        <v>9</v>
      </c>
      <c r="J303" s="7" t="s">
        <v>9</v>
      </c>
      <c r="K303" s="7" t="s">
        <v>9</v>
      </c>
      <c r="L303" s="24" t="str">
        <f t="shared" si="88"/>
        <v>Arquitetônicos</v>
      </c>
      <c r="M303" s="24" t="str">
        <f t="shared" si="89"/>
        <v>Elementos.de.Saúde</v>
      </c>
      <c r="N303" s="24" t="str">
        <f t="shared" si="90"/>
        <v>Aparelho Saúde</v>
      </c>
      <c r="O303" s="24" t="str">
        <f t="shared" si="91"/>
        <v>Ar Medicinal Estação</v>
      </c>
      <c r="P303" s="19" t="s">
        <v>920</v>
      </c>
      <c r="Q303" s="19" t="s">
        <v>921</v>
      </c>
      <c r="R303" s="19" t="s">
        <v>1896</v>
      </c>
      <c r="S303" s="43" t="s">
        <v>9</v>
      </c>
      <c r="T303" s="25" t="str">
        <f t="shared" si="92"/>
        <v>Arquitetônicos</v>
      </c>
      <c r="U303" s="25" t="str">
        <f t="shared" si="93"/>
        <v>Elementos de Saúde</v>
      </c>
      <c r="V303" s="25" t="str">
        <f t="shared" si="94"/>
        <v>Aparelho Saúde</v>
      </c>
      <c r="W303" s="19" t="s">
        <v>74</v>
      </c>
      <c r="X303" s="57" t="str">
        <f t="shared" si="95"/>
        <v>Key-ARQ-303</v>
      </c>
      <c r="Y303" s="19" t="s">
        <v>1430</v>
      </c>
      <c r="Z303" s="25" t="s">
        <v>9</v>
      </c>
      <c r="AA303" s="25" t="s">
        <v>1368</v>
      </c>
      <c r="AB303" s="25" t="s">
        <v>9</v>
      </c>
      <c r="AC303" s="25" t="s">
        <v>1566</v>
      </c>
      <c r="AD303" s="25" t="s">
        <v>9</v>
      </c>
    </row>
    <row r="304" spans="1:30" ht="6.65" customHeight="1" x14ac:dyDescent="0.4">
      <c r="A304" s="21">
        <v>304</v>
      </c>
      <c r="B304" s="1" t="s">
        <v>1524</v>
      </c>
      <c r="C304" s="1" t="s">
        <v>1525</v>
      </c>
      <c r="D304" s="1" t="s">
        <v>1602</v>
      </c>
      <c r="E304" s="1" t="s">
        <v>1079</v>
      </c>
      <c r="F304" s="23" t="s">
        <v>932</v>
      </c>
      <c r="G304" s="7" t="s">
        <v>9</v>
      </c>
      <c r="H304" s="83" t="s">
        <v>9</v>
      </c>
      <c r="I304" s="83" t="s">
        <v>9</v>
      </c>
      <c r="J304" s="7" t="s">
        <v>9</v>
      </c>
      <c r="K304" s="7" t="s">
        <v>9</v>
      </c>
      <c r="L304" s="24" t="str">
        <f t="shared" si="88"/>
        <v>Arquitetônicos</v>
      </c>
      <c r="M304" s="24" t="str">
        <f t="shared" si="89"/>
        <v>Elementos.de.Saúde</v>
      </c>
      <c r="N304" s="24" t="str">
        <f t="shared" si="90"/>
        <v>Aparelho Saúde</v>
      </c>
      <c r="O304" s="24" t="str">
        <f t="shared" si="91"/>
        <v>Ar Medicinal Alimentador</v>
      </c>
      <c r="P304" s="19" t="s">
        <v>922</v>
      </c>
      <c r="Q304" s="19" t="s">
        <v>923</v>
      </c>
      <c r="R304" s="19" t="s">
        <v>1897</v>
      </c>
      <c r="S304" s="43" t="s">
        <v>9</v>
      </c>
      <c r="T304" s="25" t="str">
        <f t="shared" si="92"/>
        <v>Arquitetônicos</v>
      </c>
      <c r="U304" s="25" t="str">
        <f t="shared" si="93"/>
        <v>Elementos de Saúde</v>
      </c>
      <c r="V304" s="25" t="str">
        <f t="shared" si="94"/>
        <v>Aparelho Saúde</v>
      </c>
      <c r="W304" s="19" t="s">
        <v>74</v>
      </c>
      <c r="X304" s="57" t="str">
        <f t="shared" si="95"/>
        <v>Key-ARQ-304</v>
      </c>
      <c r="Y304" s="19" t="s">
        <v>1430</v>
      </c>
      <c r="Z304" s="25" t="s">
        <v>9</v>
      </c>
      <c r="AA304" s="25" t="s">
        <v>1369</v>
      </c>
      <c r="AB304" s="25" t="s">
        <v>9</v>
      </c>
      <c r="AC304" s="25" t="s">
        <v>1566</v>
      </c>
      <c r="AD304" s="25" t="s">
        <v>9</v>
      </c>
    </row>
    <row r="305" spans="1:30" ht="6.65" customHeight="1" x14ac:dyDescent="0.4">
      <c r="A305" s="21">
        <v>305</v>
      </c>
      <c r="B305" s="1" t="s">
        <v>1524</v>
      </c>
      <c r="C305" s="1" t="s">
        <v>1525</v>
      </c>
      <c r="D305" s="1" t="s">
        <v>1602</v>
      </c>
      <c r="E305" s="1" t="s">
        <v>1079</v>
      </c>
      <c r="F305" s="23" t="s">
        <v>936</v>
      </c>
      <c r="G305" s="7" t="s">
        <v>9</v>
      </c>
      <c r="H305" s="83" t="s">
        <v>9</v>
      </c>
      <c r="I305" s="83" t="s">
        <v>9</v>
      </c>
      <c r="J305" s="7" t="s">
        <v>9</v>
      </c>
      <c r="K305" s="7" t="s">
        <v>9</v>
      </c>
      <c r="L305" s="24" t="str">
        <f t="shared" si="88"/>
        <v>Arquitetônicos</v>
      </c>
      <c r="M305" s="24" t="str">
        <f t="shared" si="89"/>
        <v>Elementos.de.Saúde</v>
      </c>
      <c r="N305" s="24" t="str">
        <f t="shared" si="90"/>
        <v>Aparelho Saúde</v>
      </c>
      <c r="O305" s="24" t="str">
        <f t="shared" si="91"/>
        <v>Vácuo Medicinal Estação</v>
      </c>
      <c r="P305" s="19" t="s">
        <v>928</v>
      </c>
      <c r="Q305" s="19" t="s">
        <v>929</v>
      </c>
      <c r="R305" s="19" t="s">
        <v>1898</v>
      </c>
      <c r="S305" s="43" t="s">
        <v>9</v>
      </c>
      <c r="T305" s="25" t="str">
        <f t="shared" si="92"/>
        <v>Arquitetônicos</v>
      </c>
      <c r="U305" s="25" t="str">
        <f t="shared" si="93"/>
        <v>Elementos de Saúde</v>
      </c>
      <c r="V305" s="25" t="str">
        <f t="shared" si="94"/>
        <v>Aparelho Saúde</v>
      </c>
      <c r="W305" s="19" t="s">
        <v>74</v>
      </c>
      <c r="X305" s="57" t="str">
        <f t="shared" si="95"/>
        <v>Key-ARQ-305</v>
      </c>
      <c r="Y305" s="19" t="s">
        <v>1430</v>
      </c>
      <c r="Z305" s="25" t="s">
        <v>9</v>
      </c>
      <c r="AA305" s="25" t="s">
        <v>1370</v>
      </c>
      <c r="AB305" s="25" t="s">
        <v>9</v>
      </c>
      <c r="AC305" s="25" t="s">
        <v>1566</v>
      </c>
      <c r="AD305" s="25" t="s">
        <v>9</v>
      </c>
    </row>
    <row r="306" spans="1:30" ht="6.65" customHeight="1" x14ac:dyDescent="0.4">
      <c r="A306" s="21">
        <v>306</v>
      </c>
      <c r="B306" s="1" t="s">
        <v>1524</v>
      </c>
      <c r="C306" s="1" t="s">
        <v>1525</v>
      </c>
      <c r="D306" s="1" t="s">
        <v>1602</v>
      </c>
      <c r="E306" s="1" t="s">
        <v>1079</v>
      </c>
      <c r="F306" s="23" t="s">
        <v>934</v>
      </c>
      <c r="G306" s="7" t="s">
        <v>9</v>
      </c>
      <c r="H306" s="83" t="s">
        <v>9</v>
      </c>
      <c r="I306" s="83" t="s">
        <v>9</v>
      </c>
      <c r="J306" s="7" t="s">
        <v>9</v>
      </c>
      <c r="K306" s="7" t="s">
        <v>9</v>
      </c>
      <c r="L306" s="24" t="str">
        <f t="shared" si="88"/>
        <v>Arquitetônicos</v>
      </c>
      <c r="M306" s="24" t="str">
        <f t="shared" si="89"/>
        <v>Elementos.de.Saúde</v>
      </c>
      <c r="N306" s="24" t="str">
        <f t="shared" si="90"/>
        <v>Aparelho Saúde</v>
      </c>
      <c r="O306" s="24" t="str">
        <f t="shared" si="91"/>
        <v>Oxigênio Gerador</v>
      </c>
      <c r="P306" s="19" t="s">
        <v>924</v>
      </c>
      <c r="Q306" s="19" t="s">
        <v>925</v>
      </c>
      <c r="R306" s="19" t="s">
        <v>1899</v>
      </c>
      <c r="S306" s="43" t="s">
        <v>9</v>
      </c>
      <c r="T306" s="25" t="str">
        <f t="shared" si="92"/>
        <v>Arquitetônicos</v>
      </c>
      <c r="U306" s="25" t="str">
        <f t="shared" si="93"/>
        <v>Elementos de Saúde</v>
      </c>
      <c r="V306" s="25" t="str">
        <f t="shared" si="94"/>
        <v>Aparelho Saúde</v>
      </c>
      <c r="W306" s="19" t="s">
        <v>74</v>
      </c>
      <c r="X306" s="57" t="str">
        <f t="shared" si="95"/>
        <v>Key-ARQ-306</v>
      </c>
      <c r="Y306" s="19" t="s">
        <v>1430</v>
      </c>
      <c r="Z306" s="25" t="s">
        <v>9</v>
      </c>
      <c r="AA306" s="25" t="s">
        <v>1371</v>
      </c>
      <c r="AB306" s="25" t="s">
        <v>9</v>
      </c>
      <c r="AC306" s="25" t="s">
        <v>1566</v>
      </c>
      <c r="AD306" s="25" t="s">
        <v>9</v>
      </c>
    </row>
    <row r="307" spans="1:30" ht="6.65" customHeight="1" x14ac:dyDescent="0.4">
      <c r="A307" s="21">
        <v>307</v>
      </c>
      <c r="B307" s="1" t="s">
        <v>1524</v>
      </c>
      <c r="C307" s="1" t="s">
        <v>1525</v>
      </c>
      <c r="D307" s="1" t="s">
        <v>1602</v>
      </c>
      <c r="E307" s="1" t="s">
        <v>1079</v>
      </c>
      <c r="F307" s="23" t="s">
        <v>935</v>
      </c>
      <c r="G307" s="7" t="s">
        <v>9</v>
      </c>
      <c r="H307" s="83" t="s">
        <v>9</v>
      </c>
      <c r="I307" s="83" t="s">
        <v>9</v>
      </c>
      <c r="J307" s="7" t="s">
        <v>9</v>
      </c>
      <c r="K307" s="7" t="s">
        <v>9</v>
      </c>
      <c r="L307" s="24" t="str">
        <f t="shared" si="88"/>
        <v>Arquitetônicos</v>
      </c>
      <c r="M307" s="24" t="str">
        <f t="shared" si="89"/>
        <v>Elementos.de.Saúde</v>
      </c>
      <c r="N307" s="24" t="str">
        <f t="shared" si="90"/>
        <v>Aparelho Saúde</v>
      </c>
      <c r="O307" s="24" t="str">
        <f t="shared" si="91"/>
        <v>Oxigênio Usina</v>
      </c>
      <c r="P307" s="19" t="s">
        <v>926</v>
      </c>
      <c r="Q307" s="19" t="s">
        <v>927</v>
      </c>
      <c r="R307" s="19" t="s">
        <v>1900</v>
      </c>
      <c r="S307" s="43" t="s">
        <v>9</v>
      </c>
      <c r="T307" s="25" t="str">
        <f t="shared" si="92"/>
        <v>Arquitetônicos</v>
      </c>
      <c r="U307" s="25" t="str">
        <f t="shared" si="93"/>
        <v>Elementos de Saúde</v>
      </c>
      <c r="V307" s="25" t="str">
        <f t="shared" si="94"/>
        <v>Aparelho Saúde</v>
      </c>
      <c r="W307" s="19" t="s">
        <v>74</v>
      </c>
      <c r="X307" s="57" t="str">
        <f t="shared" si="95"/>
        <v>Key-ARQ-307</v>
      </c>
      <c r="Y307" s="19" t="s">
        <v>1430</v>
      </c>
      <c r="Z307" s="25" t="s">
        <v>9</v>
      </c>
      <c r="AA307" s="25" t="s">
        <v>1372</v>
      </c>
      <c r="AB307" s="25" t="s">
        <v>9</v>
      </c>
      <c r="AC307" s="25" t="s">
        <v>1566</v>
      </c>
      <c r="AD307" s="25" t="s">
        <v>9</v>
      </c>
    </row>
    <row r="308" spans="1:30" ht="6.65" customHeight="1" x14ac:dyDescent="0.4">
      <c r="A308" s="21">
        <v>308</v>
      </c>
      <c r="B308" s="1" t="s">
        <v>1524</v>
      </c>
      <c r="C308" s="1" t="s">
        <v>1525</v>
      </c>
      <c r="D308" s="1" t="s">
        <v>1602</v>
      </c>
      <c r="E308" s="1" t="s">
        <v>1079</v>
      </c>
      <c r="F308" s="1" t="s">
        <v>937</v>
      </c>
      <c r="G308" s="7" t="s">
        <v>9</v>
      </c>
      <c r="H308" s="83" t="s">
        <v>9</v>
      </c>
      <c r="I308" s="83" t="s">
        <v>9</v>
      </c>
      <c r="J308" s="7" t="s">
        <v>9</v>
      </c>
      <c r="K308" s="7" t="s">
        <v>9</v>
      </c>
      <c r="L308" s="24" t="str">
        <f t="shared" si="88"/>
        <v>Arquitetônicos</v>
      </c>
      <c r="M308" s="24" t="str">
        <f t="shared" si="89"/>
        <v>Elementos.de.Saúde</v>
      </c>
      <c r="N308" s="24" t="str">
        <f t="shared" si="90"/>
        <v>Aparelho Saúde</v>
      </c>
      <c r="O308" s="24" t="str">
        <f t="shared" si="91"/>
        <v>Chamada Enfermagem</v>
      </c>
      <c r="P308" s="19" t="s">
        <v>930</v>
      </c>
      <c r="Q308" s="19" t="s">
        <v>931</v>
      </c>
      <c r="R308" s="19" t="s">
        <v>1901</v>
      </c>
      <c r="S308" s="43" t="s">
        <v>9</v>
      </c>
      <c r="T308" s="25" t="str">
        <f t="shared" si="92"/>
        <v>Arquitetônicos</v>
      </c>
      <c r="U308" s="25" t="str">
        <f t="shared" si="93"/>
        <v>Elementos de Saúde</v>
      </c>
      <c r="V308" s="25" t="str">
        <f t="shared" si="94"/>
        <v>Aparelho Saúde</v>
      </c>
      <c r="W308" s="19" t="s">
        <v>74</v>
      </c>
      <c r="X308" s="57" t="str">
        <f t="shared" si="95"/>
        <v>Key-ARQ-308</v>
      </c>
      <c r="Y308" s="19" t="s">
        <v>1431</v>
      </c>
      <c r="Z308" s="25" t="s">
        <v>9</v>
      </c>
      <c r="AA308" s="25" t="s">
        <v>1373</v>
      </c>
      <c r="AB308" s="25" t="s">
        <v>9</v>
      </c>
      <c r="AC308" s="25" t="s">
        <v>1570</v>
      </c>
      <c r="AD308" s="25" t="s">
        <v>9</v>
      </c>
    </row>
    <row r="309" spans="1:30" ht="6.65" customHeight="1" x14ac:dyDescent="0.4">
      <c r="A309" s="21">
        <v>309</v>
      </c>
      <c r="B309" s="1" t="s">
        <v>1524</v>
      </c>
      <c r="C309" s="1" t="s">
        <v>1525</v>
      </c>
      <c r="D309" s="1" t="s">
        <v>1317</v>
      </c>
      <c r="E309" s="1" t="s">
        <v>1318</v>
      </c>
      <c r="F309" s="23" t="s">
        <v>872</v>
      </c>
      <c r="G309" s="7" t="s">
        <v>9</v>
      </c>
      <c r="H309" s="83" t="s">
        <v>9</v>
      </c>
      <c r="I309" s="83" t="s">
        <v>9</v>
      </c>
      <c r="J309" s="7" t="s">
        <v>9</v>
      </c>
      <c r="K309" s="7" t="s">
        <v>9</v>
      </c>
      <c r="L309" s="24" t="str">
        <f t="shared" si="88"/>
        <v>Arquitetônicos</v>
      </c>
      <c r="M309" s="24" t="str">
        <f t="shared" si="89"/>
        <v>Elementos.de.Mobiliário</v>
      </c>
      <c r="N309" s="24" t="str">
        <f t="shared" si="90"/>
        <v>Mob Composto</v>
      </c>
      <c r="O309" s="24" t="str">
        <f t="shared" si="91"/>
        <v>Móvel Sistema</v>
      </c>
      <c r="P309" s="19" t="s">
        <v>861</v>
      </c>
      <c r="Q309" s="19" t="s">
        <v>977</v>
      </c>
      <c r="R309" s="19" t="s">
        <v>1902</v>
      </c>
      <c r="S309" s="43" t="s">
        <v>9</v>
      </c>
      <c r="T309" s="25" t="str">
        <f t="shared" si="92"/>
        <v>Arquitetônicos</v>
      </c>
      <c r="U309" s="25" t="str">
        <f t="shared" si="93"/>
        <v>Elementos de Mobiliário</v>
      </c>
      <c r="V309" s="25" t="str">
        <f t="shared" si="94"/>
        <v>Mob Composto</v>
      </c>
      <c r="W309" s="19" t="s">
        <v>74</v>
      </c>
      <c r="X309" s="57" t="str">
        <f t="shared" si="95"/>
        <v>Key-ARQ-309</v>
      </c>
      <c r="Y309" s="19" t="s">
        <v>1432</v>
      </c>
      <c r="Z309" s="25" t="s">
        <v>9</v>
      </c>
      <c r="AA309" s="25" t="s">
        <v>1374</v>
      </c>
      <c r="AB309" s="25" t="s">
        <v>9</v>
      </c>
      <c r="AC309" s="25" t="s">
        <v>1564</v>
      </c>
      <c r="AD309" s="25" t="s">
        <v>9</v>
      </c>
    </row>
    <row r="310" spans="1:30" ht="6.65" customHeight="1" x14ac:dyDescent="0.4">
      <c r="A310" s="21">
        <v>310</v>
      </c>
      <c r="B310" s="1" t="s">
        <v>1524</v>
      </c>
      <c r="C310" s="1" t="s">
        <v>1525</v>
      </c>
      <c r="D310" s="1" t="s">
        <v>1317</v>
      </c>
      <c r="E310" s="1" t="s">
        <v>1318</v>
      </c>
      <c r="F310" s="23" t="s">
        <v>1198</v>
      </c>
      <c r="G310" s="7" t="s">
        <v>9</v>
      </c>
      <c r="H310" s="83" t="s">
        <v>9</v>
      </c>
      <c r="I310" s="83" t="s">
        <v>9</v>
      </c>
      <c r="J310" s="7" t="s">
        <v>9</v>
      </c>
      <c r="K310" s="7" t="s">
        <v>9</v>
      </c>
      <c r="L310" s="24" t="str">
        <f t="shared" si="88"/>
        <v>Arquitetônicos</v>
      </c>
      <c r="M310" s="24" t="str">
        <f t="shared" si="89"/>
        <v>Elementos.de.Mobiliário</v>
      </c>
      <c r="N310" s="24" t="str">
        <f t="shared" si="90"/>
        <v>Mob Composto</v>
      </c>
      <c r="O310" s="24" t="str">
        <f t="shared" si="91"/>
        <v>Móvel Sistema Elemento</v>
      </c>
      <c r="P310" s="19" t="s">
        <v>1187</v>
      </c>
      <c r="Q310" s="19" t="s">
        <v>1188</v>
      </c>
      <c r="R310" s="19" t="s">
        <v>1903</v>
      </c>
      <c r="S310" s="43" t="s">
        <v>9</v>
      </c>
      <c r="T310" s="25" t="str">
        <f t="shared" si="92"/>
        <v>Arquitetônicos</v>
      </c>
      <c r="U310" s="25" t="str">
        <f t="shared" si="93"/>
        <v>Elementos de Mobiliário</v>
      </c>
      <c r="V310" s="25" t="str">
        <f t="shared" si="94"/>
        <v>Mob Composto</v>
      </c>
      <c r="W310" s="19" t="s">
        <v>74</v>
      </c>
      <c r="X310" s="57" t="str">
        <f t="shared" si="95"/>
        <v>Key-ARQ-310</v>
      </c>
      <c r="Y310" s="19" t="s">
        <v>1432</v>
      </c>
      <c r="Z310" s="25" t="s">
        <v>9</v>
      </c>
      <c r="AA310" s="25" t="s">
        <v>1374</v>
      </c>
      <c r="AB310" s="25" t="s">
        <v>9</v>
      </c>
      <c r="AC310" s="25" t="s">
        <v>1564</v>
      </c>
      <c r="AD310" s="25" t="s">
        <v>9</v>
      </c>
    </row>
    <row r="311" spans="1:30" ht="6.65" customHeight="1" x14ac:dyDescent="0.4">
      <c r="A311" s="21">
        <v>311</v>
      </c>
      <c r="B311" s="1" t="s">
        <v>1524</v>
      </c>
      <c r="C311" s="1" t="s">
        <v>1525</v>
      </c>
      <c r="D311" s="1" t="s">
        <v>1317</v>
      </c>
      <c r="E311" s="1" t="s">
        <v>1318</v>
      </c>
      <c r="F311" s="23" t="s">
        <v>1195</v>
      </c>
      <c r="G311" s="7" t="s">
        <v>9</v>
      </c>
      <c r="H311" s="83" t="s">
        <v>9</v>
      </c>
      <c r="I311" s="83" t="s">
        <v>9</v>
      </c>
      <c r="J311" s="7" t="s">
        <v>9</v>
      </c>
      <c r="K311" s="7" t="s">
        <v>9</v>
      </c>
      <c r="L311" s="24" t="str">
        <f t="shared" si="88"/>
        <v>Arquitetônicos</v>
      </c>
      <c r="M311" s="24" t="str">
        <f t="shared" si="89"/>
        <v>Elementos.de.Mobiliário</v>
      </c>
      <c r="N311" s="24" t="str">
        <f t="shared" si="90"/>
        <v>Mob Composto</v>
      </c>
      <c r="O311" s="24" t="str">
        <f t="shared" si="91"/>
        <v>Móvel Sistema Painel</v>
      </c>
      <c r="P311" s="19" t="s">
        <v>1189</v>
      </c>
      <c r="Q311" s="19" t="s">
        <v>1190</v>
      </c>
      <c r="R311" s="19" t="s">
        <v>1904</v>
      </c>
      <c r="S311" s="43" t="s">
        <v>9</v>
      </c>
      <c r="T311" s="25" t="str">
        <f t="shared" si="92"/>
        <v>Arquitetônicos</v>
      </c>
      <c r="U311" s="25" t="str">
        <f t="shared" si="93"/>
        <v>Elementos de Mobiliário</v>
      </c>
      <c r="V311" s="25" t="str">
        <f t="shared" si="94"/>
        <v>Mob Composto</v>
      </c>
      <c r="W311" s="19" t="s">
        <v>74</v>
      </c>
      <c r="X311" s="57" t="str">
        <f t="shared" si="95"/>
        <v>Key-ARQ-311</v>
      </c>
      <c r="Y311" s="19" t="s">
        <v>1432</v>
      </c>
      <c r="Z311" s="25" t="s">
        <v>9</v>
      </c>
      <c r="AA311" s="25" t="s">
        <v>1375</v>
      </c>
      <c r="AB311" s="25" t="s">
        <v>9</v>
      </c>
      <c r="AC311" s="25" t="s">
        <v>1564</v>
      </c>
      <c r="AD311" s="25" t="s">
        <v>9</v>
      </c>
    </row>
    <row r="312" spans="1:30" ht="6.65" customHeight="1" x14ac:dyDescent="0.4">
      <c r="A312" s="21">
        <v>312</v>
      </c>
      <c r="B312" s="1" t="s">
        <v>1524</v>
      </c>
      <c r="C312" s="1" t="s">
        <v>1525</v>
      </c>
      <c r="D312" s="1" t="s">
        <v>1317</v>
      </c>
      <c r="E312" s="1" t="s">
        <v>1318</v>
      </c>
      <c r="F312" s="23" t="s">
        <v>1196</v>
      </c>
      <c r="G312" s="7" t="s">
        <v>9</v>
      </c>
      <c r="H312" s="83" t="s">
        <v>9</v>
      </c>
      <c r="I312" s="83" t="s">
        <v>9</v>
      </c>
      <c r="J312" s="7" t="s">
        <v>9</v>
      </c>
      <c r="K312" s="7" t="s">
        <v>9</v>
      </c>
      <c r="L312" s="24" t="str">
        <f t="shared" si="88"/>
        <v>Arquitetônicos</v>
      </c>
      <c r="M312" s="24" t="str">
        <f t="shared" si="89"/>
        <v>Elementos.de.Mobiliário</v>
      </c>
      <c r="N312" s="24" t="str">
        <f t="shared" si="90"/>
        <v>Mob Composto</v>
      </c>
      <c r="O312" s="24" t="str">
        <f t="shared" si="91"/>
        <v>Móvel Sistema Modulo</v>
      </c>
      <c r="P312" s="19" t="s">
        <v>1191</v>
      </c>
      <c r="Q312" s="19" t="s">
        <v>1192</v>
      </c>
      <c r="R312" s="19" t="s">
        <v>1905</v>
      </c>
      <c r="S312" s="43" t="s">
        <v>9</v>
      </c>
      <c r="T312" s="25" t="str">
        <f t="shared" si="92"/>
        <v>Arquitetônicos</v>
      </c>
      <c r="U312" s="25" t="str">
        <f t="shared" si="93"/>
        <v>Elementos de Mobiliário</v>
      </c>
      <c r="V312" s="25" t="str">
        <f t="shared" si="94"/>
        <v>Mob Composto</v>
      </c>
      <c r="W312" s="19" t="s">
        <v>74</v>
      </c>
      <c r="X312" s="57" t="str">
        <f t="shared" si="95"/>
        <v>Key-ARQ-312</v>
      </c>
      <c r="Y312" s="19" t="s">
        <v>1432</v>
      </c>
      <c r="Z312" s="25" t="s">
        <v>9</v>
      </c>
      <c r="AA312" s="25" t="s">
        <v>1376</v>
      </c>
      <c r="AB312" s="25" t="s">
        <v>9</v>
      </c>
      <c r="AC312" s="25" t="s">
        <v>1564</v>
      </c>
      <c r="AD312" s="25" t="s">
        <v>9</v>
      </c>
    </row>
    <row r="313" spans="1:30" ht="6.65" customHeight="1" x14ac:dyDescent="0.4">
      <c r="A313" s="21">
        <v>313</v>
      </c>
      <c r="B313" s="1" t="s">
        <v>1524</v>
      </c>
      <c r="C313" s="1" t="s">
        <v>1525</v>
      </c>
      <c r="D313" s="1" t="s">
        <v>1317</v>
      </c>
      <c r="E313" s="1" t="s">
        <v>1318</v>
      </c>
      <c r="F313" s="23" t="s">
        <v>1197</v>
      </c>
      <c r="G313" s="7" t="s">
        <v>9</v>
      </c>
      <c r="H313" s="83" t="s">
        <v>9</v>
      </c>
      <c r="I313" s="83" t="s">
        <v>9</v>
      </c>
      <c r="J313" s="7" t="s">
        <v>9</v>
      </c>
      <c r="K313" s="7" t="s">
        <v>9</v>
      </c>
      <c r="L313" s="24" t="str">
        <f t="shared" si="88"/>
        <v>Arquitetônicos</v>
      </c>
      <c r="M313" s="24" t="str">
        <f t="shared" si="89"/>
        <v>Elementos.de.Mobiliário</v>
      </c>
      <c r="N313" s="24" t="str">
        <f t="shared" si="90"/>
        <v>Mob Composto</v>
      </c>
      <c r="O313" s="24" t="str">
        <f t="shared" si="91"/>
        <v>Móvel Sistema Tampo</v>
      </c>
      <c r="P313" s="19" t="s">
        <v>1193</v>
      </c>
      <c r="Q313" s="19" t="s">
        <v>1194</v>
      </c>
      <c r="R313" s="19" t="s">
        <v>1906</v>
      </c>
      <c r="S313" s="43" t="s">
        <v>9</v>
      </c>
      <c r="T313" s="25" t="str">
        <f t="shared" si="92"/>
        <v>Arquitetônicos</v>
      </c>
      <c r="U313" s="25" t="str">
        <f t="shared" si="93"/>
        <v>Elementos de Mobiliário</v>
      </c>
      <c r="V313" s="25" t="str">
        <f t="shared" si="94"/>
        <v>Mob Composto</v>
      </c>
      <c r="W313" s="19" t="s">
        <v>74</v>
      </c>
      <c r="X313" s="57" t="str">
        <f t="shared" si="95"/>
        <v>Key-ARQ-313</v>
      </c>
      <c r="Y313" s="19" t="s">
        <v>1432</v>
      </c>
      <c r="Z313" s="25" t="s">
        <v>9</v>
      </c>
      <c r="AA313" s="25" t="s">
        <v>1377</v>
      </c>
      <c r="AB313" s="25" t="s">
        <v>9</v>
      </c>
      <c r="AC313" s="25" t="s">
        <v>1564</v>
      </c>
      <c r="AD313" s="25" t="s">
        <v>9</v>
      </c>
    </row>
    <row r="314" spans="1:30" ht="6.65" customHeight="1" x14ac:dyDescent="0.4">
      <c r="A314" s="21">
        <v>314</v>
      </c>
      <c r="B314" s="1" t="s">
        <v>1524</v>
      </c>
      <c r="C314" s="1" t="s">
        <v>1525</v>
      </c>
      <c r="D314" s="1" t="s">
        <v>1317</v>
      </c>
      <c r="E314" s="1" t="s">
        <v>1173</v>
      </c>
      <c r="F314" s="23" t="s">
        <v>867</v>
      </c>
      <c r="G314" s="7" t="s">
        <v>9</v>
      </c>
      <c r="H314" s="83" t="s">
        <v>9</v>
      </c>
      <c r="I314" s="83" t="s">
        <v>9</v>
      </c>
      <c r="J314" s="7" t="s">
        <v>9</v>
      </c>
      <c r="K314" s="7" t="s">
        <v>9</v>
      </c>
      <c r="L314" s="24" t="str">
        <f t="shared" si="88"/>
        <v>Arquitetônicos</v>
      </c>
      <c r="M314" s="24" t="str">
        <f t="shared" si="89"/>
        <v>Elementos.de.Mobiliário</v>
      </c>
      <c r="N314" s="24" t="str">
        <f t="shared" si="90"/>
        <v>Mob Residenciais</v>
      </c>
      <c r="O314" s="24" t="str">
        <f t="shared" si="91"/>
        <v>Móvel</v>
      </c>
      <c r="P314" s="19" t="s">
        <v>861</v>
      </c>
      <c r="Q314" s="19" t="s">
        <v>862</v>
      </c>
      <c r="R314" s="19" t="s">
        <v>1902</v>
      </c>
      <c r="S314" s="43" t="s">
        <v>9</v>
      </c>
      <c r="T314" s="25" t="str">
        <f t="shared" si="92"/>
        <v>Arquitetônicos</v>
      </c>
      <c r="U314" s="25" t="str">
        <f t="shared" si="93"/>
        <v>Elementos de Mobiliário</v>
      </c>
      <c r="V314" s="25" t="str">
        <f t="shared" si="94"/>
        <v>Mob Residenciais</v>
      </c>
      <c r="W314" s="19" t="s">
        <v>74</v>
      </c>
      <c r="X314" s="57" t="str">
        <f t="shared" si="95"/>
        <v>Key-ARQ-314</v>
      </c>
      <c r="Y314" s="19" t="s">
        <v>1433</v>
      </c>
      <c r="Z314" s="25" t="s">
        <v>9</v>
      </c>
      <c r="AA314" s="25" t="s">
        <v>1378</v>
      </c>
      <c r="AB314" s="25" t="s">
        <v>9</v>
      </c>
      <c r="AC314" s="25" t="s">
        <v>1564</v>
      </c>
      <c r="AD314" s="25" t="s">
        <v>9</v>
      </c>
    </row>
    <row r="315" spans="1:30" ht="6.65" customHeight="1" x14ac:dyDescent="0.4">
      <c r="A315" s="21">
        <v>315</v>
      </c>
      <c r="B315" s="1" t="s">
        <v>1524</v>
      </c>
      <c r="C315" s="1" t="s">
        <v>1525</v>
      </c>
      <c r="D315" s="1" t="s">
        <v>1317</v>
      </c>
      <c r="E315" s="1" t="s">
        <v>1173</v>
      </c>
      <c r="F315" s="23" t="s">
        <v>1158</v>
      </c>
      <c r="G315" s="7" t="s">
        <v>9</v>
      </c>
      <c r="H315" s="83" t="s">
        <v>9</v>
      </c>
      <c r="I315" s="83" t="s">
        <v>9</v>
      </c>
      <c r="J315" s="7" t="s">
        <v>9</v>
      </c>
      <c r="K315" s="7" t="s">
        <v>9</v>
      </c>
      <c r="L315" s="24" t="str">
        <f t="shared" si="88"/>
        <v>Arquitetônicos</v>
      </c>
      <c r="M315" s="24" t="str">
        <f t="shared" si="89"/>
        <v>Elementos.de.Mobiliário</v>
      </c>
      <c r="N315" s="24" t="str">
        <f t="shared" si="90"/>
        <v>Mob Residenciais</v>
      </c>
      <c r="O315" s="24" t="str">
        <f t="shared" si="91"/>
        <v>Cama Solteirx</v>
      </c>
      <c r="P315" s="19" t="s">
        <v>989</v>
      </c>
      <c r="Q315" s="19" t="s">
        <v>993</v>
      </c>
      <c r="R315" s="19" t="s">
        <v>1907</v>
      </c>
      <c r="S315" s="43" t="s">
        <v>9</v>
      </c>
      <c r="T315" s="25" t="str">
        <f t="shared" si="92"/>
        <v>Arquitetônicos</v>
      </c>
      <c r="U315" s="25" t="str">
        <f t="shared" si="93"/>
        <v>Elementos de Mobiliário</v>
      </c>
      <c r="V315" s="25" t="str">
        <f t="shared" si="94"/>
        <v>Mob Residenciais</v>
      </c>
      <c r="W315" s="19" t="s">
        <v>74</v>
      </c>
      <c r="X315" s="57" t="str">
        <f t="shared" si="95"/>
        <v>Key-ARQ-315</v>
      </c>
      <c r="Y315" s="19" t="s">
        <v>1433</v>
      </c>
      <c r="Z315" s="25" t="s">
        <v>9</v>
      </c>
      <c r="AA315" s="25" t="s">
        <v>1379</v>
      </c>
      <c r="AB315" s="25" t="s">
        <v>9</v>
      </c>
      <c r="AC315" s="25" t="s">
        <v>1564</v>
      </c>
      <c r="AD315" s="25" t="s">
        <v>9</v>
      </c>
    </row>
    <row r="316" spans="1:30" ht="6.65" customHeight="1" x14ac:dyDescent="0.4">
      <c r="A316" s="21">
        <v>316</v>
      </c>
      <c r="B316" s="1" t="s">
        <v>1524</v>
      </c>
      <c r="C316" s="1" t="s">
        <v>1525</v>
      </c>
      <c r="D316" s="1" t="s">
        <v>1317</v>
      </c>
      <c r="E316" s="1" t="s">
        <v>1173</v>
      </c>
      <c r="F316" s="23" t="s">
        <v>1159</v>
      </c>
      <c r="G316" s="7" t="s">
        <v>9</v>
      </c>
      <c r="H316" s="83" t="s">
        <v>9</v>
      </c>
      <c r="I316" s="83" t="s">
        <v>9</v>
      </c>
      <c r="J316" s="7" t="s">
        <v>9</v>
      </c>
      <c r="K316" s="7" t="s">
        <v>9</v>
      </c>
      <c r="L316" s="24" t="str">
        <f t="shared" si="88"/>
        <v>Arquitetônicos</v>
      </c>
      <c r="M316" s="24" t="str">
        <f t="shared" si="89"/>
        <v>Elementos.de.Mobiliário</v>
      </c>
      <c r="N316" s="24" t="str">
        <f t="shared" si="90"/>
        <v>Mob Residenciais</v>
      </c>
      <c r="O316" s="24" t="str">
        <f t="shared" si="91"/>
        <v>Cama Viuvx</v>
      </c>
      <c r="P316" s="19" t="s">
        <v>988</v>
      </c>
      <c r="Q316" s="19" t="s">
        <v>994</v>
      </c>
      <c r="R316" s="19" t="s">
        <v>1908</v>
      </c>
      <c r="S316" s="43" t="s">
        <v>9</v>
      </c>
      <c r="T316" s="25" t="str">
        <f t="shared" si="92"/>
        <v>Arquitetônicos</v>
      </c>
      <c r="U316" s="25" t="str">
        <f t="shared" si="93"/>
        <v>Elementos de Mobiliário</v>
      </c>
      <c r="V316" s="25" t="str">
        <f t="shared" si="94"/>
        <v>Mob Residenciais</v>
      </c>
      <c r="W316" s="19" t="s">
        <v>74</v>
      </c>
      <c r="X316" s="57" t="str">
        <f t="shared" si="95"/>
        <v>Key-ARQ-316</v>
      </c>
      <c r="Y316" s="19" t="s">
        <v>1433</v>
      </c>
      <c r="Z316" s="25" t="s">
        <v>9</v>
      </c>
      <c r="AA316" s="25" t="s">
        <v>1379</v>
      </c>
      <c r="AB316" s="25" t="s">
        <v>9</v>
      </c>
      <c r="AC316" s="25" t="s">
        <v>1564</v>
      </c>
      <c r="AD316" s="25" t="s">
        <v>9</v>
      </c>
    </row>
    <row r="317" spans="1:30" ht="6.65" customHeight="1" x14ac:dyDescent="0.4">
      <c r="A317" s="21">
        <v>317</v>
      </c>
      <c r="B317" s="1" t="s">
        <v>1524</v>
      </c>
      <c r="C317" s="1" t="s">
        <v>1525</v>
      </c>
      <c r="D317" s="1" t="s">
        <v>1317</v>
      </c>
      <c r="E317" s="1" t="s">
        <v>1173</v>
      </c>
      <c r="F317" s="23" t="s">
        <v>985</v>
      </c>
      <c r="G317" s="7" t="s">
        <v>9</v>
      </c>
      <c r="H317" s="83" t="s">
        <v>9</v>
      </c>
      <c r="I317" s="83" t="s">
        <v>9</v>
      </c>
      <c r="J317" s="7" t="s">
        <v>9</v>
      </c>
      <c r="K317" s="7" t="s">
        <v>9</v>
      </c>
      <c r="L317" s="24" t="str">
        <f t="shared" si="88"/>
        <v>Arquitetônicos</v>
      </c>
      <c r="M317" s="24" t="str">
        <f t="shared" si="89"/>
        <v>Elementos.de.Mobiliário</v>
      </c>
      <c r="N317" s="24" t="str">
        <f t="shared" si="90"/>
        <v>Mob Residenciais</v>
      </c>
      <c r="O317" s="24" t="str">
        <f t="shared" si="91"/>
        <v>Cama Casal</v>
      </c>
      <c r="P317" s="19" t="s">
        <v>990</v>
      </c>
      <c r="Q317" s="19" t="s">
        <v>997</v>
      </c>
      <c r="R317" s="19" t="s">
        <v>1909</v>
      </c>
      <c r="S317" s="43" t="s">
        <v>9</v>
      </c>
      <c r="T317" s="25" t="str">
        <f t="shared" si="92"/>
        <v>Arquitetônicos</v>
      </c>
      <c r="U317" s="25" t="str">
        <f t="shared" si="93"/>
        <v>Elementos de Mobiliário</v>
      </c>
      <c r="V317" s="25" t="str">
        <f t="shared" si="94"/>
        <v>Mob Residenciais</v>
      </c>
      <c r="W317" s="19" t="s">
        <v>74</v>
      </c>
      <c r="X317" s="57" t="str">
        <f t="shared" si="95"/>
        <v>Key-ARQ-317</v>
      </c>
      <c r="Y317" s="19" t="s">
        <v>1433</v>
      </c>
      <c r="Z317" s="25" t="s">
        <v>9</v>
      </c>
      <c r="AA317" s="25" t="s">
        <v>1379</v>
      </c>
      <c r="AB317" s="25" t="s">
        <v>9</v>
      </c>
      <c r="AC317" s="25" t="s">
        <v>1564</v>
      </c>
      <c r="AD317" s="25" t="s">
        <v>9</v>
      </c>
    </row>
    <row r="318" spans="1:30" ht="6.65" customHeight="1" x14ac:dyDescent="0.4">
      <c r="A318" s="21">
        <v>318</v>
      </c>
      <c r="B318" s="1" t="s">
        <v>1524</v>
      </c>
      <c r="C318" s="1" t="s">
        <v>1525</v>
      </c>
      <c r="D318" s="1" t="s">
        <v>1317</v>
      </c>
      <c r="E318" s="1" t="s">
        <v>1173</v>
      </c>
      <c r="F318" s="23" t="s">
        <v>986</v>
      </c>
      <c r="G318" s="7" t="s">
        <v>9</v>
      </c>
      <c r="H318" s="83" t="s">
        <v>9</v>
      </c>
      <c r="I318" s="83" t="s">
        <v>9</v>
      </c>
      <c r="J318" s="7" t="s">
        <v>9</v>
      </c>
      <c r="K318" s="7" t="s">
        <v>9</v>
      </c>
      <c r="L318" s="24" t="str">
        <f t="shared" si="88"/>
        <v>Arquitetônicos</v>
      </c>
      <c r="M318" s="24" t="str">
        <f t="shared" si="89"/>
        <v>Elementos.de.Mobiliário</v>
      </c>
      <c r="N318" s="24" t="str">
        <f t="shared" si="90"/>
        <v>Mob Residenciais</v>
      </c>
      <c r="O318" s="24" t="str">
        <f t="shared" si="91"/>
        <v>Cama Queen</v>
      </c>
      <c r="P318" s="19" t="s">
        <v>991</v>
      </c>
      <c r="Q318" s="19" t="s">
        <v>996</v>
      </c>
      <c r="R318" s="19" t="s">
        <v>1910</v>
      </c>
      <c r="S318" s="43" t="s">
        <v>9</v>
      </c>
      <c r="T318" s="25" t="str">
        <f t="shared" si="92"/>
        <v>Arquitetônicos</v>
      </c>
      <c r="U318" s="25" t="str">
        <f t="shared" si="93"/>
        <v>Elementos de Mobiliário</v>
      </c>
      <c r="V318" s="25" t="str">
        <f t="shared" si="94"/>
        <v>Mob Residenciais</v>
      </c>
      <c r="W318" s="19" t="s">
        <v>74</v>
      </c>
      <c r="X318" s="57" t="str">
        <f t="shared" si="95"/>
        <v>Key-ARQ-318</v>
      </c>
      <c r="Y318" s="19" t="s">
        <v>1433</v>
      </c>
      <c r="Z318" s="25" t="s">
        <v>9</v>
      </c>
      <c r="AA318" s="25" t="s">
        <v>1379</v>
      </c>
      <c r="AB318" s="25" t="s">
        <v>9</v>
      </c>
      <c r="AC318" s="25" t="s">
        <v>1564</v>
      </c>
      <c r="AD318" s="25" t="s">
        <v>9</v>
      </c>
    </row>
    <row r="319" spans="1:30" ht="6.65" customHeight="1" x14ac:dyDescent="0.4">
      <c r="A319" s="21">
        <v>319</v>
      </c>
      <c r="B319" s="1" t="s">
        <v>1524</v>
      </c>
      <c r="C319" s="1" t="s">
        <v>1525</v>
      </c>
      <c r="D319" s="1" t="s">
        <v>1317</v>
      </c>
      <c r="E319" s="1" t="s">
        <v>1173</v>
      </c>
      <c r="F319" s="23" t="s">
        <v>987</v>
      </c>
      <c r="G319" s="7" t="s">
        <v>9</v>
      </c>
      <c r="H319" s="83" t="s">
        <v>9</v>
      </c>
      <c r="I319" s="83" t="s">
        <v>9</v>
      </c>
      <c r="J319" s="7" t="s">
        <v>9</v>
      </c>
      <c r="K319" s="7" t="s">
        <v>9</v>
      </c>
      <c r="L319" s="24" t="str">
        <f t="shared" si="88"/>
        <v>Arquitetônicos</v>
      </c>
      <c r="M319" s="24" t="str">
        <f t="shared" si="89"/>
        <v>Elementos.de.Mobiliário</v>
      </c>
      <c r="N319" s="24" t="str">
        <f t="shared" si="90"/>
        <v>Mob Residenciais</v>
      </c>
      <c r="O319" s="24" t="str">
        <f t="shared" si="91"/>
        <v>Cama King</v>
      </c>
      <c r="P319" s="19" t="s">
        <v>992</v>
      </c>
      <c r="Q319" s="19" t="s">
        <v>995</v>
      </c>
      <c r="R319" s="19" t="s">
        <v>1911</v>
      </c>
      <c r="S319" s="43" t="s">
        <v>9</v>
      </c>
      <c r="T319" s="25" t="str">
        <f t="shared" si="92"/>
        <v>Arquitetônicos</v>
      </c>
      <c r="U319" s="25" t="str">
        <f t="shared" si="93"/>
        <v>Elementos de Mobiliário</v>
      </c>
      <c r="V319" s="25" t="str">
        <f t="shared" si="94"/>
        <v>Mob Residenciais</v>
      </c>
      <c r="W319" s="19" t="s">
        <v>74</v>
      </c>
      <c r="X319" s="57" t="str">
        <f t="shared" si="95"/>
        <v>Key-ARQ-319</v>
      </c>
      <c r="Y319" s="19" t="s">
        <v>1433</v>
      </c>
      <c r="Z319" s="25" t="s">
        <v>9</v>
      </c>
      <c r="AA319" s="25" t="s">
        <v>1379</v>
      </c>
      <c r="AB319" s="25" t="s">
        <v>9</v>
      </c>
      <c r="AC319" s="25" t="s">
        <v>1564</v>
      </c>
      <c r="AD319" s="25" t="s">
        <v>9</v>
      </c>
    </row>
    <row r="320" spans="1:30" ht="6.65" customHeight="1" x14ac:dyDescent="0.4">
      <c r="A320" s="21">
        <v>320</v>
      </c>
      <c r="B320" s="1" t="s">
        <v>1524</v>
      </c>
      <c r="C320" s="1" t="s">
        <v>1525</v>
      </c>
      <c r="D320" s="1" t="s">
        <v>1317</v>
      </c>
      <c r="E320" s="1" t="s">
        <v>1173</v>
      </c>
      <c r="F320" s="23" t="s">
        <v>868</v>
      </c>
      <c r="G320" s="7" t="s">
        <v>9</v>
      </c>
      <c r="H320" s="83" t="s">
        <v>9</v>
      </c>
      <c r="I320" s="83" t="s">
        <v>9</v>
      </c>
      <c r="J320" s="7" t="s">
        <v>9</v>
      </c>
      <c r="K320" s="7" t="s">
        <v>9</v>
      </c>
      <c r="L320" s="24" t="str">
        <f t="shared" si="88"/>
        <v>Arquitetônicos</v>
      </c>
      <c r="M320" s="24" t="str">
        <f t="shared" si="89"/>
        <v>Elementos.de.Mobiliário</v>
      </c>
      <c r="N320" s="24" t="str">
        <f t="shared" si="90"/>
        <v>Mob Residenciais</v>
      </c>
      <c r="O320" s="24" t="str">
        <f t="shared" si="91"/>
        <v>Cadeira</v>
      </c>
      <c r="P320" s="19" t="s">
        <v>863</v>
      </c>
      <c r="Q320" s="19" t="str">
        <f t="shared" ref="Q320:Q332" si="96">_xlfn.TRANSLATE(P320,"pt","es")</f>
        <v>Muebles para sentar a una sola persona.</v>
      </c>
      <c r="R320" s="19" t="s">
        <v>1912</v>
      </c>
      <c r="S320" s="43" t="s">
        <v>9</v>
      </c>
      <c r="T320" s="25" t="str">
        <f t="shared" si="92"/>
        <v>Arquitetônicos</v>
      </c>
      <c r="U320" s="25" t="str">
        <f t="shared" si="93"/>
        <v>Elementos de Mobiliário</v>
      </c>
      <c r="V320" s="25" t="str">
        <f t="shared" si="94"/>
        <v>Mob Residenciais</v>
      </c>
      <c r="W320" s="19" t="s">
        <v>74</v>
      </c>
      <c r="X320" s="57" t="str">
        <f t="shared" si="95"/>
        <v>Key-ARQ-320</v>
      </c>
      <c r="Y320" s="19" t="s">
        <v>1433</v>
      </c>
      <c r="Z320" s="25" t="s">
        <v>9</v>
      </c>
      <c r="AA320" s="25" t="s">
        <v>1380</v>
      </c>
      <c r="AB320" s="25" t="s">
        <v>9</v>
      </c>
      <c r="AC320" s="25" t="s">
        <v>1564</v>
      </c>
      <c r="AD320" s="25" t="s">
        <v>9</v>
      </c>
    </row>
    <row r="321" spans="1:30" ht="6.65" customHeight="1" x14ac:dyDescent="0.4">
      <c r="A321" s="21">
        <v>321</v>
      </c>
      <c r="B321" s="1" t="s">
        <v>1524</v>
      </c>
      <c r="C321" s="1" t="s">
        <v>1525</v>
      </c>
      <c r="D321" s="1" t="s">
        <v>1317</v>
      </c>
      <c r="E321" s="1" t="s">
        <v>1173</v>
      </c>
      <c r="F321" s="23" t="s">
        <v>869</v>
      </c>
      <c r="G321" s="7" t="s">
        <v>9</v>
      </c>
      <c r="H321" s="83" t="s">
        <v>9</v>
      </c>
      <c r="I321" s="83" t="s">
        <v>9</v>
      </c>
      <c r="J321" s="7" t="s">
        <v>9</v>
      </c>
      <c r="K321" s="7" t="s">
        <v>9</v>
      </c>
      <c r="L321" s="24" t="str">
        <f t="shared" si="88"/>
        <v>Arquitetônicos</v>
      </c>
      <c r="M321" s="24" t="str">
        <f t="shared" si="89"/>
        <v>Elementos.de.Mobiliário</v>
      </c>
      <c r="N321" s="24" t="str">
        <f t="shared" si="90"/>
        <v>Mob Residenciais</v>
      </c>
      <c r="O321" s="24" t="str">
        <f t="shared" si="91"/>
        <v>Escribania</v>
      </c>
      <c r="P321" s="19" t="s">
        <v>864</v>
      </c>
      <c r="Q321" s="19" t="str">
        <f t="shared" si="96"/>
        <v>Muebles con encimera y cajones opcionales para una sola persona.</v>
      </c>
      <c r="R321" s="19" t="s">
        <v>1649</v>
      </c>
      <c r="S321" s="43" t="s">
        <v>9</v>
      </c>
      <c r="T321" s="25" t="str">
        <f t="shared" si="92"/>
        <v>Arquitetônicos</v>
      </c>
      <c r="U321" s="25" t="str">
        <f t="shared" si="93"/>
        <v>Elementos de Mobiliário</v>
      </c>
      <c r="V321" s="25" t="str">
        <f t="shared" si="94"/>
        <v>Mob Residenciais</v>
      </c>
      <c r="W321" s="19" t="s">
        <v>74</v>
      </c>
      <c r="X321" s="57" t="str">
        <f t="shared" si="95"/>
        <v>Key-ARQ-321</v>
      </c>
      <c r="Y321" s="19" t="s">
        <v>1433</v>
      </c>
      <c r="Z321" s="25" t="s">
        <v>9</v>
      </c>
      <c r="AA321" s="25" t="s">
        <v>1381</v>
      </c>
      <c r="AB321" s="25" t="s">
        <v>9</v>
      </c>
      <c r="AC321" s="25" t="s">
        <v>1564</v>
      </c>
      <c r="AD321" s="25" t="s">
        <v>9</v>
      </c>
    </row>
    <row r="322" spans="1:30" ht="6.65" customHeight="1" x14ac:dyDescent="0.4">
      <c r="A322" s="21">
        <v>322</v>
      </c>
      <c r="B322" s="1" t="s">
        <v>1524</v>
      </c>
      <c r="C322" s="1" t="s">
        <v>1525</v>
      </c>
      <c r="D322" s="1" t="s">
        <v>1317</v>
      </c>
      <c r="E322" s="1" t="s">
        <v>1173</v>
      </c>
      <c r="F322" s="23" t="s">
        <v>981</v>
      </c>
      <c r="G322" s="7" t="s">
        <v>9</v>
      </c>
      <c r="H322" s="83" t="s">
        <v>9</v>
      </c>
      <c r="I322" s="83" t="s">
        <v>9</v>
      </c>
      <c r="J322" s="7" t="s">
        <v>9</v>
      </c>
      <c r="K322" s="7" t="s">
        <v>9</v>
      </c>
      <c r="L322" s="24" t="str">
        <f t="shared" si="88"/>
        <v>Arquitetônicos</v>
      </c>
      <c r="M322" s="24" t="str">
        <f t="shared" si="89"/>
        <v>Elementos.de.Mobiliário</v>
      </c>
      <c r="N322" s="24" t="str">
        <f t="shared" si="90"/>
        <v>Mob Residenciais</v>
      </c>
      <c r="O322" s="24" t="str">
        <f t="shared" si="91"/>
        <v>Poltrona</v>
      </c>
      <c r="P322" s="19" t="s">
        <v>982</v>
      </c>
      <c r="Q322" s="19" t="str">
        <f t="shared" si="96"/>
        <v>Muebles para que una persona se siente cómodamente.</v>
      </c>
      <c r="R322" s="19" t="s">
        <v>1913</v>
      </c>
      <c r="S322" s="43" t="s">
        <v>9</v>
      </c>
      <c r="T322" s="25" t="str">
        <f t="shared" si="92"/>
        <v>Arquitetônicos</v>
      </c>
      <c r="U322" s="25" t="str">
        <f t="shared" si="93"/>
        <v>Elementos de Mobiliário</v>
      </c>
      <c r="V322" s="25" t="str">
        <f t="shared" si="94"/>
        <v>Mob Residenciais</v>
      </c>
      <c r="W322" s="19" t="s">
        <v>74</v>
      </c>
      <c r="X322" s="57" t="str">
        <f t="shared" si="95"/>
        <v>Key-ARQ-322</v>
      </c>
      <c r="Y322" s="19" t="s">
        <v>1433</v>
      </c>
      <c r="Z322" s="25" t="s">
        <v>9</v>
      </c>
      <c r="AA322" s="25" t="s">
        <v>1382</v>
      </c>
      <c r="AB322" s="25" t="s">
        <v>9</v>
      </c>
      <c r="AC322" s="25" t="s">
        <v>1564</v>
      </c>
      <c r="AD322" s="25" t="s">
        <v>9</v>
      </c>
    </row>
    <row r="323" spans="1:30" ht="6.65" customHeight="1" x14ac:dyDescent="0.4">
      <c r="A323" s="21">
        <v>323</v>
      </c>
      <c r="B323" s="1" t="s">
        <v>1524</v>
      </c>
      <c r="C323" s="1" t="s">
        <v>1525</v>
      </c>
      <c r="D323" s="1" t="s">
        <v>1317</v>
      </c>
      <c r="E323" s="1" t="s">
        <v>1173</v>
      </c>
      <c r="F323" s="23" t="s">
        <v>979</v>
      </c>
      <c r="G323" s="7" t="s">
        <v>9</v>
      </c>
      <c r="H323" s="83" t="s">
        <v>9</v>
      </c>
      <c r="I323" s="83" t="s">
        <v>9</v>
      </c>
      <c r="J323" s="7" t="s">
        <v>9</v>
      </c>
      <c r="K323" s="7" t="s">
        <v>9</v>
      </c>
      <c r="L323" s="24" t="str">
        <f t="shared" ref="L323:L353" si="97">CONCATENATE("", C323)</f>
        <v>Arquitetônicos</v>
      </c>
      <c r="M323" s="24" t="str">
        <f t="shared" ref="M323:M353" si="98">CONCATENATE("", D323)</f>
        <v>Elementos.de.Mobiliário</v>
      </c>
      <c r="N323" s="24" t="str">
        <f t="shared" ref="N323:N353" si="99">(SUBSTITUTE(SUBSTITUTE(CONCATENATE("",E323),"."," ")," De "," de "))</f>
        <v>Mob Residenciais</v>
      </c>
      <c r="O323" s="24" t="str">
        <f t="shared" ref="O323:O353" si="100">(SUBSTITUTE(SUBSTITUTE(CONCATENATE("",F323),"."," ")," De "," de "))</f>
        <v>Sofá 2 Lugares</v>
      </c>
      <c r="P323" s="19" t="s">
        <v>983</v>
      </c>
      <c r="Q323" s="19" t="str">
        <f t="shared" si="96"/>
        <v>Muebles para que dos personas se sienten cómodamente.</v>
      </c>
      <c r="R323" s="19" t="s">
        <v>1914</v>
      </c>
      <c r="S323" s="43" t="s">
        <v>9</v>
      </c>
      <c r="T323" s="25" t="str">
        <f t="shared" ref="T323:T353" si="101">SUBSTITUTE(C323, ".", " ")</f>
        <v>Arquitetônicos</v>
      </c>
      <c r="U323" s="25" t="str">
        <f t="shared" ref="U323:U353" si="102">SUBSTITUTE(D323, ".", " ")</f>
        <v>Elementos de Mobiliário</v>
      </c>
      <c r="V323" s="25" t="str">
        <f t="shared" ref="V323:V353" si="103">SUBSTITUTE(E323, ".", " ")</f>
        <v>Mob Residenciais</v>
      </c>
      <c r="W323" s="19" t="s">
        <v>74</v>
      </c>
      <c r="X323" s="57" t="str">
        <f t="shared" ref="X323:X358" si="104">CONCATENATE("Key-ARQ-",A323)</f>
        <v>Key-ARQ-323</v>
      </c>
      <c r="Y323" s="19" t="s">
        <v>1433</v>
      </c>
      <c r="Z323" s="25" t="s">
        <v>9</v>
      </c>
      <c r="AA323" s="25" t="s">
        <v>1382</v>
      </c>
      <c r="AB323" s="25" t="s">
        <v>9</v>
      </c>
      <c r="AC323" s="25" t="s">
        <v>1564</v>
      </c>
      <c r="AD323" s="25" t="s">
        <v>9</v>
      </c>
    </row>
    <row r="324" spans="1:30" ht="6.65" customHeight="1" x14ac:dyDescent="0.4">
      <c r="A324" s="21">
        <v>324</v>
      </c>
      <c r="B324" s="1" t="s">
        <v>1524</v>
      </c>
      <c r="C324" s="1" t="s">
        <v>1525</v>
      </c>
      <c r="D324" s="1" t="s">
        <v>1317</v>
      </c>
      <c r="E324" s="1" t="s">
        <v>1173</v>
      </c>
      <c r="F324" s="23" t="s">
        <v>980</v>
      </c>
      <c r="G324" s="7" t="s">
        <v>9</v>
      </c>
      <c r="H324" s="83" t="s">
        <v>9</v>
      </c>
      <c r="I324" s="83" t="s">
        <v>9</v>
      </c>
      <c r="J324" s="7" t="s">
        <v>9</v>
      </c>
      <c r="K324" s="7" t="s">
        <v>9</v>
      </c>
      <c r="L324" s="24" t="str">
        <f t="shared" si="97"/>
        <v>Arquitetônicos</v>
      </c>
      <c r="M324" s="24" t="str">
        <f t="shared" si="98"/>
        <v>Elementos.de.Mobiliário</v>
      </c>
      <c r="N324" s="24" t="str">
        <f t="shared" si="99"/>
        <v>Mob Residenciais</v>
      </c>
      <c r="O324" s="24" t="str">
        <f t="shared" si="100"/>
        <v>Sofá 3 Lugares</v>
      </c>
      <c r="P324" s="19" t="s">
        <v>984</v>
      </c>
      <c r="Q324" s="19" t="str">
        <f t="shared" si="96"/>
        <v>Muebles para que tres personas se sienten cómodamente.</v>
      </c>
      <c r="R324" s="19" t="s">
        <v>1915</v>
      </c>
      <c r="S324" s="43" t="s">
        <v>9</v>
      </c>
      <c r="T324" s="25" t="str">
        <f t="shared" si="101"/>
        <v>Arquitetônicos</v>
      </c>
      <c r="U324" s="25" t="str">
        <f t="shared" si="102"/>
        <v>Elementos de Mobiliário</v>
      </c>
      <c r="V324" s="25" t="str">
        <f t="shared" si="103"/>
        <v>Mob Residenciais</v>
      </c>
      <c r="W324" s="19" t="s">
        <v>74</v>
      </c>
      <c r="X324" s="57" t="str">
        <f t="shared" si="104"/>
        <v>Key-ARQ-324</v>
      </c>
      <c r="Y324" s="19" t="s">
        <v>1433</v>
      </c>
      <c r="Z324" s="25" t="s">
        <v>9</v>
      </c>
      <c r="AA324" s="25" t="s">
        <v>1382</v>
      </c>
      <c r="AB324" s="25" t="s">
        <v>9</v>
      </c>
      <c r="AC324" s="25" t="s">
        <v>1564</v>
      </c>
      <c r="AD324" s="25" t="s">
        <v>9</v>
      </c>
    </row>
    <row r="325" spans="1:30" ht="6.65" customHeight="1" x14ac:dyDescent="0.4">
      <c r="A325" s="21">
        <v>325</v>
      </c>
      <c r="B325" s="1" t="s">
        <v>1524</v>
      </c>
      <c r="C325" s="1" t="s">
        <v>1525</v>
      </c>
      <c r="D325" s="1" t="s">
        <v>1317</v>
      </c>
      <c r="E325" s="1" t="s">
        <v>1173</v>
      </c>
      <c r="F325" s="23" t="s">
        <v>871</v>
      </c>
      <c r="G325" s="7" t="s">
        <v>9</v>
      </c>
      <c r="H325" s="83" t="s">
        <v>9</v>
      </c>
      <c r="I325" s="83" t="s">
        <v>9</v>
      </c>
      <c r="J325" s="7" t="s">
        <v>9</v>
      </c>
      <c r="K325" s="7" t="s">
        <v>9</v>
      </c>
      <c r="L325" s="24" t="str">
        <f t="shared" si="97"/>
        <v>Arquitetônicos</v>
      </c>
      <c r="M325" s="24" t="str">
        <f t="shared" si="98"/>
        <v>Elementos.de.Mobiliário</v>
      </c>
      <c r="N325" s="24" t="str">
        <f t="shared" si="99"/>
        <v>Mob Residenciais</v>
      </c>
      <c r="O325" s="24" t="str">
        <f t="shared" si="100"/>
        <v>Mesa</v>
      </c>
      <c r="P325" s="19" t="s">
        <v>866</v>
      </c>
      <c r="Q325" s="19" t="str">
        <f t="shared" si="96"/>
        <v>Muebles con encimera para varias personas.</v>
      </c>
      <c r="R325" s="19" t="s">
        <v>1916</v>
      </c>
      <c r="S325" s="43" t="s">
        <v>9</v>
      </c>
      <c r="T325" s="25" t="str">
        <f t="shared" si="101"/>
        <v>Arquitetônicos</v>
      </c>
      <c r="U325" s="25" t="str">
        <f t="shared" si="102"/>
        <v>Elementos de Mobiliário</v>
      </c>
      <c r="V325" s="25" t="str">
        <f t="shared" si="103"/>
        <v>Mob Residenciais</v>
      </c>
      <c r="W325" s="19" t="s">
        <v>74</v>
      </c>
      <c r="X325" s="57" t="str">
        <f t="shared" si="104"/>
        <v>Key-ARQ-325</v>
      </c>
      <c r="Y325" s="19" t="s">
        <v>1433</v>
      </c>
      <c r="Z325" s="25" t="s">
        <v>9</v>
      </c>
      <c r="AA325" s="25" t="s">
        <v>1383</v>
      </c>
      <c r="AB325" s="25" t="s">
        <v>9</v>
      </c>
      <c r="AC325" s="25" t="s">
        <v>1564</v>
      </c>
      <c r="AD325" s="25" t="s">
        <v>9</v>
      </c>
    </row>
    <row r="326" spans="1:30" ht="6.65" customHeight="1" x14ac:dyDescent="0.4">
      <c r="A326" s="21">
        <v>326</v>
      </c>
      <c r="B326" s="1" t="s">
        <v>1524</v>
      </c>
      <c r="C326" s="1" t="s">
        <v>1525</v>
      </c>
      <c r="D326" s="1" t="s">
        <v>1317</v>
      </c>
      <c r="E326" s="1" t="s">
        <v>1173</v>
      </c>
      <c r="F326" s="23" t="s">
        <v>912</v>
      </c>
      <c r="G326" s="7" t="s">
        <v>9</v>
      </c>
      <c r="H326" s="83" t="s">
        <v>9</v>
      </c>
      <c r="I326" s="83" t="s">
        <v>9</v>
      </c>
      <c r="J326" s="7" t="s">
        <v>9</v>
      </c>
      <c r="K326" s="7" t="s">
        <v>9</v>
      </c>
      <c r="L326" s="24" t="str">
        <f t="shared" si="97"/>
        <v>Arquitetônicos</v>
      </c>
      <c r="M326" s="24" t="str">
        <f t="shared" si="98"/>
        <v>Elementos.de.Mobiliário</v>
      </c>
      <c r="N326" s="24" t="str">
        <f t="shared" si="99"/>
        <v>Mob Residenciais</v>
      </c>
      <c r="O326" s="24" t="str">
        <f t="shared" si="100"/>
        <v>Armário de Livros</v>
      </c>
      <c r="P326" s="19" t="s">
        <v>1293</v>
      </c>
      <c r="Q326" s="19" t="str">
        <f t="shared" si="96"/>
        <v>Armario abierto para guardar libros.</v>
      </c>
      <c r="R326" s="19" t="s">
        <v>1917</v>
      </c>
      <c r="S326" s="43" t="s">
        <v>9</v>
      </c>
      <c r="T326" s="25" t="str">
        <f t="shared" si="101"/>
        <v>Arquitetônicos</v>
      </c>
      <c r="U326" s="25" t="str">
        <f t="shared" si="102"/>
        <v>Elementos de Mobiliário</v>
      </c>
      <c r="V326" s="25" t="str">
        <f t="shared" si="103"/>
        <v>Mob Residenciais</v>
      </c>
      <c r="W326" s="19" t="s">
        <v>74</v>
      </c>
      <c r="X326" s="57" t="str">
        <f t="shared" si="104"/>
        <v>Key-ARQ-326</v>
      </c>
      <c r="Y326" s="19" t="s">
        <v>1523</v>
      </c>
      <c r="Z326" s="25" t="s">
        <v>9</v>
      </c>
      <c r="AA326" s="25" t="s">
        <v>1384</v>
      </c>
      <c r="AB326" s="25" t="s">
        <v>9</v>
      </c>
      <c r="AC326" s="25" t="s">
        <v>1564</v>
      </c>
      <c r="AD326" s="25" t="s">
        <v>9</v>
      </c>
    </row>
    <row r="327" spans="1:30" ht="6.65" customHeight="1" x14ac:dyDescent="0.4">
      <c r="A327" s="21">
        <v>327</v>
      </c>
      <c r="B327" s="1" t="s">
        <v>1524</v>
      </c>
      <c r="C327" s="1" t="s">
        <v>1525</v>
      </c>
      <c r="D327" s="1" t="s">
        <v>1317</v>
      </c>
      <c r="E327" s="1" t="s">
        <v>1173</v>
      </c>
      <c r="F327" s="23" t="s">
        <v>913</v>
      </c>
      <c r="G327" s="7" t="s">
        <v>9</v>
      </c>
      <c r="H327" s="83" t="s">
        <v>9</v>
      </c>
      <c r="I327" s="83" t="s">
        <v>9</v>
      </c>
      <c r="J327" s="7" t="s">
        <v>9</v>
      </c>
      <c r="K327" s="7" t="s">
        <v>9</v>
      </c>
      <c r="L327" s="24" t="str">
        <f t="shared" si="97"/>
        <v>Arquitetônicos</v>
      </c>
      <c r="M327" s="24" t="str">
        <f t="shared" si="98"/>
        <v>Elementos.de.Mobiliário</v>
      </c>
      <c r="N327" s="24" t="str">
        <f t="shared" si="99"/>
        <v>Mob Residenciais</v>
      </c>
      <c r="O327" s="24" t="str">
        <f t="shared" si="100"/>
        <v>Armário de Ferramentas</v>
      </c>
      <c r="P327" s="19" t="s">
        <v>1292</v>
      </c>
      <c r="Q327" s="19" t="str">
        <f t="shared" si="96"/>
        <v>El armario técnico es un mueble para contener, exhibir y proteger aparatos técnicos.</v>
      </c>
      <c r="R327" s="19" t="s">
        <v>1918</v>
      </c>
      <c r="S327" s="43" t="s">
        <v>9</v>
      </c>
      <c r="T327" s="25" t="str">
        <f t="shared" si="101"/>
        <v>Arquitetônicos</v>
      </c>
      <c r="U327" s="25" t="str">
        <f t="shared" si="102"/>
        <v>Elementos de Mobiliário</v>
      </c>
      <c r="V327" s="25" t="str">
        <f t="shared" si="103"/>
        <v>Mob Residenciais</v>
      </c>
      <c r="W327" s="19" t="s">
        <v>74</v>
      </c>
      <c r="X327" s="57" t="str">
        <f t="shared" si="104"/>
        <v>Key-ARQ-327</v>
      </c>
      <c r="Y327" s="19" t="s">
        <v>1523</v>
      </c>
      <c r="Z327" s="25" t="s">
        <v>9</v>
      </c>
      <c r="AA327" s="25" t="s">
        <v>1385</v>
      </c>
      <c r="AB327" s="25" t="s">
        <v>9</v>
      </c>
      <c r="AC327" s="25" t="s">
        <v>1564</v>
      </c>
      <c r="AD327" s="25" t="s">
        <v>9</v>
      </c>
    </row>
    <row r="328" spans="1:30" ht="6.65" customHeight="1" x14ac:dyDescent="0.4">
      <c r="A328" s="21">
        <v>328</v>
      </c>
      <c r="B328" s="1" t="s">
        <v>1524</v>
      </c>
      <c r="C328" s="1" t="s">
        <v>1525</v>
      </c>
      <c r="D328" s="1" t="s">
        <v>1317</v>
      </c>
      <c r="E328" s="1" t="s">
        <v>1173</v>
      </c>
      <c r="F328" s="23" t="s">
        <v>1288</v>
      </c>
      <c r="G328" s="7" t="s">
        <v>9</v>
      </c>
      <c r="H328" s="83" t="s">
        <v>9</v>
      </c>
      <c r="I328" s="83" t="s">
        <v>9</v>
      </c>
      <c r="J328" s="7" t="s">
        <v>9</v>
      </c>
      <c r="K328" s="7" t="s">
        <v>9</v>
      </c>
      <c r="L328" s="24" t="str">
        <f t="shared" si="97"/>
        <v>Arquitetônicos</v>
      </c>
      <c r="M328" s="24" t="str">
        <f t="shared" si="98"/>
        <v>Elementos.de.Mobiliário</v>
      </c>
      <c r="N328" s="24" t="str">
        <f t="shared" si="99"/>
        <v>Mob Residenciais</v>
      </c>
      <c r="O328" s="24" t="str">
        <f t="shared" si="100"/>
        <v>Armário de Roupas</v>
      </c>
      <c r="P328" s="19" t="s">
        <v>1291</v>
      </c>
      <c r="Q328" s="19" t="str">
        <f t="shared" si="96"/>
        <v>Armario con cajones correderos y espacios para colgar perchas.</v>
      </c>
      <c r="R328" s="19" t="s">
        <v>1919</v>
      </c>
      <c r="S328" s="43" t="s">
        <v>9</v>
      </c>
      <c r="T328" s="25" t="str">
        <f t="shared" si="101"/>
        <v>Arquitetônicos</v>
      </c>
      <c r="U328" s="25" t="str">
        <f t="shared" si="102"/>
        <v>Elementos de Mobiliário</v>
      </c>
      <c r="V328" s="25" t="str">
        <f t="shared" si="103"/>
        <v>Mob Residenciais</v>
      </c>
      <c r="W328" s="19" t="s">
        <v>74</v>
      </c>
      <c r="X328" s="57" t="str">
        <f t="shared" si="104"/>
        <v>Key-ARQ-328</v>
      </c>
      <c r="Y328" s="19" t="s">
        <v>1523</v>
      </c>
      <c r="Z328" s="25" t="s">
        <v>9</v>
      </c>
      <c r="AA328" s="25" t="s">
        <v>1384</v>
      </c>
      <c r="AB328" s="25" t="s">
        <v>9</v>
      </c>
      <c r="AC328" s="25" t="s">
        <v>1564</v>
      </c>
      <c r="AD328" s="25" t="s">
        <v>9</v>
      </c>
    </row>
    <row r="329" spans="1:30" ht="6.65" customHeight="1" x14ac:dyDescent="0.4">
      <c r="A329" s="21">
        <v>329</v>
      </c>
      <c r="B329" s="1" t="s">
        <v>1524</v>
      </c>
      <c r="C329" s="1" t="s">
        <v>1525</v>
      </c>
      <c r="D329" s="1" t="s">
        <v>1317</v>
      </c>
      <c r="E329" s="1" t="s">
        <v>1173</v>
      </c>
      <c r="F329" s="23" t="s">
        <v>1289</v>
      </c>
      <c r="G329" s="7" t="s">
        <v>9</v>
      </c>
      <c r="H329" s="83" t="s">
        <v>9</v>
      </c>
      <c r="I329" s="83" t="s">
        <v>9</v>
      </c>
      <c r="J329" s="7" t="s">
        <v>9</v>
      </c>
      <c r="K329" s="7" t="s">
        <v>9</v>
      </c>
      <c r="L329" s="24" t="str">
        <f t="shared" si="97"/>
        <v>Arquitetônicos</v>
      </c>
      <c r="M329" s="24" t="str">
        <f t="shared" si="98"/>
        <v>Elementos.de.Mobiliário</v>
      </c>
      <c r="N329" s="24" t="str">
        <f t="shared" si="99"/>
        <v>Mob Residenciais</v>
      </c>
      <c r="O329" s="24" t="str">
        <f t="shared" si="100"/>
        <v>Armário de Cozinha</v>
      </c>
      <c r="P329" s="19" t="s">
        <v>1290</v>
      </c>
      <c r="Q329" s="19" t="str">
        <f t="shared" si="96"/>
        <v>El armario para elementos de cocina puede ser de encimera alta o baja.</v>
      </c>
      <c r="R329" s="19" t="s">
        <v>1920</v>
      </c>
      <c r="S329" s="43" t="s">
        <v>9</v>
      </c>
      <c r="T329" s="25" t="str">
        <f t="shared" si="101"/>
        <v>Arquitetônicos</v>
      </c>
      <c r="U329" s="25" t="str">
        <f t="shared" si="102"/>
        <v>Elementos de Mobiliário</v>
      </c>
      <c r="V329" s="25" t="str">
        <f t="shared" si="103"/>
        <v>Mob Residenciais</v>
      </c>
      <c r="W329" s="19" t="s">
        <v>74</v>
      </c>
      <c r="X329" s="57" t="str">
        <f t="shared" si="104"/>
        <v>Key-ARQ-329</v>
      </c>
      <c r="Y329" s="19" t="s">
        <v>1523</v>
      </c>
      <c r="Z329" s="25" t="s">
        <v>9</v>
      </c>
      <c r="AA329" s="25" t="s">
        <v>1385</v>
      </c>
      <c r="AB329" s="25" t="s">
        <v>9</v>
      </c>
      <c r="AC329" s="25" t="s">
        <v>1564</v>
      </c>
      <c r="AD329" s="25" t="s">
        <v>9</v>
      </c>
    </row>
    <row r="330" spans="1:30" ht="6.65" customHeight="1" x14ac:dyDescent="0.4">
      <c r="A330" s="21">
        <v>330</v>
      </c>
      <c r="B330" s="1" t="s">
        <v>1524</v>
      </c>
      <c r="C330" s="1" t="s">
        <v>1525</v>
      </c>
      <c r="D330" s="1" t="s">
        <v>1317</v>
      </c>
      <c r="E330" s="1" t="s">
        <v>1173</v>
      </c>
      <c r="F330" s="23" t="s">
        <v>870</v>
      </c>
      <c r="G330" s="7" t="s">
        <v>9</v>
      </c>
      <c r="H330" s="83" t="s">
        <v>9</v>
      </c>
      <c r="I330" s="83" t="s">
        <v>9</v>
      </c>
      <c r="J330" s="7" t="s">
        <v>9</v>
      </c>
      <c r="K330" s="7" t="s">
        <v>9</v>
      </c>
      <c r="L330" s="24" t="str">
        <f t="shared" si="97"/>
        <v>Arquitetônicos</v>
      </c>
      <c r="M330" s="24" t="str">
        <f t="shared" si="98"/>
        <v>Elementos.de.Mobiliário</v>
      </c>
      <c r="N330" s="24" t="str">
        <f t="shared" si="99"/>
        <v>Mob Residenciais</v>
      </c>
      <c r="O330" s="24" t="str">
        <f t="shared" si="100"/>
        <v>Prateleira</v>
      </c>
      <c r="P330" s="19" t="s">
        <v>865</v>
      </c>
      <c r="Q330" s="19" t="str">
        <f t="shared" si="96"/>
        <v>Muebles para guardar libros u otros objetos.</v>
      </c>
      <c r="R330" s="19" t="s">
        <v>1921</v>
      </c>
      <c r="S330" s="43" t="s">
        <v>9</v>
      </c>
      <c r="T330" s="25" t="str">
        <f t="shared" si="101"/>
        <v>Arquitetônicos</v>
      </c>
      <c r="U330" s="25" t="str">
        <f t="shared" si="102"/>
        <v>Elementos de Mobiliário</v>
      </c>
      <c r="V330" s="25" t="str">
        <f t="shared" si="103"/>
        <v>Mob Residenciais</v>
      </c>
      <c r="W330" s="19" t="s">
        <v>74</v>
      </c>
      <c r="X330" s="57" t="str">
        <f t="shared" si="104"/>
        <v>Key-ARQ-330</v>
      </c>
      <c r="Y330" s="19" t="s">
        <v>1433</v>
      </c>
      <c r="Z330" s="25" t="s">
        <v>9</v>
      </c>
      <c r="AA330" s="25" t="s">
        <v>1386</v>
      </c>
      <c r="AB330" s="25" t="s">
        <v>9</v>
      </c>
      <c r="AC330" s="25" t="s">
        <v>1564</v>
      </c>
      <c r="AD330" s="25" t="s">
        <v>9</v>
      </c>
    </row>
    <row r="331" spans="1:30" ht="6.65" customHeight="1" x14ac:dyDescent="0.4">
      <c r="A331" s="21">
        <v>331</v>
      </c>
      <c r="B331" s="1" t="s">
        <v>1524</v>
      </c>
      <c r="C331" s="1" t="s">
        <v>1525</v>
      </c>
      <c r="D331" s="1" t="s">
        <v>1317</v>
      </c>
      <c r="E331" s="1" t="s">
        <v>1174</v>
      </c>
      <c r="F331" s="23" t="s">
        <v>1025</v>
      </c>
      <c r="G331" s="7" t="s">
        <v>9</v>
      </c>
      <c r="H331" s="83" t="s">
        <v>9</v>
      </c>
      <c r="I331" s="83" t="s">
        <v>9</v>
      </c>
      <c r="J331" s="7" t="s">
        <v>9</v>
      </c>
      <c r="K331" s="7" t="s">
        <v>9</v>
      </c>
      <c r="L331" s="24" t="str">
        <f t="shared" si="97"/>
        <v>Arquitetônicos</v>
      </c>
      <c r="M331" s="24" t="str">
        <f t="shared" si="98"/>
        <v>Elementos.de.Mobiliário</v>
      </c>
      <c r="N331" s="24" t="str">
        <f t="shared" si="99"/>
        <v>Mob Ensino</v>
      </c>
      <c r="O331" s="24" t="str">
        <f t="shared" si="100"/>
        <v>Cadeira Aula</v>
      </c>
      <c r="P331" s="19" t="s">
        <v>1033</v>
      </c>
      <c r="Q331" s="19" t="str">
        <f t="shared" si="96"/>
        <v>Silla para el aula.</v>
      </c>
      <c r="R331" s="19" t="s">
        <v>1922</v>
      </c>
      <c r="S331" s="43" t="s">
        <v>9</v>
      </c>
      <c r="T331" s="25" t="str">
        <f t="shared" si="101"/>
        <v>Arquitetônicos</v>
      </c>
      <c r="U331" s="25" t="str">
        <f t="shared" si="102"/>
        <v>Elementos de Mobiliário</v>
      </c>
      <c r="V331" s="25" t="str">
        <f t="shared" si="103"/>
        <v>Mob Ensino</v>
      </c>
      <c r="W331" s="19" t="s">
        <v>74</v>
      </c>
      <c r="X331" s="57" t="str">
        <f t="shared" si="104"/>
        <v>Key-ARQ-331</v>
      </c>
      <c r="Y331" s="19" t="s">
        <v>1433</v>
      </c>
      <c r="Z331" s="25" t="s">
        <v>9</v>
      </c>
      <c r="AA331" s="25" t="s">
        <v>1380</v>
      </c>
      <c r="AB331" s="25" t="s">
        <v>9</v>
      </c>
      <c r="AC331" s="25" t="s">
        <v>1564</v>
      </c>
      <c r="AD331" s="25" t="s">
        <v>9</v>
      </c>
    </row>
    <row r="332" spans="1:30" ht="6.65" customHeight="1" x14ac:dyDescent="0.4">
      <c r="A332" s="21">
        <v>332</v>
      </c>
      <c r="B332" s="1" t="s">
        <v>1524</v>
      </c>
      <c r="C332" s="1" t="s">
        <v>1525</v>
      </c>
      <c r="D332" s="1" t="s">
        <v>1317</v>
      </c>
      <c r="E332" s="1" t="s">
        <v>1174</v>
      </c>
      <c r="F332" s="23" t="s">
        <v>1022</v>
      </c>
      <c r="G332" s="7" t="s">
        <v>9</v>
      </c>
      <c r="H332" s="83" t="s">
        <v>9</v>
      </c>
      <c r="I332" s="83" t="s">
        <v>9</v>
      </c>
      <c r="J332" s="7" t="s">
        <v>9</v>
      </c>
      <c r="K332" s="7" t="s">
        <v>9</v>
      </c>
      <c r="L332" s="24" t="str">
        <f t="shared" si="97"/>
        <v>Arquitetônicos</v>
      </c>
      <c r="M332" s="24" t="str">
        <f t="shared" si="98"/>
        <v>Elementos.de.Mobiliário</v>
      </c>
      <c r="N332" s="24" t="str">
        <f t="shared" si="99"/>
        <v>Mob Ensino</v>
      </c>
      <c r="O332" s="24" t="str">
        <f t="shared" si="100"/>
        <v>Mesa Desenho</v>
      </c>
      <c r="P332" s="19" t="s">
        <v>1032</v>
      </c>
      <c r="Q332" s="19" t="str">
        <f t="shared" si="96"/>
        <v>Mesa de dibujo.</v>
      </c>
      <c r="R332" s="19" t="s">
        <v>1923</v>
      </c>
      <c r="S332" s="43" t="s">
        <v>9</v>
      </c>
      <c r="T332" s="25" t="str">
        <f t="shared" si="101"/>
        <v>Arquitetônicos</v>
      </c>
      <c r="U332" s="25" t="str">
        <f t="shared" si="102"/>
        <v>Elementos de Mobiliário</v>
      </c>
      <c r="V332" s="25" t="str">
        <f t="shared" si="103"/>
        <v>Mob Ensino</v>
      </c>
      <c r="W332" s="19" t="s">
        <v>74</v>
      </c>
      <c r="X332" s="57" t="str">
        <f t="shared" si="104"/>
        <v>Key-ARQ-332</v>
      </c>
      <c r="Y332" s="19" t="s">
        <v>1433</v>
      </c>
      <c r="Z332" s="25" t="s">
        <v>9</v>
      </c>
      <c r="AA332" s="25" t="s">
        <v>1381</v>
      </c>
      <c r="AB332" s="25" t="s">
        <v>9</v>
      </c>
      <c r="AC332" s="25" t="s">
        <v>1564</v>
      </c>
      <c r="AD332" s="25" t="s">
        <v>9</v>
      </c>
    </row>
    <row r="333" spans="1:30" ht="6.65" customHeight="1" x14ac:dyDescent="0.4">
      <c r="A333" s="21">
        <v>333</v>
      </c>
      <c r="B333" s="1" t="s">
        <v>1524</v>
      </c>
      <c r="C333" s="1" t="s">
        <v>1525</v>
      </c>
      <c r="D333" s="1" t="s">
        <v>1317</v>
      </c>
      <c r="E333" s="1" t="s">
        <v>1174</v>
      </c>
      <c r="F333" s="23" t="s">
        <v>1021</v>
      </c>
      <c r="G333" s="7" t="s">
        <v>9</v>
      </c>
      <c r="H333" s="83" t="s">
        <v>9</v>
      </c>
      <c r="I333" s="83" t="s">
        <v>9</v>
      </c>
      <c r="J333" s="7" t="s">
        <v>9</v>
      </c>
      <c r="K333" s="7" t="s">
        <v>9</v>
      </c>
      <c r="L333" s="24" t="str">
        <f t="shared" si="97"/>
        <v>Arquitetônicos</v>
      </c>
      <c r="M333" s="24" t="str">
        <f t="shared" si="98"/>
        <v>Elementos.de.Mobiliário</v>
      </c>
      <c r="N333" s="24" t="str">
        <f t="shared" si="99"/>
        <v>Mob Ensino</v>
      </c>
      <c r="O333" s="24" t="str">
        <f t="shared" si="100"/>
        <v>Mesa Computador</v>
      </c>
      <c r="P333" s="19" t="s">
        <v>1031</v>
      </c>
      <c r="Q333" s="19" t="s">
        <v>1029</v>
      </c>
      <c r="R333" s="19" t="s">
        <v>1924</v>
      </c>
      <c r="S333" s="43" t="s">
        <v>9</v>
      </c>
      <c r="T333" s="25" t="str">
        <f t="shared" si="101"/>
        <v>Arquitetônicos</v>
      </c>
      <c r="U333" s="25" t="str">
        <f t="shared" si="102"/>
        <v>Elementos de Mobiliário</v>
      </c>
      <c r="V333" s="25" t="str">
        <f t="shared" si="103"/>
        <v>Mob Ensino</v>
      </c>
      <c r="W333" s="19" t="s">
        <v>74</v>
      </c>
      <c r="X333" s="57" t="str">
        <f t="shared" si="104"/>
        <v>Key-ARQ-333</v>
      </c>
      <c r="Y333" s="19" t="s">
        <v>1433</v>
      </c>
      <c r="Z333" s="25" t="s">
        <v>9</v>
      </c>
      <c r="AA333" s="25" t="s">
        <v>1383</v>
      </c>
      <c r="AB333" s="25" t="s">
        <v>9</v>
      </c>
      <c r="AC333" s="25" t="s">
        <v>1564</v>
      </c>
      <c r="AD333" s="25" t="s">
        <v>9</v>
      </c>
    </row>
    <row r="334" spans="1:30" ht="6.65" customHeight="1" x14ac:dyDescent="0.4">
      <c r="A334" s="21">
        <v>334</v>
      </c>
      <c r="B334" s="1" t="s">
        <v>1524</v>
      </c>
      <c r="C334" s="1" t="s">
        <v>1525</v>
      </c>
      <c r="D334" s="1" t="s">
        <v>1317</v>
      </c>
      <c r="E334" s="1" t="s">
        <v>1174</v>
      </c>
      <c r="F334" s="23" t="s">
        <v>1024</v>
      </c>
      <c r="G334" s="7" t="s">
        <v>9</v>
      </c>
      <c r="H334" s="83" t="s">
        <v>9</v>
      </c>
      <c r="I334" s="83" t="s">
        <v>9</v>
      </c>
      <c r="J334" s="7" t="s">
        <v>9</v>
      </c>
      <c r="K334" s="7" t="s">
        <v>9</v>
      </c>
      <c r="L334" s="24" t="str">
        <f t="shared" si="97"/>
        <v>Arquitetônicos</v>
      </c>
      <c r="M334" s="24" t="str">
        <f t="shared" si="98"/>
        <v>Elementos.de.Mobiliário</v>
      </c>
      <c r="N334" s="24" t="str">
        <f t="shared" si="99"/>
        <v>Mob Ensino</v>
      </c>
      <c r="O334" s="24" t="str">
        <f t="shared" si="100"/>
        <v>Armário Modelos</v>
      </c>
      <c r="P334" s="19" t="s">
        <v>1028</v>
      </c>
      <c r="Q334" s="19" t="s">
        <v>1028</v>
      </c>
      <c r="R334" s="19" t="s">
        <v>1925</v>
      </c>
      <c r="S334" s="43" t="s">
        <v>9</v>
      </c>
      <c r="T334" s="25" t="str">
        <f t="shared" si="101"/>
        <v>Arquitetônicos</v>
      </c>
      <c r="U334" s="25" t="str">
        <f t="shared" si="102"/>
        <v>Elementos de Mobiliário</v>
      </c>
      <c r="V334" s="25" t="str">
        <f t="shared" si="103"/>
        <v>Mob Ensino</v>
      </c>
      <c r="W334" s="19" t="s">
        <v>74</v>
      </c>
      <c r="X334" s="57" t="str">
        <f t="shared" si="104"/>
        <v>Key-ARQ-334</v>
      </c>
      <c r="Y334" s="19" t="s">
        <v>1523</v>
      </c>
      <c r="Z334" s="25" t="s">
        <v>9</v>
      </c>
      <c r="AA334" s="25" t="s">
        <v>1384</v>
      </c>
      <c r="AB334" s="25" t="s">
        <v>9</v>
      </c>
      <c r="AC334" s="25" t="s">
        <v>1564</v>
      </c>
      <c r="AD334" s="25" t="s">
        <v>9</v>
      </c>
    </row>
    <row r="335" spans="1:30" ht="6.65" customHeight="1" x14ac:dyDescent="0.4">
      <c r="A335" s="21">
        <v>335</v>
      </c>
      <c r="B335" s="1" t="s">
        <v>1524</v>
      </c>
      <c r="C335" s="1" t="s">
        <v>1525</v>
      </c>
      <c r="D335" s="1" t="s">
        <v>1317</v>
      </c>
      <c r="E335" s="1" t="s">
        <v>1174</v>
      </c>
      <c r="F335" s="23" t="s">
        <v>1023</v>
      </c>
      <c r="G335" s="7" t="s">
        <v>9</v>
      </c>
      <c r="H335" s="83" t="s">
        <v>9</v>
      </c>
      <c r="I335" s="83" t="s">
        <v>9</v>
      </c>
      <c r="J335" s="7" t="s">
        <v>9</v>
      </c>
      <c r="K335" s="7" t="s">
        <v>9</v>
      </c>
      <c r="L335" s="24" t="str">
        <f t="shared" si="97"/>
        <v>Arquitetônicos</v>
      </c>
      <c r="M335" s="24" t="str">
        <f t="shared" si="98"/>
        <v>Elementos.de.Mobiliário</v>
      </c>
      <c r="N335" s="24" t="str">
        <f t="shared" si="99"/>
        <v>Mob Ensino</v>
      </c>
      <c r="O335" s="24" t="str">
        <f t="shared" si="100"/>
        <v>Armário Livros</v>
      </c>
      <c r="P335" s="19" t="s">
        <v>1027</v>
      </c>
      <c r="Q335" s="19" t="s">
        <v>1027</v>
      </c>
      <c r="R335" s="19" t="s">
        <v>1926</v>
      </c>
      <c r="S335" s="43" t="s">
        <v>9</v>
      </c>
      <c r="T335" s="25" t="str">
        <f t="shared" si="101"/>
        <v>Arquitetônicos</v>
      </c>
      <c r="U335" s="25" t="str">
        <f t="shared" si="102"/>
        <v>Elementos de Mobiliário</v>
      </c>
      <c r="V335" s="25" t="str">
        <f t="shared" si="103"/>
        <v>Mob Ensino</v>
      </c>
      <c r="W335" s="19" t="s">
        <v>74</v>
      </c>
      <c r="X335" s="57" t="str">
        <f t="shared" si="104"/>
        <v>Key-ARQ-335</v>
      </c>
      <c r="Y335" s="19" t="s">
        <v>1523</v>
      </c>
      <c r="Z335" s="25" t="s">
        <v>9</v>
      </c>
      <c r="AA335" s="25" t="s">
        <v>1385</v>
      </c>
      <c r="AB335" s="25" t="s">
        <v>9</v>
      </c>
      <c r="AC335" s="25" t="s">
        <v>1564</v>
      </c>
      <c r="AD335" s="25" t="s">
        <v>9</v>
      </c>
    </row>
    <row r="336" spans="1:30" ht="6.65" customHeight="1" x14ac:dyDescent="0.4">
      <c r="A336" s="21">
        <v>336</v>
      </c>
      <c r="B336" s="1" t="s">
        <v>1524</v>
      </c>
      <c r="C336" s="1" t="s">
        <v>1525</v>
      </c>
      <c r="D336" s="1" t="s">
        <v>1317</v>
      </c>
      <c r="E336" s="1" t="s">
        <v>1174</v>
      </c>
      <c r="F336" s="23" t="s">
        <v>1020</v>
      </c>
      <c r="G336" s="7" t="s">
        <v>9</v>
      </c>
      <c r="H336" s="83" t="s">
        <v>9</v>
      </c>
      <c r="I336" s="83" t="s">
        <v>9</v>
      </c>
      <c r="J336" s="7" t="s">
        <v>9</v>
      </c>
      <c r="K336" s="7" t="s">
        <v>9</v>
      </c>
      <c r="L336" s="24" t="str">
        <f t="shared" si="97"/>
        <v>Arquitetônicos</v>
      </c>
      <c r="M336" s="24" t="str">
        <f t="shared" si="98"/>
        <v>Elementos.de.Mobiliário</v>
      </c>
      <c r="N336" s="24" t="str">
        <f t="shared" si="99"/>
        <v>Mob Ensino</v>
      </c>
      <c r="O336" s="24" t="str">
        <f t="shared" si="100"/>
        <v>Prateleira Livros</v>
      </c>
      <c r="P336" s="19" t="s">
        <v>1030</v>
      </c>
      <c r="Q336" s="19" t="s">
        <v>1026</v>
      </c>
      <c r="R336" s="19" t="s">
        <v>1927</v>
      </c>
      <c r="S336" s="43" t="s">
        <v>9</v>
      </c>
      <c r="T336" s="25" t="str">
        <f t="shared" si="101"/>
        <v>Arquitetônicos</v>
      </c>
      <c r="U336" s="25" t="str">
        <f t="shared" si="102"/>
        <v>Elementos de Mobiliário</v>
      </c>
      <c r="V336" s="25" t="str">
        <f t="shared" si="103"/>
        <v>Mob Ensino</v>
      </c>
      <c r="W336" s="19" t="s">
        <v>74</v>
      </c>
      <c r="X336" s="57" t="str">
        <f t="shared" si="104"/>
        <v>Key-ARQ-336</v>
      </c>
      <c r="Y336" s="19" t="s">
        <v>1433</v>
      </c>
      <c r="Z336" s="25" t="s">
        <v>9</v>
      </c>
      <c r="AA336" s="25" t="s">
        <v>1386</v>
      </c>
      <c r="AB336" s="25" t="s">
        <v>9</v>
      </c>
      <c r="AC336" s="25" t="s">
        <v>1564</v>
      </c>
      <c r="AD336" s="25" t="s">
        <v>9</v>
      </c>
    </row>
    <row r="337" spans="1:30" ht="6.65" customHeight="1" x14ac:dyDescent="0.4">
      <c r="A337" s="21">
        <v>337</v>
      </c>
      <c r="B337" s="1" t="s">
        <v>1524</v>
      </c>
      <c r="C337" s="1" t="s">
        <v>1525</v>
      </c>
      <c r="D337" s="1" t="s">
        <v>1317</v>
      </c>
      <c r="E337" s="1" t="s">
        <v>1319</v>
      </c>
      <c r="F337" s="23" t="s">
        <v>1005</v>
      </c>
      <c r="G337" s="7" t="s">
        <v>9</v>
      </c>
      <c r="H337" s="83" t="s">
        <v>9</v>
      </c>
      <c r="I337" s="83" t="s">
        <v>9</v>
      </c>
      <c r="J337" s="7" t="s">
        <v>9</v>
      </c>
      <c r="K337" s="7" t="s">
        <v>9</v>
      </c>
      <c r="L337" s="24" t="str">
        <f t="shared" si="97"/>
        <v>Arquitetônicos</v>
      </c>
      <c r="M337" s="24" t="str">
        <f t="shared" si="98"/>
        <v>Elementos.de.Mobiliário</v>
      </c>
      <c r="N337" s="24" t="str">
        <f t="shared" si="99"/>
        <v>Mob Hospitalar</v>
      </c>
      <c r="O337" s="24" t="str">
        <f t="shared" si="100"/>
        <v>Cama Hospitalar</v>
      </c>
      <c r="P337" s="19" t="s">
        <v>1006</v>
      </c>
      <c r="Q337" s="19" t="s">
        <v>1006</v>
      </c>
      <c r="R337" s="19" t="s">
        <v>1928</v>
      </c>
      <c r="S337" s="43" t="s">
        <v>9</v>
      </c>
      <c r="T337" s="25" t="str">
        <f t="shared" si="101"/>
        <v>Arquitetônicos</v>
      </c>
      <c r="U337" s="25" t="str">
        <f t="shared" si="102"/>
        <v>Elementos de Mobiliário</v>
      </c>
      <c r="V337" s="25" t="str">
        <f t="shared" si="103"/>
        <v>Mob Hospitalar</v>
      </c>
      <c r="W337" s="19" t="s">
        <v>74</v>
      </c>
      <c r="X337" s="57" t="str">
        <f t="shared" si="104"/>
        <v>Key-ARQ-337</v>
      </c>
      <c r="Y337" s="19" t="s">
        <v>1433</v>
      </c>
      <c r="Z337" s="25" t="s">
        <v>9</v>
      </c>
      <c r="AA337" s="25" t="s">
        <v>1379</v>
      </c>
      <c r="AB337" s="25" t="s">
        <v>9</v>
      </c>
      <c r="AC337" s="25" t="s">
        <v>1564</v>
      </c>
      <c r="AD337" s="25" t="s">
        <v>9</v>
      </c>
    </row>
    <row r="338" spans="1:30" ht="6.65" customHeight="1" x14ac:dyDescent="0.4">
      <c r="A338" s="21">
        <v>338</v>
      </c>
      <c r="B338" s="1" t="s">
        <v>1524</v>
      </c>
      <c r="C338" s="1" t="s">
        <v>1525</v>
      </c>
      <c r="D338" s="1" t="s">
        <v>1317</v>
      </c>
      <c r="E338" s="1" t="s">
        <v>1319</v>
      </c>
      <c r="F338" s="23" t="s">
        <v>1000</v>
      </c>
      <c r="G338" s="7" t="s">
        <v>9</v>
      </c>
      <c r="H338" s="83" t="s">
        <v>9</v>
      </c>
      <c r="I338" s="83" t="s">
        <v>9</v>
      </c>
      <c r="J338" s="7" t="s">
        <v>9</v>
      </c>
      <c r="K338" s="7" t="s">
        <v>9</v>
      </c>
      <c r="L338" s="24" t="str">
        <f t="shared" si="97"/>
        <v>Arquitetônicos</v>
      </c>
      <c r="M338" s="24" t="str">
        <f t="shared" si="98"/>
        <v>Elementos.de.Mobiliário</v>
      </c>
      <c r="N338" s="24" t="str">
        <f t="shared" si="99"/>
        <v>Mob Hospitalar</v>
      </c>
      <c r="O338" s="24" t="str">
        <f t="shared" si="100"/>
        <v>Maca</v>
      </c>
      <c r="P338" s="19" t="s">
        <v>1007</v>
      </c>
      <c r="Q338" s="19" t="s">
        <v>1014</v>
      </c>
      <c r="R338" s="19" t="s">
        <v>1929</v>
      </c>
      <c r="S338" s="43" t="s">
        <v>9</v>
      </c>
      <c r="T338" s="25" t="str">
        <f t="shared" si="101"/>
        <v>Arquitetônicos</v>
      </c>
      <c r="U338" s="25" t="str">
        <f t="shared" si="102"/>
        <v>Elementos de Mobiliário</v>
      </c>
      <c r="V338" s="25" t="str">
        <f t="shared" si="103"/>
        <v>Mob Hospitalar</v>
      </c>
      <c r="W338" s="19" t="s">
        <v>74</v>
      </c>
      <c r="X338" s="57" t="str">
        <f t="shared" si="104"/>
        <v>Key-ARQ-338</v>
      </c>
      <c r="Y338" s="19" t="s">
        <v>1433</v>
      </c>
      <c r="Z338" s="25" t="s">
        <v>9</v>
      </c>
      <c r="AA338" s="25" t="s">
        <v>1379</v>
      </c>
      <c r="AB338" s="25" t="s">
        <v>9</v>
      </c>
      <c r="AC338" s="25" t="s">
        <v>1564</v>
      </c>
      <c r="AD338" s="25" t="s">
        <v>9</v>
      </c>
    </row>
    <row r="339" spans="1:30" ht="6.65" customHeight="1" x14ac:dyDescent="0.4">
      <c r="A339" s="21">
        <v>339</v>
      </c>
      <c r="B339" s="1" t="s">
        <v>1524</v>
      </c>
      <c r="C339" s="1" t="s">
        <v>1525</v>
      </c>
      <c r="D339" s="1" t="s">
        <v>1317</v>
      </c>
      <c r="E339" s="1" t="s">
        <v>1319</v>
      </c>
      <c r="F339" s="23" t="s">
        <v>1004</v>
      </c>
      <c r="G339" s="7" t="s">
        <v>9</v>
      </c>
      <c r="H339" s="83" t="s">
        <v>9</v>
      </c>
      <c r="I339" s="83" t="s">
        <v>9</v>
      </c>
      <c r="J339" s="7" t="s">
        <v>9</v>
      </c>
      <c r="K339" s="7" t="s">
        <v>9</v>
      </c>
      <c r="L339" s="24" t="str">
        <f t="shared" si="97"/>
        <v>Arquitetônicos</v>
      </c>
      <c r="M339" s="24" t="str">
        <f t="shared" si="98"/>
        <v>Elementos.de.Mobiliário</v>
      </c>
      <c r="N339" s="24" t="str">
        <f t="shared" si="99"/>
        <v>Mob Hospitalar</v>
      </c>
      <c r="O339" s="24" t="str">
        <f t="shared" si="100"/>
        <v>Cadeira Paciente</v>
      </c>
      <c r="P339" s="19" t="s">
        <v>1013</v>
      </c>
      <c r="Q339" s="19" t="s">
        <v>1015</v>
      </c>
      <c r="R339" s="19" t="s">
        <v>1930</v>
      </c>
      <c r="S339" s="43" t="s">
        <v>9</v>
      </c>
      <c r="T339" s="25" t="str">
        <f t="shared" si="101"/>
        <v>Arquitetônicos</v>
      </c>
      <c r="U339" s="25" t="str">
        <f t="shared" si="102"/>
        <v>Elementos de Mobiliário</v>
      </c>
      <c r="V339" s="25" t="str">
        <f t="shared" si="103"/>
        <v>Mob Hospitalar</v>
      </c>
      <c r="W339" s="19" t="s">
        <v>74</v>
      </c>
      <c r="X339" s="57" t="str">
        <f t="shared" si="104"/>
        <v>Key-ARQ-339</v>
      </c>
      <c r="Y339" s="19" t="s">
        <v>1433</v>
      </c>
      <c r="Z339" s="25" t="s">
        <v>9</v>
      </c>
      <c r="AA339" s="25" t="s">
        <v>1380</v>
      </c>
      <c r="AB339" s="25" t="s">
        <v>9</v>
      </c>
      <c r="AC339" s="25" t="s">
        <v>1564</v>
      </c>
      <c r="AD339" s="25" t="s">
        <v>9</v>
      </c>
    </row>
    <row r="340" spans="1:30" ht="6.65" customHeight="1" x14ac:dyDescent="0.4">
      <c r="A340" s="21">
        <v>340</v>
      </c>
      <c r="B340" s="1" t="s">
        <v>1524</v>
      </c>
      <c r="C340" s="1" t="s">
        <v>1525</v>
      </c>
      <c r="D340" s="1" t="s">
        <v>1317</v>
      </c>
      <c r="E340" s="1" t="s">
        <v>1319</v>
      </c>
      <c r="F340" s="23" t="s">
        <v>999</v>
      </c>
      <c r="G340" s="7" t="s">
        <v>9</v>
      </c>
      <c r="H340" s="83" t="s">
        <v>9</v>
      </c>
      <c r="I340" s="83" t="s">
        <v>9</v>
      </c>
      <c r="J340" s="7" t="s">
        <v>9</v>
      </c>
      <c r="K340" s="7" t="s">
        <v>9</v>
      </c>
      <c r="L340" s="24" t="str">
        <f t="shared" si="97"/>
        <v>Arquitetônicos</v>
      </c>
      <c r="M340" s="24" t="str">
        <f t="shared" si="98"/>
        <v>Elementos.de.Mobiliário</v>
      </c>
      <c r="N340" s="24" t="str">
        <f t="shared" si="99"/>
        <v>Mob Hospitalar</v>
      </c>
      <c r="O340" s="24" t="str">
        <f t="shared" si="100"/>
        <v>Poltrona Paciente</v>
      </c>
      <c r="P340" s="19" t="s">
        <v>1012</v>
      </c>
      <c r="Q340" s="19" t="s">
        <v>1016</v>
      </c>
      <c r="R340" s="19" t="s">
        <v>1931</v>
      </c>
      <c r="S340" s="43" t="s">
        <v>9</v>
      </c>
      <c r="T340" s="25" t="str">
        <f t="shared" si="101"/>
        <v>Arquitetônicos</v>
      </c>
      <c r="U340" s="25" t="str">
        <f t="shared" si="102"/>
        <v>Elementos de Mobiliário</v>
      </c>
      <c r="V340" s="25" t="str">
        <f t="shared" si="103"/>
        <v>Mob Hospitalar</v>
      </c>
      <c r="W340" s="19" t="s">
        <v>74</v>
      </c>
      <c r="X340" s="57" t="str">
        <f t="shared" si="104"/>
        <v>Key-ARQ-340</v>
      </c>
      <c r="Y340" s="19" t="s">
        <v>1433</v>
      </c>
      <c r="Z340" s="25" t="s">
        <v>9</v>
      </c>
      <c r="AA340" s="25" t="s">
        <v>1382</v>
      </c>
      <c r="AB340" s="25" t="s">
        <v>9</v>
      </c>
      <c r="AC340" s="25" t="s">
        <v>1564</v>
      </c>
      <c r="AD340" s="25" t="s">
        <v>9</v>
      </c>
    </row>
    <row r="341" spans="1:30" ht="6.65" customHeight="1" x14ac:dyDescent="0.4">
      <c r="A341" s="21">
        <v>341</v>
      </c>
      <c r="B341" s="1" t="s">
        <v>1524</v>
      </c>
      <c r="C341" s="1" t="s">
        <v>1525</v>
      </c>
      <c r="D341" s="1" t="s">
        <v>1317</v>
      </c>
      <c r="E341" s="1" t="s">
        <v>1319</v>
      </c>
      <c r="F341" s="23" t="s">
        <v>1003</v>
      </c>
      <c r="G341" s="7" t="s">
        <v>9</v>
      </c>
      <c r="H341" s="83" t="s">
        <v>9</v>
      </c>
      <c r="I341" s="83" t="s">
        <v>9</v>
      </c>
      <c r="J341" s="7" t="s">
        <v>9</v>
      </c>
      <c r="K341" s="7" t="s">
        <v>9</v>
      </c>
      <c r="L341" s="24" t="str">
        <f t="shared" si="97"/>
        <v>Arquitetônicos</v>
      </c>
      <c r="M341" s="24" t="str">
        <f t="shared" si="98"/>
        <v>Elementos.de.Mobiliário</v>
      </c>
      <c r="N341" s="24" t="str">
        <f t="shared" si="99"/>
        <v>Mob Hospitalar</v>
      </c>
      <c r="O341" s="24" t="str">
        <f t="shared" si="100"/>
        <v>Mesa Atendimento</v>
      </c>
      <c r="P341" s="19" t="s">
        <v>1011</v>
      </c>
      <c r="Q341" s="19" t="s">
        <v>1017</v>
      </c>
      <c r="R341" s="19" t="s">
        <v>1932</v>
      </c>
      <c r="S341" s="43" t="s">
        <v>9</v>
      </c>
      <c r="T341" s="25" t="str">
        <f t="shared" si="101"/>
        <v>Arquitetônicos</v>
      </c>
      <c r="U341" s="25" t="str">
        <f t="shared" si="102"/>
        <v>Elementos de Mobiliário</v>
      </c>
      <c r="V341" s="25" t="str">
        <f t="shared" si="103"/>
        <v>Mob Hospitalar</v>
      </c>
      <c r="W341" s="19" t="s">
        <v>74</v>
      </c>
      <c r="X341" s="57" t="str">
        <f t="shared" si="104"/>
        <v>Key-ARQ-341</v>
      </c>
      <c r="Y341" s="19" t="s">
        <v>1433</v>
      </c>
      <c r="Z341" s="25" t="s">
        <v>9</v>
      </c>
      <c r="AA341" s="25" t="s">
        <v>1383</v>
      </c>
      <c r="AB341" s="25" t="s">
        <v>9</v>
      </c>
      <c r="AC341" s="25" t="s">
        <v>1564</v>
      </c>
      <c r="AD341" s="25" t="s">
        <v>9</v>
      </c>
    </row>
    <row r="342" spans="1:30" ht="6.65" customHeight="1" x14ac:dyDescent="0.4">
      <c r="A342" s="21">
        <v>342</v>
      </c>
      <c r="B342" s="1" t="s">
        <v>1524</v>
      </c>
      <c r="C342" s="1" t="s">
        <v>1525</v>
      </c>
      <c r="D342" s="1" t="s">
        <v>1317</v>
      </c>
      <c r="E342" s="1" t="s">
        <v>1319</v>
      </c>
      <c r="F342" s="23" t="s">
        <v>1002</v>
      </c>
      <c r="G342" s="7" t="s">
        <v>9</v>
      </c>
      <c r="H342" s="83" t="s">
        <v>9</v>
      </c>
      <c r="I342" s="83" t="s">
        <v>9</v>
      </c>
      <c r="J342" s="7" t="s">
        <v>9</v>
      </c>
      <c r="K342" s="7" t="s">
        <v>9</v>
      </c>
      <c r="L342" s="24" t="str">
        <f t="shared" si="97"/>
        <v>Arquitetônicos</v>
      </c>
      <c r="M342" s="24" t="str">
        <f t="shared" si="98"/>
        <v>Elementos.de.Mobiliário</v>
      </c>
      <c r="N342" s="24" t="str">
        <f t="shared" si="99"/>
        <v>Mob Hospitalar</v>
      </c>
      <c r="O342" s="24" t="str">
        <f t="shared" si="100"/>
        <v>Armário de Roupa</v>
      </c>
      <c r="P342" s="19" t="s">
        <v>1010</v>
      </c>
      <c r="Q342" s="19" t="s">
        <v>1018</v>
      </c>
      <c r="R342" s="19" t="s">
        <v>1933</v>
      </c>
      <c r="S342" s="43" t="s">
        <v>9</v>
      </c>
      <c r="T342" s="25" t="str">
        <f t="shared" si="101"/>
        <v>Arquitetônicos</v>
      </c>
      <c r="U342" s="25" t="str">
        <f t="shared" si="102"/>
        <v>Elementos de Mobiliário</v>
      </c>
      <c r="V342" s="25" t="str">
        <f t="shared" si="103"/>
        <v>Mob Hospitalar</v>
      </c>
      <c r="W342" s="19" t="s">
        <v>74</v>
      </c>
      <c r="X342" s="57" t="str">
        <f t="shared" si="104"/>
        <v>Key-ARQ-342</v>
      </c>
      <c r="Y342" s="19" t="s">
        <v>1523</v>
      </c>
      <c r="Z342" s="25" t="s">
        <v>9</v>
      </c>
      <c r="AA342" s="25" t="s">
        <v>1384</v>
      </c>
      <c r="AB342" s="25" t="s">
        <v>9</v>
      </c>
      <c r="AC342" s="25" t="s">
        <v>1564</v>
      </c>
      <c r="AD342" s="25" t="s">
        <v>9</v>
      </c>
    </row>
    <row r="343" spans="1:30" ht="6.65" customHeight="1" x14ac:dyDescent="0.4">
      <c r="A343" s="21">
        <v>343</v>
      </c>
      <c r="B343" s="1" t="s">
        <v>1524</v>
      </c>
      <c r="C343" s="1" t="s">
        <v>1525</v>
      </c>
      <c r="D343" s="1" t="s">
        <v>1317</v>
      </c>
      <c r="E343" s="1" t="s">
        <v>1319</v>
      </c>
      <c r="F343" s="23" t="s">
        <v>998</v>
      </c>
      <c r="G343" s="7" t="s">
        <v>9</v>
      </c>
      <c r="H343" s="83" t="s">
        <v>9</v>
      </c>
      <c r="I343" s="83" t="s">
        <v>9</v>
      </c>
      <c r="J343" s="7" t="s">
        <v>9</v>
      </c>
      <c r="K343" s="7" t="s">
        <v>9</v>
      </c>
      <c r="L343" s="24" t="str">
        <f t="shared" si="97"/>
        <v>Arquitetônicos</v>
      </c>
      <c r="M343" s="24" t="str">
        <f t="shared" si="98"/>
        <v>Elementos.de.Mobiliário</v>
      </c>
      <c r="N343" s="24" t="str">
        <f t="shared" si="99"/>
        <v>Mob Hospitalar</v>
      </c>
      <c r="O343" s="24" t="str">
        <f t="shared" si="100"/>
        <v>Armário de Medicinas</v>
      </c>
      <c r="P343" s="19" t="s">
        <v>1009</v>
      </c>
      <c r="Q343" s="19" t="s">
        <v>1019</v>
      </c>
      <c r="R343" s="19" t="s">
        <v>1934</v>
      </c>
      <c r="S343" s="43" t="s">
        <v>9</v>
      </c>
      <c r="T343" s="25" t="str">
        <f t="shared" si="101"/>
        <v>Arquitetônicos</v>
      </c>
      <c r="U343" s="25" t="str">
        <f t="shared" si="102"/>
        <v>Elementos de Mobiliário</v>
      </c>
      <c r="V343" s="25" t="str">
        <f t="shared" si="103"/>
        <v>Mob Hospitalar</v>
      </c>
      <c r="W343" s="19" t="s">
        <v>74</v>
      </c>
      <c r="X343" s="57" t="str">
        <f t="shared" si="104"/>
        <v>Key-ARQ-343</v>
      </c>
      <c r="Y343" s="19" t="s">
        <v>1523</v>
      </c>
      <c r="Z343" s="25" t="s">
        <v>9</v>
      </c>
      <c r="AA343" s="25" t="s">
        <v>1385</v>
      </c>
      <c r="AB343" s="25" t="s">
        <v>9</v>
      </c>
      <c r="AC343" s="25" t="s">
        <v>1564</v>
      </c>
      <c r="AD343" s="25" t="s">
        <v>9</v>
      </c>
    </row>
    <row r="344" spans="1:30" ht="6.65" customHeight="1" x14ac:dyDescent="0.4">
      <c r="A344" s="21">
        <v>344</v>
      </c>
      <c r="B344" s="1" t="s">
        <v>1524</v>
      </c>
      <c r="C344" s="1" t="s">
        <v>1525</v>
      </c>
      <c r="D344" s="1" t="s">
        <v>1317</v>
      </c>
      <c r="E344" s="1" t="s">
        <v>1319</v>
      </c>
      <c r="F344" s="23" t="s">
        <v>1001</v>
      </c>
      <c r="G344" s="7" t="s">
        <v>9</v>
      </c>
      <c r="H344" s="83" t="s">
        <v>9</v>
      </c>
      <c r="I344" s="83" t="s">
        <v>9</v>
      </c>
      <c r="J344" s="7" t="s">
        <v>9</v>
      </c>
      <c r="K344" s="7" t="s">
        <v>9</v>
      </c>
      <c r="L344" s="24" t="str">
        <f t="shared" si="97"/>
        <v>Arquitetônicos</v>
      </c>
      <c r="M344" s="24" t="str">
        <f t="shared" si="98"/>
        <v>Elementos.de.Mobiliário</v>
      </c>
      <c r="N344" s="24" t="str">
        <f t="shared" si="99"/>
        <v>Mob Hospitalar</v>
      </c>
      <c r="O344" s="24" t="str">
        <f t="shared" si="100"/>
        <v>Prateleira Medicinas</v>
      </c>
      <c r="P344" s="19" t="s">
        <v>1008</v>
      </c>
      <c r="Q344" s="19" t="s">
        <v>978</v>
      </c>
      <c r="R344" s="19" t="s">
        <v>1935</v>
      </c>
      <c r="S344" s="43" t="s">
        <v>9</v>
      </c>
      <c r="T344" s="25" t="str">
        <f t="shared" si="101"/>
        <v>Arquitetônicos</v>
      </c>
      <c r="U344" s="25" t="str">
        <f t="shared" si="102"/>
        <v>Elementos de Mobiliário</v>
      </c>
      <c r="V344" s="25" t="str">
        <f t="shared" si="103"/>
        <v>Mob Hospitalar</v>
      </c>
      <c r="W344" s="19" t="s">
        <v>74</v>
      </c>
      <c r="X344" s="57" t="str">
        <f t="shared" si="104"/>
        <v>Key-ARQ-344</v>
      </c>
      <c r="Y344" s="19" t="s">
        <v>1433</v>
      </c>
      <c r="Z344" s="25" t="s">
        <v>9</v>
      </c>
      <c r="AA344" s="25" t="s">
        <v>1386</v>
      </c>
      <c r="AB344" s="25" t="s">
        <v>9</v>
      </c>
      <c r="AC344" s="25" t="s">
        <v>1564</v>
      </c>
      <c r="AD344" s="25" t="s">
        <v>9</v>
      </c>
    </row>
    <row r="345" spans="1:30" ht="6.65" customHeight="1" x14ac:dyDescent="0.4">
      <c r="A345" s="21">
        <v>345</v>
      </c>
      <c r="B345" s="1" t="s">
        <v>43</v>
      </c>
      <c r="C345" s="1" t="s">
        <v>1514</v>
      </c>
      <c r="D345" s="1" t="s">
        <v>1515</v>
      </c>
      <c r="E345" s="1" t="s">
        <v>1547</v>
      </c>
      <c r="F345" s="23" t="s">
        <v>1571</v>
      </c>
      <c r="G345" s="7" t="s">
        <v>9</v>
      </c>
      <c r="H345" s="83" t="s">
        <v>9</v>
      </c>
      <c r="I345" s="83" t="s">
        <v>9</v>
      </c>
      <c r="J345" s="7" t="s">
        <v>9</v>
      </c>
      <c r="K345" s="7" t="s">
        <v>9</v>
      </c>
      <c r="L345" s="24" t="str">
        <f t="shared" si="97"/>
        <v>De.Arquitetura</v>
      </c>
      <c r="M345" s="24" t="str">
        <f t="shared" si="98"/>
        <v>Elementos.Projetados</v>
      </c>
      <c r="N345" s="24" t="str">
        <f t="shared" si="99"/>
        <v>Classes Projetuais</v>
      </c>
      <c r="O345" s="24" t="str">
        <f t="shared" si="100"/>
        <v>Edificação</v>
      </c>
      <c r="P345" s="19" t="s">
        <v>1526</v>
      </c>
      <c r="Q345" s="19" t="str">
        <f t="shared" ref="Q345:Q353" si="105">_xlfn.TRANSLATE(P345,"pt","es")</f>
        <v>Diseño de edificios.</v>
      </c>
      <c r="R345" s="19" t="s">
        <v>1936</v>
      </c>
      <c r="S345" s="43" t="s">
        <v>9</v>
      </c>
      <c r="T345" s="25" t="str">
        <f t="shared" si="101"/>
        <v>De Arquitetura</v>
      </c>
      <c r="U345" s="25" t="str">
        <f t="shared" si="102"/>
        <v>Elementos Projetados</v>
      </c>
      <c r="V345" s="25" t="str">
        <f t="shared" si="103"/>
        <v>Classes Projetuais</v>
      </c>
      <c r="W345" s="19" t="s">
        <v>74</v>
      </c>
      <c r="X345" s="57" t="str">
        <f t="shared" si="104"/>
        <v>Key-ARQ-345</v>
      </c>
      <c r="Y345" s="19" t="s">
        <v>1392</v>
      </c>
      <c r="Z345" s="25" t="s">
        <v>9</v>
      </c>
      <c r="AA345" s="25" t="s">
        <v>1324</v>
      </c>
      <c r="AB345" s="25" t="s">
        <v>9</v>
      </c>
      <c r="AC345" s="25" t="s">
        <v>9</v>
      </c>
      <c r="AD345" s="25" t="s">
        <v>9</v>
      </c>
    </row>
    <row r="346" spans="1:30" ht="6.65" customHeight="1" x14ac:dyDescent="0.4">
      <c r="A346" s="21">
        <v>346</v>
      </c>
      <c r="B346" s="1" t="s">
        <v>43</v>
      </c>
      <c r="C346" s="1" t="s">
        <v>1514</v>
      </c>
      <c r="D346" s="1" t="s">
        <v>1515</v>
      </c>
      <c r="E346" s="1" t="s">
        <v>1547</v>
      </c>
      <c r="F346" s="23" t="s">
        <v>1578</v>
      </c>
      <c r="G346" s="7" t="s">
        <v>9</v>
      </c>
      <c r="H346" s="83" t="s">
        <v>9</v>
      </c>
      <c r="I346" s="83" t="s">
        <v>9</v>
      </c>
      <c r="J346" s="7" t="s">
        <v>9</v>
      </c>
      <c r="K346" s="7" t="s">
        <v>9</v>
      </c>
      <c r="L346" s="24" t="str">
        <f t="shared" si="97"/>
        <v>De.Arquitetura</v>
      </c>
      <c r="M346" s="24" t="str">
        <f t="shared" si="98"/>
        <v>Elementos.Projetados</v>
      </c>
      <c r="N346" s="24" t="str">
        <f t="shared" si="99"/>
        <v>Classes Projetuais</v>
      </c>
      <c r="O346" s="24" t="str">
        <f t="shared" si="100"/>
        <v>Cobertura</v>
      </c>
      <c r="P346" s="19" t="s">
        <v>1527</v>
      </c>
      <c r="Q346" s="19" t="str">
        <f t="shared" si="105"/>
        <v>Diseño de tejados.</v>
      </c>
      <c r="R346" s="19" t="s">
        <v>1937</v>
      </c>
      <c r="S346" s="43" t="s">
        <v>9</v>
      </c>
      <c r="T346" s="25" t="str">
        <f t="shared" si="101"/>
        <v>De Arquitetura</v>
      </c>
      <c r="U346" s="25" t="str">
        <f t="shared" si="102"/>
        <v>Elementos Projetados</v>
      </c>
      <c r="V346" s="25" t="str">
        <f t="shared" si="103"/>
        <v>Classes Projetuais</v>
      </c>
      <c r="W346" s="19" t="s">
        <v>74</v>
      </c>
      <c r="X346" s="57" t="str">
        <f t="shared" si="104"/>
        <v>Key-ARQ-346</v>
      </c>
      <c r="Y346" s="19" t="s">
        <v>1417</v>
      </c>
      <c r="Z346" s="25" t="s">
        <v>9</v>
      </c>
      <c r="AA346" s="25" t="s">
        <v>1328</v>
      </c>
      <c r="AB346" s="25" t="s">
        <v>9</v>
      </c>
      <c r="AC346" s="25" t="s">
        <v>1567</v>
      </c>
      <c r="AD346" s="25" t="s">
        <v>9</v>
      </c>
    </row>
    <row r="347" spans="1:30" ht="6.65" customHeight="1" x14ac:dyDescent="0.4">
      <c r="A347" s="21">
        <v>347</v>
      </c>
      <c r="B347" s="1" t="s">
        <v>43</v>
      </c>
      <c r="C347" s="1" t="s">
        <v>1514</v>
      </c>
      <c r="D347" s="1" t="s">
        <v>1515</v>
      </c>
      <c r="E347" s="1" t="s">
        <v>1547</v>
      </c>
      <c r="F347" s="23" t="s">
        <v>1573</v>
      </c>
      <c r="G347" s="7" t="s">
        <v>9</v>
      </c>
      <c r="H347" s="83" t="s">
        <v>9</v>
      </c>
      <c r="I347" s="83" t="s">
        <v>9</v>
      </c>
      <c r="J347" s="7" t="s">
        <v>9</v>
      </c>
      <c r="K347" s="7" t="s">
        <v>9</v>
      </c>
      <c r="L347" s="24" t="str">
        <f t="shared" si="97"/>
        <v>De.Arquitetura</v>
      </c>
      <c r="M347" s="24" t="str">
        <f t="shared" si="98"/>
        <v>Elementos.Projetados</v>
      </c>
      <c r="N347" s="24" t="str">
        <f t="shared" si="99"/>
        <v>Classes Projetuais</v>
      </c>
      <c r="O347" s="24" t="str">
        <f t="shared" si="100"/>
        <v>Forro</v>
      </c>
      <c r="P347" s="19" t="s">
        <v>1528</v>
      </c>
      <c r="Q347" s="19" t="str">
        <f t="shared" si="105"/>
        <v>Diseño de techos.</v>
      </c>
      <c r="R347" s="19" t="s">
        <v>1938</v>
      </c>
      <c r="S347" s="43" t="s">
        <v>9</v>
      </c>
      <c r="T347" s="25" t="str">
        <f t="shared" si="101"/>
        <v>De Arquitetura</v>
      </c>
      <c r="U347" s="25" t="str">
        <f t="shared" si="102"/>
        <v>Elementos Projetados</v>
      </c>
      <c r="V347" s="25" t="str">
        <f t="shared" si="103"/>
        <v>Classes Projetuais</v>
      </c>
      <c r="W347" s="19" t="s">
        <v>74</v>
      </c>
      <c r="X347" s="57" t="str">
        <f t="shared" si="104"/>
        <v>Key-ARQ-347</v>
      </c>
      <c r="Y347" s="19" t="s">
        <v>1389</v>
      </c>
      <c r="Z347" s="25" t="s">
        <v>9</v>
      </c>
      <c r="AA347" s="25" t="s">
        <v>1349</v>
      </c>
      <c r="AB347" s="25" t="s">
        <v>9</v>
      </c>
      <c r="AC347" s="25" t="s">
        <v>1568</v>
      </c>
      <c r="AD347" s="25" t="s">
        <v>9</v>
      </c>
    </row>
    <row r="348" spans="1:30" ht="6.65" customHeight="1" x14ac:dyDescent="0.4">
      <c r="A348" s="21">
        <v>348</v>
      </c>
      <c r="B348" s="1" t="s">
        <v>43</v>
      </c>
      <c r="C348" s="1" t="s">
        <v>1514</v>
      </c>
      <c r="D348" s="1" t="s">
        <v>1515</v>
      </c>
      <c r="E348" s="1" t="s">
        <v>1547</v>
      </c>
      <c r="F348" s="23" t="s">
        <v>1574</v>
      </c>
      <c r="G348" s="7" t="s">
        <v>9</v>
      </c>
      <c r="H348" s="83" t="s">
        <v>9</v>
      </c>
      <c r="I348" s="83" t="s">
        <v>9</v>
      </c>
      <c r="J348" s="7" t="s">
        <v>9</v>
      </c>
      <c r="K348" s="7" t="s">
        <v>9</v>
      </c>
      <c r="L348" s="24" t="str">
        <f t="shared" si="97"/>
        <v>De.Arquitetura</v>
      </c>
      <c r="M348" s="24" t="str">
        <f t="shared" si="98"/>
        <v>Elementos.Projetados</v>
      </c>
      <c r="N348" s="24" t="str">
        <f t="shared" si="99"/>
        <v>Classes Projetuais</v>
      </c>
      <c r="O348" s="24" t="str">
        <f t="shared" si="100"/>
        <v>Parede</v>
      </c>
      <c r="P348" s="19" t="s">
        <v>1529</v>
      </c>
      <c r="Q348" s="19" t="str">
        <f t="shared" si="105"/>
        <v>Diseño de muros.</v>
      </c>
      <c r="R348" s="19" t="s">
        <v>1939</v>
      </c>
      <c r="S348" s="43" t="s">
        <v>9</v>
      </c>
      <c r="T348" s="25" t="str">
        <f t="shared" si="101"/>
        <v>De Arquitetura</v>
      </c>
      <c r="U348" s="25" t="str">
        <f t="shared" si="102"/>
        <v>Elementos Projetados</v>
      </c>
      <c r="V348" s="25" t="str">
        <f t="shared" si="103"/>
        <v>Classes Projetuais</v>
      </c>
      <c r="W348" s="19" t="s">
        <v>74</v>
      </c>
      <c r="X348" s="57" t="str">
        <f t="shared" si="104"/>
        <v>Key-ARQ-348</v>
      </c>
      <c r="Y348" s="19" t="s">
        <v>1388</v>
      </c>
      <c r="Z348" s="25" t="s">
        <v>9</v>
      </c>
      <c r="AA348" s="25" t="s">
        <v>1325</v>
      </c>
      <c r="AB348" s="25" t="s">
        <v>9</v>
      </c>
      <c r="AC348" s="25" t="s">
        <v>1562</v>
      </c>
      <c r="AD348" s="25" t="s">
        <v>9</v>
      </c>
    </row>
    <row r="349" spans="1:30" ht="6.65" customHeight="1" x14ac:dyDescent="0.4">
      <c r="A349" s="21">
        <v>349</v>
      </c>
      <c r="B349" s="1" t="s">
        <v>43</v>
      </c>
      <c r="C349" s="1" t="s">
        <v>1514</v>
      </c>
      <c r="D349" s="1" t="s">
        <v>1515</v>
      </c>
      <c r="E349" s="1" t="s">
        <v>1547</v>
      </c>
      <c r="F349" s="23" t="s">
        <v>1572</v>
      </c>
      <c r="G349" s="7" t="s">
        <v>9</v>
      </c>
      <c r="H349" s="83" t="s">
        <v>9</v>
      </c>
      <c r="I349" s="83" t="s">
        <v>9</v>
      </c>
      <c r="J349" s="7" t="s">
        <v>9</v>
      </c>
      <c r="K349" s="7" t="s">
        <v>9</v>
      </c>
      <c r="L349" s="24" t="str">
        <f t="shared" si="97"/>
        <v>De.Arquitetura</v>
      </c>
      <c r="M349" s="24" t="str">
        <f t="shared" si="98"/>
        <v>Elementos.Projetados</v>
      </c>
      <c r="N349" s="24" t="str">
        <f t="shared" si="99"/>
        <v>Classes Projetuais</v>
      </c>
      <c r="O349" s="24" t="str">
        <f t="shared" si="100"/>
        <v>Piso</v>
      </c>
      <c r="P349" s="19" t="s">
        <v>1530</v>
      </c>
      <c r="Q349" s="19" t="str">
        <f t="shared" si="105"/>
        <v>Diseño de suelos.</v>
      </c>
      <c r="R349" s="19" t="s">
        <v>1940</v>
      </c>
      <c r="S349" s="43" t="s">
        <v>9</v>
      </c>
      <c r="T349" s="25" t="str">
        <f t="shared" si="101"/>
        <v>De Arquitetura</v>
      </c>
      <c r="U349" s="25" t="str">
        <f t="shared" si="102"/>
        <v>Elementos Projetados</v>
      </c>
      <c r="V349" s="25" t="str">
        <f t="shared" si="103"/>
        <v>Classes Projetuais</v>
      </c>
      <c r="W349" s="19" t="s">
        <v>74</v>
      </c>
      <c r="X349" s="57" t="str">
        <f t="shared" si="104"/>
        <v>Key-ARQ-349</v>
      </c>
      <c r="Y349" s="25" t="s">
        <v>1387</v>
      </c>
      <c r="Z349" s="25" t="s">
        <v>9</v>
      </c>
      <c r="AA349" s="25" t="s">
        <v>1345</v>
      </c>
      <c r="AB349" s="25" t="s">
        <v>9</v>
      </c>
      <c r="AC349" s="25" t="s">
        <v>1563</v>
      </c>
      <c r="AD349" s="25" t="s">
        <v>9</v>
      </c>
    </row>
    <row r="350" spans="1:30" ht="6.65" customHeight="1" x14ac:dyDescent="0.4">
      <c r="A350" s="21">
        <v>350</v>
      </c>
      <c r="B350" s="1" t="s">
        <v>43</v>
      </c>
      <c r="C350" s="1" t="s">
        <v>1514</v>
      </c>
      <c r="D350" s="1" t="s">
        <v>1515</v>
      </c>
      <c r="E350" s="1" t="s">
        <v>1547</v>
      </c>
      <c r="F350" s="23" t="s">
        <v>1575</v>
      </c>
      <c r="G350" s="7" t="s">
        <v>9</v>
      </c>
      <c r="H350" s="83" t="s">
        <v>9</v>
      </c>
      <c r="I350" s="83" t="s">
        <v>9</v>
      </c>
      <c r="J350" s="7" t="s">
        <v>9</v>
      </c>
      <c r="K350" s="7" t="s">
        <v>9</v>
      </c>
      <c r="L350" s="24" t="str">
        <f t="shared" si="97"/>
        <v>De.Arquitetura</v>
      </c>
      <c r="M350" s="24" t="str">
        <f t="shared" si="98"/>
        <v>Elementos.Projetados</v>
      </c>
      <c r="N350" s="24" t="str">
        <f t="shared" si="99"/>
        <v>Classes Projetuais</v>
      </c>
      <c r="O350" s="24" t="str">
        <f t="shared" si="100"/>
        <v>Circulação</v>
      </c>
      <c r="P350" s="19" t="s">
        <v>1531</v>
      </c>
      <c r="Q350" s="19" t="str">
        <f t="shared" si="105"/>
        <v>Circulación diseñada.</v>
      </c>
      <c r="R350" s="19" t="s">
        <v>1941</v>
      </c>
      <c r="S350" s="43" t="s">
        <v>9</v>
      </c>
      <c r="T350" s="25" t="str">
        <f t="shared" si="101"/>
        <v>De Arquitetura</v>
      </c>
      <c r="U350" s="25" t="str">
        <f t="shared" si="102"/>
        <v>Elementos Projetados</v>
      </c>
      <c r="V350" s="25" t="str">
        <f t="shared" si="103"/>
        <v>Classes Projetuais</v>
      </c>
      <c r="W350" s="19" t="s">
        <v>74</v>
      </c>
      <c r="X350" s="57" t="str">
        <f t="shared" si="104"/>
        <v>Key-ARQ-350</v>
      </c>
      <c r="Y350" s="19" t="s">
        <v>1390</v>
      </c>
      <c r="Z350" s="25" t="s">
        <v>9</v>
      </c>
      <c r="AA350" s="25" t="s">
        <v>1322</v>
      </c>
      <c r="AB350" s="25" t="s">
        <v>9</v>
      </c>
      <c r="AC350" s="25" t="s">
        <v>1559</v>
      </c>
      <c r="AD350" s="25" t="s">
        <v>9</v>
      </c>
    </row>
    <row r="351" spans="1:30" ht="6.65" customHeight="1" x14ac:dyDescent="0.4">
      <c r="A351" s="21">
        <v>351</v>
      </c>
      <c r="B351" s="1" t="s">
        <v>43</v>
      </c>
      <c r="C351" s="1" t="s">
        <v>1514</v>
      </c>
      <c r="D351" s="1" t="s">
        <v>1515</v>
      </c>
      <c r="E351" s="1" t="s">
        <v>1547</v>
      </c>
      <c r="F351" s="23" t="s">
        <v>1576</v>
      </c>
      <c r="G351" s="7" t="s">
        <v>9</v>
      </c>
      <c r="H351" s="83" t="s">
        <v>9</v>
      </c>
      <c r="I351" s="83" t="s">
        <v>9</v>
      </c>
      <c r="J351" s="7" t="s">
        <v>9</v>
      </c>
      <c r="K351" s="7" t="s">
        <v>9</v>
      </c>
      <c r="L351" s="24" t="str">
        <f t="shared" si="97"/>
        <v>De.Arquitetura</v>
      </c>
      <c r="M351" s="24" t="str">
        <f t="shared" si="98"/>
        <v>Elementos.Projetados</v>
      </c>
      <c r="N351" s="24" t="str">
        <f t="shared" si="99"/>
        <v>Classes Projetuais</v>
      </c>
      <c r="O351" s="24" t="str">
        <f t="shared" si="100"/>
        <v>Acesso</v>
      </c>
      <c r="P351" s="19" t="s">
        <v>1532</v>
      </c>
      <c r="Q351" s="19" t="str">
        <f t="shared" si="105"/>
        <v>Proyecto de Acceso.</v>
      </c>
      <c r="R351" s="19" t="s">
        <v>1942</v>
      </c>
      <c r="S351" s="43" t="s">
        <v>9</v>
      </c>
      <c r="T351" s="25" t="str">
        <f t="shared" si="101"/>
        <v>De Arquitetura</v>
      </c>
      <c r="U351" s="25" t="str">
        <f t="shared" si="102"/>
        <v>Elementos Projetados</v>
      </c>
      <c r="V351" s="25" t="str">
        <f t="shared" si="103"/>
        <v>Classes Projetuais</v>
      </c>
      <c r="W351" s="19" t="s">
        <v>74</v>
      </c>
      <c r="X351" s="57" t="str">
        <f t="shared" si="104"/>
        <v>Key-ARQ-351</v>
      </c>
      <c r="Y351" s="19" t="s">
        <v>1390</v>
      </c>
      <c r="Z351" s="25" t="s">
        <v>9</v>
      </c>
      <c r="AA351" s="25" t="s">
        <v>1322</v>
      </c>
      <c r="AB351" s="25" t="s">
        <v>9</v>
      </c>
      <c r="AC351" s="25" t="s">
        <v>1559</v>
      </c>
      <c r="AD351" s="25" t="s">
        <v>9</v>
      </c>
    </row>
    <row r="352" spans="1:30" ht="6.65" customHeight="1" x14ac:dyDescent="0.4">
      <c r="A352" s="21">
        <v>352</v>
      </c>
      <c r="B352" s="1" t="s">
        <v>43</v>
      </c>
      <c r="C352" s="1" t="s">
        <v>1514</v>
      </c>
      <c r="D352" s="1" t="s">
        <v>1515</v>
      </c>
      <c r="E352" s="1" t="s">
        <v>1547</v>
      </c>
      <c r="F352" s="23" t="s">
        <v>1596</v>
      </c>
      <c r="G352" s="7" t="s">
        <v>9</v>
      </c>
      <c r="H352" s="83" t="s">
        <v>9</v>
      </c>
      <c r="I352" s="83" t="s">
        <v>9</v>
      </c>
      <c r="J352" s="7" t="s">
        <v>9</v>
      </c>
      <c r="K352" s="7" t="s">
        <v>9</v>
      </c>
      <c r="L352" s="24" t="str">
        <f t="shared" si="97"/>
        <v>De.Arquitetura</v>
      </c>
      <c r="M352" s="24" t="str">
        <f t="shared" si="98"/>
        <v>Elementos.Projetados</v>
      </c>
      <c r="N352" s="24" t="str">
        <f t="shared" si="99"/>
        <v>Classes Projetuais</v>
      </c>
      <c r="O352" s="24" t="str">
        <f t="shared" si="100"/>
        <v>Layout Espacial</v>
      </c>
      <c r="P352" s="19" t="s">
        <v>1533</v>
      </c>
      <c r="Q352" s="19" t="str">
        <f t="shared" si="105"/>
        <v>Diseño de maquetación.</v>
      </c>
      <c r="R352" s="19" t="s">
        <v>1943</v>
      </c>
      <c r="S352" s="43" t="s">
        <v>9</v>
      </c>
      <c r="T352" s="25" t="str">
        <f t="shared" si="101"/>
        <v>De Arquitetura</v>
      </c>
      <c r="U352" s="25" t="str">
        <f t="shared" si="102"/>
        <v>Elementos Projetados</v>
      </c>
      <c r="V352" s="25" t="str">
        <f t="shared" si="103"/>
        <v>Classes Projetuais</v>
      </c>
      <c r="W352" s="19" t="s">
        <v>74</v>
      </c>
      <c r="X352" s="57" t="str">
        <f t="shared" si="104"/>
        <v>Key-ARQ-352</v>
      </c>
      <c r="Y352" s="19" t="s">
        <v>1388</v>
      </c>
      <c r="Z352" s="25" t="s">
        <v>9</v>
      </c>
      <c r="AA352" s="25" t="s">
        <v>1325</v>
      </c>
      <c r="AB352" s="25" t="s">
        <v>9</v>
      </c>
      <c r="AC352" s="25" t="s">
        <v>1562</v>
      </c>
      <c r="AD352" s="25" t="s">
        <v>9</v>
      </c>
    </row>
    <row r="353" spans="1:30" ht="6.65" customHeight="1" x14ac:dyDescent="0.4">
      <c r="A353" s="21">
        <v>353</v>
      </c>
      <c r="B353" s="1" t="s">
        <v>43</v>
      </c>
      <c r="C353" s="1" t="s">
        <v>1514</v>
      </c>
      <c r="D353" s="1" t="s">
        <v>1515</v>
      </c>
      <c r="E353" s="1" t="s">
        <v>1547</v>
      </c>
      <c r="F353" s="23" t="s">
        <v>1577</v>
      </c>
      <c r="G353" s="7" t="s">
        <v>9</v>
      </c>
      <c r="H353" s="83" t="s">
        <v>9</v>
      </c>
      <c r="I353" s="83" t="s">
        <v>9</v>
      </c>
      <c r="J353" s="7" t="s">
        <v>9</v>
      </c>
      <c r="K353" s="7" t="s">
        <v>9</v>
      </c>
      <c r="L353" s="24" t="str">
        <f t="shared" si="97"/>
        <v>De.Arquitetura</v>
      </c>
      <c r="M353" s="24" t="str">
        <f t="shared" si="98"/>
        <v>Elementos.Projetados</v>
      </c>
      <c r="N353" s="24" t="str">
        <f t="shared" si="99"/>
        <v>Classes Projetuais</v>
      </c>
      <c r="O353" s="24" t="str">
        <f t="shared" si="100"/>
        <v>Acabamento</v>
      </c>
      <c r="P353" s="19" t="s">
        <v>1534</v>
      </c>
      <c r="Q353" s="19" t="str">
        <f t="shared" si="105"/>
        <v>Proyecto final.</v>
      </c>
      <c r="R353" s="19" t="s">
        <v>1944</v>
      </c>
      <c r="S353" s="43" t="s">
        <v>9</v>
      </c>
      <c r="T353" s="25" t="str">
        <f t="shared" si="101"/>
        <v>De Arquitetura</v>
      </c>
      <c r="U353" s="25" t="str">
        <f t="shared" si="102"/>
        <v>Elementos Projetados</v>
      </c>
      <c r="V353" s="25" t="str">
        <f t="shared" si="103"/>
        <v>Classes Projetuais</v>
      </c>
      <c r="W353" s="19" t="s">
        <v>74</v>
      </c>
      <c r="X353" s="57" t="str">
        <f t="shared" si="104"/>
        <v>Key-ARQ-353</v>
      </c>
      <c r="Y353" s="19" t="s">
        <v>1539</v>
      </c>
      <c r="Z353" s="25" t="s">
        <v>9</v>
      </c>
      <c r="AA353" s="25" t="s">
        <v>1321</v>
      </c>
      <c r="AB353" s="25" t="s">
        <v>9</v>
      </c>
      <c r="AC353" s="25" t="s">
        <v>1568</v>
      </c>
      <c r="AD353" s="25" t="s">
        <v>9</v>
      </c>
    </row>
    <row r="354" spans="1:30" s="87" customFormat="1" ht="6.75" customHeight="1" x14ac:dyDescent="0.4">
      <c r="A354" s="21">
        <v>354</v>
      </c>
      <c r="B354" s="1" t="s">
        <v>1969</v>
      </c>
      <c r="C354" s="71" t="s">
        <v>1970</v>
      </c>
      <c r="D354" s="71" t="s">
        <v>1971</v>
      </c>
      <c r="E354" s="71" t="s">
        <v>1972</v>
      </c>
      <c r="F354" s="71" t="s">
        <v>1948</v>
      </c>
      <c r="G354" s="86" t="s">
        <v>9</v>
      </c>
      <c r="H354" s="86" t="s">
        <v>9</v>
      </c>
      <c r="I354" s="86" t="s">
        <v>9</v>
      </c>
      <c r="J354" s="86" t="s">
        <v>9</v>
      </c>
      <c r="K354" s="86" t="s">
        <v>9</v>
      </c>
      <c r="L354" s="24" t="s">
        <v>1970</v>
      </c>
      <c r="M354" s="24" t="s">
        <v>1971</v>
      </c>
      <c r="N354" s="24" t="s">
        <v>1973</v>
      </c>
      <c r="O354" s="24" t="s">
        <v>1974</v>
      </c>
      <c r="P354" s="19" t="s">
        <v>1949</v>
      </c>
      <c r="Q354" s="19" t="s">
        <v>1950</v>
      </c>
      <c r="R354" s="19" t="s">
        <v>1951</v>
      </c>
      <c r="S354" s="43" t="s">
        <v>9</v>
      </c>
      <c r="T354" s="19" t="s">
        <v>1975</v>
      </c>
      <c r="U354" s="19" t="s">
        <v>1976</v>
      </c>
      <c r="V354" s="25" t="s">
        <v>1973</v>
      </c>
      <c r="W354" s="19" t="s">
        <v>74</v>
      </c>
      <c r="X354" s="57" t="str">
        <f t="shared" si="104"/>
        <v>Key-ARQ-354</v>
      </c>
      <c r="Y354" s="80" t="s">
        <v>9</v>
      </c>
      <c r="Z354" s="80" t="s">
        <v>9</v>
      </c>
      <c r="AA354" s="80" t="s">
        <v>9</v>
      </c>
      <c r="AB354" s="80" t="s">
        <v>9</v>
      </c>
      <c r="AC354" s="80" t="s">
        <v>9</v>
      </c>
      <c r="AD354" s="80" t="s">
        <v>9</v>
      </c>
    </row>
    <row r="355" spans="1:30" s="87" customFormat="1" ht="6.75" customHeight="1" x14ac:dyDescent="0.4">
      <c r="A355" s="21">
        <v>355</v>
      </c>
      <c r="B355" s="1" t="s">
        <v>1969</v>
      </c>
      <c r="C355" s="71" t="s">
        <v>1970</v>
      </c>
      <c r="D355" s="71" t="s">
        <v>1971</v>
      </c>
      <c r="E355" s="71" t="s">
        <v>1972</v>
      </c>
      <c r="F355" s="71" t="s">
        <v>1952</v>
      </c>
      <c r="G355" s="86" t="s">
        <v>9</v>
      </c>
      <c r="H355" s="86" t="s">
        <v>9</v>
      </c>
      <c r="I355" s="86" t="s">
        <v>9</v>
      </c>
      <c r="J355" s="86" t="s">
        <v>9</v>
      </c>
      <c r="K355" s="86" t="s">
        <v>9</v>
      </c>
      <c r="L355" s="24" t="s">
        <v>1970</v>
      </c>
      <c r="M355" s="24" t="s">
        <v>1971</v>
      </c>
      <c r="N355" s="24" t="s">
        <v>1973</v>
      </c>
      <c r="O355" s="24" t="s">
        <v>1977</v>
      </c>
      <c r="P355" s="19" t="s">
        <v>1953</v>
      </c>
      <c r="Q355" s="19" t="s">
        <v>1954</v>
      </c>
      <c r="R355" s="19" t="s">
        <v>1955</v>
      </c>
      <c r="S355" s="43" t="s">
        <v>9</v>
      </c>
      <c r="T355" s="19" t="s">
        <v>1975</v>
      </c>
      <c r="U355" s="19" t="s">
        <v>1976</v>
      </c>
      <c r="V355" s="25" t="s">
        <v>1973</v>
      </c>
      <c r="W355" s="19" t="s">
        <v>74</v>
      </c>
      <c r="X355" s="57" t="str">
        <f t="shared" si="104"/>
        <v>Key-ARQ-355</v>
      </c>
      <c r="Y355" s="80" t="s">
        <v>9</v>
      </c>
      <c r="Z355" s="80" t="s">
        <v>9</v>
      </c>
      <c r="AA355" s="80" t="s">
        <v>9</v>
      </c>
      <c r="AB355" s="80" t="s">
        <v>9</v>
      </c>
      <c r="AC355" s="80" t="s">
        <v>9</v>
      </c>
      <c r="AD355" s="80" t="s">
        <v>9</v>
      </c>
    </row>
    <row r="356" spans="1:30" s="87" customFormat="1" ht="6.75" customHeight="1" x14ac:dyDescent="0.4">
      <c r="A356" s="21">
        <v>356</v>
      </c>
      <c r="B356" s="1" t="s">
        <v>1969</v>
      </c>
      <c r="C356" s="71" t="s">
        <v>1970</v>
      </c>
      <c r="D356" s="71" t="s">
        <v>1971</v>
      </c>
      <c r="E356" s="71" t="s">
        <v>1972</v>
      </c>
      <c r="F356" s="71" t="s">
        <v>1956</v>
      </c>
      <c r="G356" s="86" t="s">
        <v>9</v>
      </c>
      <c r="H356" s="86" t="s">
        <v>9</v>
      </c>
      <c r="I356" s="86" t="s">
        <v>9</v>
      </c>
      <c r="J356" s="86" t="s">
        <v>9</v>
      </c>
      <c r="K356" s="86" t="s">
        <v>9</v>
      </c>
      <c r="L356" s="24" t="s">
        <v>1970</v>
      </c>
      <c r="M356" s="24" t="s">
        <v>1971</v>
      </c>
      <c r="N356" s="24" t="s">
        <v>1973</v>
      </c>
      <c r="O356" s="24" t="s">
        <v>1978</v>
      </c>
      <c r="P356" s="19" t="s">
        <v>1957</v>
      </c>
      <c r="Q356" s="19" t="s">
        <v>1958</v>
      </c>
      <c r="R356" s="19" t="s">
        <v>1959</v>
      </c>
      <c r="S356" s="43" t="s">
        <v>9</v>
      </c>
      <c r="T356" s="19" t="s">
        <v>1975</v>
      </c>
      <c r="U356" s="19" t="s">
        <v>1976</v>
      </c>
      <c r="V356" s="25" t="s">
        <v>1973</v>
      </c>
      <c r="W356" s="19" t="s">
        <v>74</v>
      </c>
      <c r="X356" s="57" t="str">
        <f t="shared" si="104"/>
        <v>Key-ARQ-356</v>
      </c>
      <c r="Y356" s="80" t="s">
        <v>9</v>
      </c>
      <c r="Z356" s="80" t="s">
        <v>9</v>
      </c>
      <c r="AA356" s="80" t="s">
        <v>9</v>
      </c>
      <c r="AB356" s="80" t="s">
        <v>9</v>
      </c>
      <c r="AC356" s="80" t="s">
        <v>9</v>
      </c>
      <c r="AD356" s="80" t="s">
        <v>9</v>
      </c>
    </row>
    <row r="357" spans="1:30" s="87" customFormat="1" ht="6.75" customHeight="1" x14ac:dyDescent="0.4">
      <c r="A357" s="21">
        <v>357</v>
      </c>
      <c r="B357" s="1" t="s">
        <v>1969</v>
      </c>
      <c r="C357" s="71" t="s">
        <v>1970</v>
      </c>
      <c r="D357" s="71" t="s">
        <v>1971</v>
      </c>
      <c r="E357" s="71" t="s">
        <v>1972</v>
      </c>
      <c r="F357" s="71" t="s">
        <v>1960</v>
      </c>
      <c r="G357" s="86" t="s">
        <v>9</v>
      </c>
      <c r="H357" s="86" t="s">
        <v>9</v>
      </c>
      <c r="I357" s="86" t="s">
        <v>9</v>
      </c>
      <c r="J357" s="86" t="s">
        <v>9</v>
      </c>
      <c r="K357" s="86" t="s">
        <v>9</v>
      </c>
      <c r="L357" s="24" t="s">
        <v>1970</v>
      </c>
      <c r="M357" s="24" t="s">
        <v>1971</v>
      </c>
      <c r="N357" s="24" t="s">
        <v>1973</v>
      </c>
      <c r="O357" s="24" t="s">
        <v>1979</v>
      </c>
      <c r="P357" s="19" t="s">
        <v>1961</v>
      </c>
      <c r="Q357" s="19" t="s">
        <v>1962</v>
      </c>
      <c r="R357" s="19" t="s">
        <v>1963</v>
      </c>
      <c r="S357" s="43" t="s">
        <v>9</v>
      </c>
      <c r="T357" s="19" t="s">
        <v>1975</v>
      </c>
      <c r="U357" s="19" t="s">
        <v>1976</v>
      </c>
      <c r="V357" s="25" t="s">
        <v>1973</v>
      </c>
      <c r="W357" s="19" t="s">
        <v>74</v>
      </c>
      <c r="X357" s="57" t="str">
        <f t="shared" si="104"/>
        <v>Key-ARQ-357</v>
      </c>
      <c r="Y357" s="80" t="s">
        <v>9</v>
      </c>
      <c r="Z357" s="80" t="s">
        <v>9</v>
      </c>
      <c r="AA357" s="80" t="s">
        <v>9</v>
      </c>
      <c r="AB357" s="80" t="s">
        <v>9</v>
      </c>
      <c r="AC357" s="80" t="s">
        <v>9</v>
      </c>
      <c r="AD357" s="80" t="s">
        <v>9</v>
      </c>
    </row>
    <row r="358" spans="1:30" s="87" customFormat="1" ht="6.75" customHeight="1" x14ac:dyDescent="0.4">
      <c r="A358" s="21">
        <v>358</v>
      </c>
      <c r="B358" s="1" t="s">
        <v>1969</v>
      </c>
      <c r="C358" s="71" t="s">
        <v>1970</v>
      </c>
      <c r="D358" s="71" t="s">
        <v>1980</v>
      </c>
      <c r="E358" s="71" t="s">
        <v>1981</v>
      </c>
      <c r="F358" s="71" t="s">
        <v>1964</v>
      </c>
      <c r="G358" s="86" t="s">
        <v>9</v>
      </c>
      <c r="H358" s="86" t="s">
        <v>9</v>
      </c>
      <c r="I358" s="86" t="s">
        <v>9</v>
      </c>
      <c r="J358" s="86" t="s">
        <v>9</v>
      </c>
      <c r="K358" s="86" t="s">
        <v>9</v>
      </c>
      <c r="L358" s="24" t="s">
        <v>1970</v>
      </c>
      <c r="M358" s="24" t="s">
        <v>1980</v>
      </c>
      <c r="N358" s="24" t="s">
        <v>1982</v>
      </c>
      <c r="O358" s="24" t="s">
        <v>1983</v>
      </c>
      <c r="P358" s="19" t="s">
        <v>1965</v>
      </c>
      <c r="Q358" s="19" t="s">
        <v>1966</v>
      </c>
      <c r="R358" s="19" t="s">
        <v>1967</v>
      </c>
      <c r="S358" s="43" t="s">
        <v>9</v>
      </c>
      <c r="T358" s="19" t="s">
        <v>1975</v>
      </c>
      <c r="U358" s="19" t="s">
        <v>1984</v>
      </c>
      <c r="V358" s="25" t="s">
        <v>1982</v>
      </c>
      <c r="W358" s="19" t="s">
        <v>74</v>
      </c>
      <c r="X358" s="57" t="str">
        <f t="shared" si="104"/>
        <v>Key-ARQ-358</v>
      </c>
      <c r="Y358" s="80" t="s">
        <v>9</v>
      </c>
      <c r="Z358" s="80" t="s">
        <v>9</v>
      </c>
      <c r="AA358" s="80" t="s">
        <v>9</v>
      </c>
      <c r="AB358" s="80" t="s">
        <v>9</v>
      </c>
      <c r="AC358" s="80" t="s">
        <v>9</v>
      </c>
      <c r="AD358" s="80" t="s">
        <v>9</v>
      </c>
    </row>
  </sheetData>
  <sortState xmlns:xlrd2="http://schemas.microsoft.com/office/spreadsheetml/2017/richdata2" ref="A2:AC353">
    <sortCondition ref="A1:A353"/>
  </sortState>
  <phoneticPr fontId="1" type="noConversion"/>
  <conditionalFormatting sqref="F17:F36">
    <cfRule type="duplicateValues" dxfId="57" priority="487"/>
  </conditionalFormatting>
  <conditionalFormatting sqref="F273">
    <cfRule type="duplicateValues" dxfId="56" priority="92"/>
  </conditionalFormatting>
  <conditionalFormatting sqref="F274:F275 F277:F282 F1:F16 F284:F353 F359:F1048576 F37:F272">
    <cfRule type="duplicateValues" dxfId="55" priority="658"/>
  </conditionalFormatting>
  <conditionalFormatting sqref="F274:F275 F277:F282 F284:F353 F359:F1048576 F1:F272">
    <cfRule type="duplicateValues" dxfId="54" priority="666"/>
  </conditionalFormatting>
  <conditionalFormatting sqref="F276">
    <cfRule type="duplicateValues" dxfId="53" priority="84"/>
  </conditionalFormatting>
  <conditionalFormatting sqref="F283">
    <cfRule type="duplicateValues" dxfId="52" priority="546"/>
  </conditionalFormatting>
  <conditionalFormatting sqref="F354:F358">
    <cfRule type="duplicateValues" dxfId="51" priority="1"/>
    <cfRule type="duplicateValues" dxfId="50" priority="2"/>
  </conditionalFormatting>
  <conditionalFormatting sqref="F359:F1048576 F1:F353">
    <cfRule type="duplicateValues" dxfId="49" priority="586"/>
  </conditionalFormatting>
  <conditionalFormatting sqref="F359:F1048576">
    <cfRule type="duplicateValues" dxfId="48" priority="673"/>
  </conditionalFormatting>
  <conditionalFormatting sqref="S1:X1 A1:F2 AA1:AA229 L1:R353 AE1:XFD353 T2:W352 B3:F353 A3:A358 AA242:AA244 AA251:AA345 T353:V353 W353:W358 A359:F1048576 L359:X1048576 AE359:XFD1048576">
    <cfRule type="cellIs" dxfId="47" priority="26" operator="equal">
      <formula>"null"</formula>
    </cfRule>
  </conditionalFormatting>
  <conditionalFormatting sqref="X359:X1048576 X1">
    <cfRule type="duplicateValues" dxfId="46" priority="653"/>
  </conditionalFormatting>
  <conditionalFormatting sqref="AA347:AA353 AA359:AA1048576">
    <cfRule type="cellIs" dxfId="45" priority="10" operator="equal">
      <formula>"null"</formula>
    </cfRule>
  </conditionalFormatting>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
  <sheetViews>
    <sheetView zoomScale="180" zoomScaleNormal="180" workbookViewId="0">
      <selection sqref="A1:A1048576"/>
    </sheetView>
  </sheetViews>
  <sheetFormatPr defaultColWidth="5.84375" defaultRowHeight="7.75" x14ac:dyDescent="0.2"/>
  <cols>
    <col min="1" max="1" width="2.53515625" style="9" customWidth="1"/>
    <col min="2" max="10" width="5.84375" style="10"/>
    <col min="11" max="16384" width="5.84375" style="8"/>
  </cols>
  <sheetData>
    <row r="1" spans="1:21" s="4" customFormat="1" x14ac:dyDescent="0.2">
      <c r="A1" s="2" t="s">
        <v>11</v>
      </c>
      <c r="B1" s="3" t="s">
        <v>12</v>
      </c>
      <c r="C1" s="3" t="s">
        <v>13</v>
      </c>
      <c r="D1" s="3" t="s">
        <v>14</v>
      </c>
      <c r="E1" s="3" t="s">
        <v>15</v>
      </c>
      <c r="F1" s="3" t="s">
        <v>16</v>
      </c>
      <c r="G1" s="3" t="s">
        <v>17</v>
      </c>
      <c r="H1" s="3" t="s">
        <v>18</v>
      </c>
      <c r="I1" s="3" t="s">
        <v>19</v>
      </c>
      <c r="J1" s="3" t="s">
        <v>20</v>
      </c>
      <c r="K1" s="3" t="s">
        <v>21</v>
      </c>
      <c r="L1" s="3" t="s">
        <v>22</v>
      </c>
      <c r="M1" s="3" t="s">
        <v>23</v>
      </c>
      <c r="N1" s="3" t="s">
        <v>24</v>
      </c>
      <c r="O1" s="3" t="s">
        <v>25</v>
      </c>
      <c r="P1" s="3" t="s">
        <v>26</v>
      </c>
      <c r="Q1" s="3" t="s">
        <v>27</v>
      </c>
      <c r="R1" s="3" t="s">
        <v>28</v>
      </c>
      <c r="S1" s="3" t="s">
        <v>29</v>
      </c>
      <c r="T1" s="3" t="s">
        <v>30</v>
      </c>
      <c r="U1" s="5" t="s">
        <v>31</v>
      </c>
    </row>
    <row r="2" spans="1:21" s="4" customFormat="1" ht="10.5" customHeight="1" x14ac:dyDescent="0.2">
      <c r="A2" s="6">
        <v>2</v>
      </c>
      <c r="B2" s="7" t="s">
        <v>9</v>
      </c>
      <c r="C2" s="7" t="s">
        <v>9</v>
      </c>
      <c r="D2" s="7" t="s">
        <v>9</v>
      </c>
      <c r="E2" s="7" t="s">
        <v>9</v>
      </c>
      <c r="F2" s="7" t="s">
        <v>9</v>
      </c>
      <c r="G2" s="7" t="s">
        <v>9</v>
      </c>
      <c r="H2" s="7" t="s">
        <v>9</v>
      </c>
      <c r="I2" s="7" t="s">
        <v>9</v>
      </c>
      <c r="J2" s="7" t="s">
        <v>9</v>
      </c>
      <c r="K2" s="7" t="s">
        <v>9</v>
      </c>
      <c r="L2" s="7" t="s">
        <v>9</v>
      </c>
      <c r="M2" s="7" t="s">
        <v>9</v>
      </c>
      <c r="N2" s="7" t="s">
        <v>9</v>
      </c>
      <c r="O2" s="7" t="s">
        <v>9</v>
      </c>
      <c r="P2" s="7" t="s">
        <v>9</v>
      </c>
      <c r="Q2" s="7" t="s">
        <v>9</v>
      </c>
      <c r="R2" s="7" t="s">
        <v>9</v>
      </c>
      <c r="S2" s="7" t="s">
        <v>9</v>
      </c>
      <c r="T2" s="7" t="s">
        <v>9</v>
      </c>
      <c r="U2" s="7" t="s">
        <v>9</v>
      </c>
    </row>
  </sheetData>
  <conditionalFormatting sqref="A1:XFD1048576">
    <cfRule type="cellIs" dxfId="44" priority="2" operator="equal">
      <formula>"null"</formula>
    </cfRule>
  </conditionalFormatting>
  <pageMargins left="0.51180555555555596" right="0.51180555555555596" top="0.78749999999999998" bottom="0.78749999999999998"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E5EC8-1387-4A67-960C-C64BD1326958}">
  <dimension ref="A1:G2"/>
  <sheetViews>
    <sheetView zoomScale="190" zoomScaleNormal="190" workbookViewId="0">
      <pane ySplit="1" topLeftCell="A2" activePane="bottomLeft" state="frozen"/>
      <selection activeCell="B1" sqref="B1"/>
      <selection pane="bottomLeft" activeCell="C1" sqref="C1"/>
    </sheetView>
  </sheetViews>
  <sheetFormatPr defaultColWidth="12.69140625" defaultRowHeight="8.25" customHeight="1" x14ac:dyDescent="0.4"/>
  <cols>
    <col min="1" max="1" width="2.15234375" style="16" bestFit="1" customWidth="1"/>
    <col min="2" max="2" width="9.15234375" style="15" bestFit="1" customWidth="1"/>
    <col min="3" max="3" width="11.84375" style="15" bestFit="1" customWidth="1"/>
    <col min="4" max="7" width="12.3828125" style="15" bestFit="1" customWidth="1"/>
  </cols>
  <sheetData>
    <row r="1" spans="1:7" ht="28.2" customHeight="1" x14ac:dyDescent="0.4">
      <c r="A1" s="20">
        <v>0</v>
      </c>
      <c r="B1" s="17" t="s">
        <v>69</v>
      </c>
      <c r="C1" s="18" t="s">
        <v>70</v>
      </c>
      <c r="D1" s="18" t="s">
        <v>71</v>
      </c>
      <c r="E1" s="18" t="s">
        <v>71</v>
      </c>
      <c r="F1" s="18" t="s">
        <v>71</v>
      </c>
      <c r="G1" s="18" t="s">
        <v>71</v>
      </c>
    </row>
    <row r="2" spans="1:7" ht="8.25" customHeight="1" x14ac:dyDescent="0.4">
      <c r="A2" s="21">
        <v>2</v>
      </c>
      <c r="B2" s="19" t="s">
        <v>9</v>
      </c>
      <c r="C2" s="19" t="s">
        <v>9</v>
      </c>
      <c r="D2" s="19" t="s">
        <v>9</v>
      </c>
      <c r="E2" s="19" t="s">
        <v>9</v>
      </c>
      <c r="F2" s="19" t="s">
        <v>9</v>
      </c>
      <c r="G2" s="19" t="s">
        <v>9</v>
      </c>
    </row>
  </sheetData>
  <phoneticPr fontId="1" type="noConversion"/>
  <conditionalFormatting sqref="A1:G1 B2:G1048576">
    <cfRule type="containsText" dxfId="43" priority="5" operator="containsText" text="null">
      <formula>NOT(ISERROR(SEARCH("null",A1)))</formula>
    </cfRule>
  </conditionalFormatting>
  <conditionalFormatting sqref="B3:B1048576 A1:B1">
    <cfRule type="duplicateValues" dxfId="42" priority="6"/>
  </conditionalFormatting>
  <conditionalFormatting sqref="B3:B1048576 B1">
    <cfRule type="duplicateValues" dxfId="41" priority="4"/>
  </conditionalFormatting>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26B82-2E19-47C6-9DDF-914E7B26E6D0}">
  <dimension ref="A1:AW132"/>
  <sheetViews>
    <sheetView tabSelected="1" zoomScale="265" zoomScaleNormal="265" workbookViewId="0">
      <pane ySplit="1" topLeftCell="A2" activePane="bottomLeft" state="frozen"/>
      <selection pane="bottomLeft" activeCell="C2" sqref="C2"/>
    </sheetView>
  </sheetViews>
  <sheetFormatPr defaultColWidth="9.3046875" defaultRowHeight="6.75" customHeight="1" x14ac:dyDescent="0.4"/>
  <cols>
    <col min="1" max="1" width="1.84375" style="67" bestFit="1" customWidth="1"/>
    <col min="2" max="2" width="7.3828125" style="42" customWidth="1"/>
    <col min="3" max="3" width="9.3828125" style="42" bestFit="1" customWidth="1"/>
    <col min="4" max="4" width="6.84375" style="42" bestFit="1" customWidth="1"/>
    <col min="5" max="5" width="5.84375" style="42" bestFit="1" customWidth="1"/>
    <col min="6" max="6" width="6.3046875" style="42" bestFit="1" customWidth="1"/>
    <col min="7" max="7" width="5.69140625" style="42" bestFit="1" customWidth="1"/>
    <col min="8" max="8" width="6.3828125" style="42" bestFit="1" customWidth="1"/>
    <col min="9" max="9" width="4.84375" style="42" bestFit="1" customWidth="1"/>
    <col min="10" max="10" width="4" style="26" bestFit="1" customWidth="1"/>
    <col min="11" max="11" width="72.69140625" style="26" bestFit="1" customWidth="1"/>
    <col min="12" max="12" width="4" style="42" bestFit="1" customWidth="1"/>
    <col min="13" max="13" width="56.3046875" style="42" bestFit="1" customWidth="1"/>
    <col min="14" max="14" width="8.84375" style="42" bestFit="1" customWidth="1"/>
    <col min="15" max="16" width="7.3828125" style="42" bestFit="1" customWidth="1"/>
    <col min="17" max="17" width="7.84375" style="41" bestFit="1" customWidth="1"/>
    <col min="18" max="18" width="5.3828125" style="42" bestFit="1" customWidth="1"/>
    <col min="19" max="19" width="3.15234375" style="67" bestFit="1" customWidth="1"/>
    <col min="20" max="20" width="4.84375" style="42" bestFit="1" customWidth="1"/>
    <col min="21" max="21" width="2.84375" style="67" bestFit="1" customWidth="1"/>
    <col min="22" max="22" width="7.3828125" style="42" bestFit="1" customWidth="1"/>
    <col min="23" max="23" width="8.69140625" style="42" bestFit="1" customWidth="1"/>
    <col min="24" max="24" width="5.84375" style="42" bestFit="1" customWidth="1"/>
    <col min="25" max="25" width="6.69140625" style="42" bestFit="1" customWidth="1"/>
    <col min="26" max="26" width="11.69140625" style="42" bestFit="1" customWidth="1"/>
    <col min="27" max="27" width="5.15234375" style="67" bestFit="1" customWidth="1"/>
    <col min="28" max="28" width="10.3046875" style="42" bestFit="1" customWidth="1"/>
    <col min="29" max="29" width="2.3828125" style="67" bestFit="1" customWidth="1"/>
    <col min="30" max="30" width="8.3828125" style="42" bestFit="1" customWidth="1"/>
    <col min="31" max="31" width="2.3828125" style="67" bestFit="1" customWidth="1"/>
    <col min="32" max="32" width="7.69140625" style="42" bestFit="1" customWidth="1"/>
    <col min="33" max="33" width="2.3828125" style="67" bestFit="1" customWidth="1"/>
    <col min="34" max="34" width="7.69140625" style="42" bestFit="1" customWidth="1"/>
    <col min="35" max="35" width="2.3828125" style="67" bestFit="1" customWidth="1"/>
    <col min="36" max="36" width="7.69140625" style="42" bestFit="1" customWidth="1"/>
    <col min="37" max="37" width="2.3828125" style="67" bestFit="1" customWidth="1"/>
    <col min="38" max="38" width="5.3828125" style="42" bestFit="1" customWidth="1"/>
    <col min="39" max="39" width="4.84375" style="67" bestFit="1" customWidth="1"/>
    <col min="40" max="40" width="5.84375" style="42" bestFit="1" customWidth="1"/>
    <col min="41" max="41" width="11.69140625" style="42" bestFit="1" customWidth="1"/>
    <col min="42" max="42" width="5.69140625" style="42" bestFit="1" customWidth="1"/>
    <col min="43" max="43" width="36.84375" style="42" bestFit="1" customWidth="1"/>
    <col min="44" max="44" width="3.84375" style="42" bestFit="1" customWidth="1"/>
    <col min="45" max="45" width="13.15234375" style="42" bestFit="1" customWidth="1"/>
    <col min="46" max="46" width="4.84375" style="42" bestFit="1" customWidth="1"/>
    <col min="47" max="47" width="7.15234375" style="67" bestFit="1" customWidth="1"/>
    <col min="48" max="48" width="4.69140625" style="42" bestFit="1" customWidth="1"/>
    <col min="49" max="49" width="7.3828125" style="67" bestFit="1" customWidth="1"/>
    <col min="50" max="16384" width="9.3046875" style="42"/>
  </cols>
  <sheetData>
    <row r="1" spans="1:49" s="59" customFormat="1" ht="18.75" customHeight="1" x14ac:dyDescent="0.4">
      <c r="A1" s="65" t="s">
        <v>10</v>
      </c>
      <c r="B1" s="32" t="s">
        <v>64</v>
      </c>
      <c r="C1" s="32" t="s">
        <v>65</v>
      </c>
      <c r="D1" s="32" t="s">
        <v>66</v>
      </c>
      <c r="E1" s="32" t="s">
        <v>45</v>
      </c>
      <c r="F1" s="32" t="s">
        <v>66</v>
      </c>
      <c r="G1" s="32" t="s">
        <v>45</v>
      </c>
      <c r="H1" s="32" t="s">
        <v>66</v>
      </c>
      <c r="I1" s="32" t="s">
        <v>45</v>
      </c>
      <c r="J1" s="68" t="s">
        <v>66</v>
      </c>
      <c r="K1" s="69" t="s">
        <v>1492</v>
      </c>
      <c r="L1" s="32" t="s">
        <v>66</v>
      </c>
      <c r="M1" s="32" t="s">
        <v>45</v>
      </c>
      <c r="N1" s="32" t="s">
        <v>66</v>
      </c>
      <c r="O1" s="32" t="s">
        <v>45</v>
      </c>
      <c r="P1" s="32" t="s">
        <v>66</v>
      </c>
      <c r="Q1" s="31" t="s">
        <v>45</v>
      </c>
      <c r="R1" s="32" t="s">
        <v>66</v>
      </c>
      <c r="S1" s="65" t="s">
        <v>45</v>
      </c>
      <c r="T1" s="32" t="s">
        <v>66</v>
      </c>
      <c r="U1" s="65" t="s">
        <v>45</v>
      </c>
      <c r="V1" s="32" t="s">
        <v>66</v>
      </c>
      <c r="W1" s="32" t="s">
        <v>45</v>
      </c>
      <c r="X1" s="32" t="s">
        <v>66</v>
      </c>
      <c r="Y1" s="32" t="s">
        <v>45</v>
      </c>
      <c r="Z1" s="32" t="s">
        <v>66</v>
      </c>
      <c r="AA1" s="65" t="s">
        <v>68</v>
      </c>
      <c r="AB1" s="32" t="s">
        <v>66</v>
      </c>
      <c r="AC1" s="65" t="s">
        <v>68</v>
      </c>
      <c r="AD1" s="32" t="s">
        <v>66</v>
      </c>
      <c r="AE1" s="65" t="s">
        <v>68</v>
      </c>
      <c r="AF1" s="32" t="s">
        <v>66</v>
      </c>
      <c r="AG1" s="65" t="s">
        <v>68</v>
      </c>
      <c r="AH1" s="53" t="s">
        <v>67</v>
      </c>
      <c r="AI1" s="65" t="s">
        <v>68</v>
      </c>
      <c r="AJ1" s="32" t="s">
        <v>66</v>
      </c>
      <c r="AK1" s="65" t="s">
        <v>68</v>
      </c>
      <c r="AL1" s="32" t="s">
        <v>66</v>
      </c>
      <c r="AM1" s="65" t="s">
        <v>68</v>
      </c>
      <c r="AN1" s="32" t="s">
        <v>66</v>
      </c>
      <c r="AO1" s="32" t="s">
        <v>68</v>
      </c>
      <c r="AP1" s="32" t="s">
        <v>66</v>
      </c>
      <c r="AQ1" s="32"/>
      <c r="AR1" s="32" t="s">
        <v>66</v>
      </c>
      <c r="AS1" s="32"/>
      <c r="AT1" s="32" t="s">
        <v>66</v>
      </c>
      <c r="AU1" s="65" t="s">
        <v>68</v>
      </c>
      <c r="AV1" s="32" t="s">
        <v>66</v>
      </c>
      <c r="AW1" s="65" t="s">
        <v>68</v>
      </c>
    </row>
    <row r="2" spans="1:49" s="60" customFormat="1" ht="6.75" customHeight="1" x14ac:dyDescent="0.4">
      <c r="A2" s="66">
        <v>2</v>
      </c>
      <c r="B2" s="61" t="s">
        <v>473</v>
      </c>
      <c r="C2" s="1" t="s">
        <v>2040</v>
      </c>
      <c r="D2" s="49" t="s">
        <v>9</v>
      </c>
      <c r="E2" s="54" t="s">
        <v>9</v>
      </c>
      <c r="F2" s="49" t="s">
        <v>9</v>
      </c>
      <c r="G2" s="54" t="s">
        <v>9</v>
      </c>
      <c r="H2" s="49" t="s">
        <v>9</v>
      </c>
      <c r="I2" s="54" t="s">
        <v>9</v>
      </c>
      <c r="J2" s="48" t="s">
        <v>75</v>
      </c>
      <c r="K2" s="39" t="s">
        <v>1493</v>
      </c>
      <c r="L2" s="48" t="s">
        <v>75</v>
      </c>
      <c r="M2" s="40" t="s">
        <v>125</v>
      </c>
      <c r="N2" s="48" t="s">
        <v>9</v>
      </c>
      <c r="O2" s="39" t="s">
        <v>9</v>
      </c>
      <c r="P2" s="48" t="s">
        <v>9</v>
      </c>
      <c r="Q2" s="34" t="s">
        <v>9</v>
      </c>
      <c r="R2" s="48" t="s">
        <v>9</v>
      </c>
      <c r="S2" s="74" t="s">
        <v>9</v>
      </c>
      <c r="T2" s="48" t="s">
        <v>9</v>
      </c>
      <c r="U2" s="74" t="s">
        <v>9</v>
      </c>
      <c r="V2" s="48" t="s">
        <v>9</v>
      </c>
      <c r="W2" s="39" t="s">
        <v>9</v>
      </c>
      <c r="X2" s="48" t="s">
        <v>9</v>
      </c>
      <c r="Y2" s="39" t="s">
        <v>9</v>
      </c>
      <c r="Z2" s="48" t="s">
        <v>9</v>
      </c>
      <c r="AA2" s="74" t="s">
        <v>9</v>
      </c>
      <c r="AB2" s="48" t="s">
        <v>9</v>
      </c>
      <c r="AC2" s="74" t="s">
        <v>9</v>
      </c>
      <c r="AD2" s="48" t="s">
        <v>9</v>
      </c>
      <c r="AE2" s="74" t="s">
        <v>9</v>
      </c>
      <c r="AF2" s="48" t="s">
        <v>9</v>
      </c>
      <c r="AG2" s="74" t="s">
        <v>9</v>
      </c>
      <c r="AH2" s="48" t="s">
        <v>9</v>
      </c>
      <c r="AI2" s="74" t="s">
        <v>9</v>
      </c>
      <c r="AJ2" s="48" t="s">
        <v>9</v>
      </c>
      <c r="AK2" s="74" t="s">
        <v>9</v>
      </c>
      <c r="AL2" s="48" t="s">
        <v>9</v>
      </c>
      <c r="AM2" s="74" t="s">
        <v>9</v>
      </c>
      <c r="AN2" s="48" t="s">
        <v>9</v>
      </c>
      <c r="AO2" s="39" t="s">
        <v>9</v>
      </c>
      <c r="AP2" s="48" t="s">
        <v>9</v>
      </c>
      <c r="AQ2" s="39" t="s">
        <v>9</v>
      </c>
      <c r="AR2" s="48" t="s">
        <v>9</v>
      </c>
      <c r="AS2" s="39" t="s">
        <v>9</v>
      </c>
      <c r="AT2" s="48" t="s">
        <v>9</v>
      </c>
      <c r="AU2" s="74" t="s">
        <v>9</v>
      </c>
      <c r="AV2" s="48" t="s">
        <v>9</v>
      </c>
      <c r="AW2" s="74" t="s">
        <v>9</v>
      </c>
    </row>
    <row r="3" spans="1:49" ht="6.75" customHeight="1" x14ac:dyDescent="0.4">
      <c r="A3" s="66">
        <v>3</v>
      </c>
      <c r="B3" s="62" t="s">
        <v>475</v>
      </c>
      <c r="C3" s="1" t="s">
        <v>2093</v>
      </c>
      <c r="D3" s="49" t="s">
        <v>9</v>
      </c>
      <c r="E3" s="54" t="s">
        <v>9</v>
      </c>
      <c r="F3" s="49" t="s">
        <v>9</v>
      </c>
      <c r="G3" s="54" t="s">
        <v>9</v>
      </c>
      <c r="H3" s="49" t="s">
        <v>9</v>
      </c>
      <c r="I3" s="54" t="s">
        <v>9</v>
      </c>
      <c r="J3" s="48" t="s">
        <v>75</v>
      </c>
      <c r="K3" s="39" t="s">
        <v>1493</v>
      </c>
      <c r="L3" s="48" t="s">
        <v>75</v>
      </c>
      <c r="M3" s="36" t="s">
        <v>431</v>
      </c>
      <c r="N3" s="48" t="s">
        <v>9</v>
      </c>
      <c r="O3" s="39" t="s">
        <v>9</v>
      </c>
      <c r="P3" s="48" t="s">
        <v>9</v>
      </c>
      <c r="Q3" s="34" t="s">
        <v>9</v>
      </c>
      <c r="R3" s="48" t="s">
        <v>9</v>
      </c>
      <c r="S3" s="74" t="s">
        <v>9</v>
      </c>
      <c r="T3" s="48" t="s">
        <v>9</v>
      </c>
      <c r="U3" s="74" t="s">
        <v>9</v>
      </c>
      <c r="V3" s="48" t="s">
        <v>9</v>
      </c>
      <c r="W3" s="39" t="s">
        <v>9</v>
      </c>
      <c r="X3" s="48" t="s">
        <v>1516</v>
      </c>
      <c r="Y3" s="39" t="s">
        <v>407</v>
      </c>
      <c r="Z3" s="48" t="s">
        <v>9</v>
      </c>
      <c r="AA3" s="74" t="s">
        <v>9</v>
      </c>
      <c r="AB3" s="48" t="s">
        <v>9</v>
      </c>
      <c r="AC3" s="74" t="s">
        <v>9</v>
      </c>
      <c r="AD3" s="48" t="s">
        <v>9</v>
      </c>
      <c r="AE3" s="74" t="s">
        <v>9</v>
      </c>
      <c r="AF3" s="48" t="s">
        <v>9</v>
      </c>
      <c r="AG3" s="74" t="s">
        <v>9</v>
      </c>
      <c r="AH3" s="48" t="s">
        <v>9</v>
      </c>
      <c r="AI3" s="74" t="s">
        <v>9</v>
      </c>
      <c r="AJ3" s="48" t="s">
        <v>9</v>
      </c>
      <c r="AK3" s="74" t="s">
        <v>9</v>
      </c>
      <c r="AL3" s="48" t="s">
        <v>9</v>
      </c>
      <c r="AM3" s="74" t="s">
        <v>9</v>
      </c>
      <c r="AN3" s="48" t="s">
        <v>9</v>
      </c>
      <c r="AO3" s="39" t="s">
        <v>9</v>
      </c>
      <c r="AP3" s="48" t="s">
        <v>9</v>
      </c>
      <c r="AQ3" s="39" t="s">
        <v>9</v>
      </c>
      <c r="AR3" s="48" t="s">
        <v>9</v>
      </c>
      <c r="AS3" s="39" t="s">
        <v>9</v>
      </c>
      <c r="AT3" s="48" t="s">
        <v>9</v>
      </c>
      <c r="AU3" s="74" t="s">
        <v>9</v>
      </c>
      <c r="AV3" s="48" t="s">
        <v>9</v>
      </c>
      <c r="AW3" s="74" t="s">
        <v>9</v>
      </c>
    </row>
    <row r="4" spans="1:49" ht="6.75" customHeight="1" x14ac:dyDescent="0.4">
      <c r="A4" s="66">
        <v>4</v>
      </c>
      <c r="B4" s="62" t="s">
        <v>476</v>
      </c>
      <c r="C4" s="1" t="s">
        <v>116</v>
      </c>
      <c r="D4" s="49" t="s">
        <v>9</v>
      </c>
      <c r="E4" s="54" t="s">
        <v>9</v>
      </c>
      <c r="F4" s="49" t="s">
        <v>9</v>
      </c>
      <c r="G4" s="54" t="s">
        <v>9</v>
      </c>
      <c r="H4" s="49" t="s">
        <v>9</v>
      </c>
      <c r="I4" s="54" t="s">
        <v>9</v>
      </c>
      <c r="J4" s="48" t="s">
        <v>75</v>
      </c>
      <c r="K4" s="39" t="s">
        <v>1493</v>
      </c>
      <c r="L4" s="48" t="s">
        <v>75</v>
      </c>
      <c r="M4" s="36" t="s">
        <v>432</v>
      </c>
      <c r="N4" s="48" t="s">
        <v>9</v>
      </c>
      <c r="O4" s="39" t="s">
        <v>9</v>
      </c>
      <c r="P4" s="48" t="s">
        <v>9</v>
      </c>
      <c r="Q4" s="34" t="s">
        <v>9</v>
      </c>
      <c r="R4" s="48" t="s">
        <v>9</v>
      </c>
      <c r="S4" s="74" t="s">
        <v>9</v>
      </c>
      <c r="T4" s="48" t="s">
        <v>9</v>
      </c>
      <c r="U4" s="74" t="s">
        <v>9</v>
      </c>
      <c r="V4" s="48" t="s">
        <v>9</v>
      </c>
      <c r="W4" s="39" t="s">
        <v>9</v>
      </c>
      <c r="X4" s="48" t="s">
        <v>1516</v>
      </c>
      <c r="Y4" s="39" t="s">
        <v>407</v>
      </c>
      <c r="Z4" s="48" t="s">
        <v>9</v>
      </c>
      <c r="AA4" s="74" t="s">
        <v>9</v>
      </c>
      <c r="AB4" s="48" t="s">
        <v>9</v>
      </c>
      <c r="AC4" s="74" t="s">
        <v>9</v>
      </c>
      <c r="AD4" s="48" t="s">
        <v>9</v>
      </c>
      <c r="AE4" s="74" t="s">
        <v>9</v>
      </c>
      <c r="AF4" s="48" t="s">
        <v>9</v>
      </c>
      <c r="AG4" s="74" t="s">
        <v>9</v>
      </c>
      <c r="AH4" s="48" t="s">
        <v>9</v>
      </c>
      <c r="AI4" s="74" t="s">
        <v>9</v>
      </c>
      <c r="AJ4" s="48" t="s">
        <v>9</v>
      </c>
      <c r="AK4" s="74" t="s">
        <v>9</v>
      </c>
      <c r="AL4" s="48" t="s">
        <v>9</v>
      </c>
      <c r="AM4" s="74" t="s">
        <v>9</v>
      </c>
      <c r="AN4" s="48" t="s">
        <v>9</v>
      </c>
      <c r="AO4" s="39" t="s">
        <v>9</v>
      </c>
      <c r="AP4" s="48" t="s">
        <v>9</v>
      </c>
      <c r="AQ4" s="39" t="s">
        <v>9</v>
      </c>
      <c r="AR4" s="48" t="s">
        <v>9</v>
      </c>
      <c r="AS4" s="39" t="s">
        <v>9</v>
      </c>
      <c r="AT4" s="48" t="s">
        <v>9</v>
      </c>
      <c r="AU4" s="74" t="s">
        <v>9</v>
      </c>
      <c r="AV4" s="48" t="s">
        <v>9</v>
      </c>
      <c r="AW4" s="74" t="s">
        <v>9</v>
      </c>
    </row>
    <row r="5" spans="1:49" ht="6.75" customHeight="1" x14ac:dyDescent="0.4">
      <c r="A5" s="66">
        <v>5</v>
      </c>
      <c r="B5" s="62" t="s">
        <v>477</v>
      </c>
      <c r="C5" s="1" t="s">
        <v>116</v>
      </c>
      <c r="D5" s="49" t="s">
        <v>9</v>
      </c>
      <c r="E5" s="54" t="s">
        <v>9</v>
      </c>
      <c r="F5" s="49" t="s">
        <v>9</v>
      </c>
      <c r="G5" s="54" t="s">
        <v>9</v>
      </c>
      <c r="H5" s="49" t="s">
        <v>9</v>
      </c>
      <c r="I5" s="54" t="s">
        <v>9</v>
      </c>
      <c r="J5" s="48" t="s">
        <v>75</v>
      </c>
      <c r="K5" s="39" t="s">
        <v>1493</v>
      </c>
      <c r="L5" s="48" t="s">
        <v>75</v>
      </c>
      <c r="M5" s="36" t="s">
        <v>433</v>
      </c>
      <c r="N5" s="48" t="s">
        <v>9</v>
      </c>
      <c r="O5" s="39" t="s">
        <v>9</v>
      </c>
      <c r="P5" s="48" t="s">
        <v>9</v>
      </c>
      <c r="Q5" s="34" t="s">
        <v>9</v>
      </c>
      <c r="R5" s="48" t="s">
        <v>9</v>
      </c>
      <c r="S5" s="74" t="s">
        <v>9</v>
      </c>
      <c r="T5" s="48" t="s">
        <v>9</v>
      </c>
      <c r="U5" s="74" t="s">
        <v>9</v>
      </c>
      <c r="V5" s="48" t="s">
        <v>9</v>
      </c>
      <c r="W5" s="39" t="s">
        <v>9</v>
      </c>
      <c r="X5" s="48" t="s">
        <v>1516</v>
      </c>
      <c r="Y5" s="39" t="s">
        <v>407</v>
      </c>
      <c r="Z5" s="48" t="s">
        <v>9</v>
      </c>
      <c r="AA5" s="74" t="s">
        <v>9</v>
      </c>
      <c r="AB5" s="48" t="s">
        <v>9</v>
      </c>
      <c r="AC5" s="74" t="s">
        <v>9</v>
      </c>
      <c r="AD5" s="48" t="s">
        <v>9</v>
      </c>
      <c r="AE5" s="74" t="s">
        <v>9</v>
      </c>
      <c r="AF5" s="48" t="s">
        <v>9</v>
      </c>
      <c r="AG5" s="74" t="s">
        <v>9</v>
      </c>
      <c r="AH5" s="48" t="s">
        <v>9</v>
      </c>
      <c r="AI5" s="74" t="s">
        <v>9</v>
      </c>
      <c r="AJ5" s="48" t="s">
        <v>9</v>
      </c>
      <c r="AK5" s="74" t="s">
        <v>9</v>
      </c>
      <c r="AL5" s="48" t="s">
        <v>9</v>
      </c>
      <c r="AM5" s="74" t="s">
        <v>9</v>
      </c>
      <c r="AN5" s="48" t="s">
        <v>9</v>
      </c>
      <c r="AO5" s="39" t="s">
        <v>9</v>
      </c>
      <c r="AP5" s="48" t="s">
        <v>9</v>
      </c>
      <c r="AQ5" s="39" t="s">
        <v>9</v>
      </c>
      <c r="AR5" s="48" t="s">
        <v>9</v>
      </c>
      <c r="AS5" s="39" t="s">
        <v>9</v>
      </c>
      <c r="AT5" s="48" t="s">
        <v>9</v>
      </c>
      <c r="AU5" s="74" t="s">
        <v>9</v>
      </c>
      <c r="AV5" s="48" t="s">
        <v>9</v>
      </c>
      <c r="AW5" s="74" t="s">
        <v>9</v>
      </c>
    </row>
    <row r="6" spans="1:49" ht="6.75" customHeight="1" x14ac:dyDescent="0.4">
      <c r="A6" s="66">
        <v>6</v>
      </c>
      <c r="B6" s="62" t="s">
        <v>478</v>
      </c>
      <c r="C6" s="23" t="s">
        <v>117</v>
      </c>
      <c r="D6" s="49" t="s">
        <v>9</v>
      </c>
      <c r="E6" s="54" t="s">
        <v>9</v>
      </c>
      <c r="F6" s="49" t="s">
        <v>9</v>
      </c>
      <c r="G6" s="54" t="s">
        <v>9</v>
      </c>
      <c r="H6" s="49" t="s">
        <v>9</v>
      </c>
      <c r="I6" s="54" t="s">
        <v>9</v>
      </c>
      <c r="J6" s="48" t="s">
        <v>75</v>
      </c>
      <c r="K6" s="39" t="s">
        <v>1493</v>
      </c>
      <c r="L6" s="48" t="s">
        <v>75</v>
      </c>
      <c r="M6" s="36" t="s">
        <v>434</v>
      </c>
      <c r="N6" s="48" t="s">
        <v>9</v>
      </c>
      <c r="O6" s="39" t="s">
        <v>9</v>
      </c>
      <c r="P6" s="48" t="s">
        <v>9</v>
      </c>
      <c r="Q6" s="34" t="s">
        <v>9</v>
      </c>
      <c r="R6" s="48" t="s">
        <v>9</v>
      </c>
      <c r="S6" s="74" t="s">
        <v>9</v>
      </c>
      <c r="T6" s="48" t="s">
        <v>9</v>
      </c>
      <c r="U6" s="74" t="s">
        <v>9</v>
      </c>
      <c r="V6" s="48" t="s">
        <v>9</v>
      </c>
      <c r="W6" s="39" t="s">
        <v>9</v>
      </c>
      <c r="X6" s="48" t="s">
        <v>1516</v>
      </c>
      <c r="Y6" s="39" t="s">
        <v>407</v>
      </c>
      <c r="Z6" s="48" t="s">
        <v>9</v>
      </c>
      <c r="AA6" s="74" t="s">
        <v>9</v>
      </c>
      <c r="AB6" s="48" t="s">
        <v>9</v>
      </c>
      <c r="AC6" s="74" t="s">
        <v>9</v>
      </c>
      <c r="AD6" s="48" t="s">
        <v>9</v>
      </c>
      <c r="AE6" s="74" t="s">
        <v>9</v>
      </c>
      <c r="AF6" s="48" t="s">
        <v>9</v>
      </c>
      <c r="AG6" s="74" t="s">
        <v>9</v>
      </c>
      <c r="AH6" s="48" t="s">
        <v>9</v>
      </c>
      <c r="AI6" s="74" t="s">
        <v>9</v>
      </c>
      <c r="AJ6" s="48" t="s">
        <v>9</v>
      </c>
      <c r="AK6" s="74" t="s">
        <v>9</v>
      </c>
      <c r="AL6" s="48" t="s">
        <v>9</v>
      </c>
      <c r="AM6" s="74" t="s">
        <v>9</v>
      </c>
      <c r="AN6" s="48" t="s">
        <v>9</v>
      </c>
      <c r="AO6" s="39" t="s">
        <v>9</v>
      </c>
      <c r="AP6" s="48" t="s">
        <v>9</v>
      </c>
      <c r="AQ6" s="39" t="s">
        <v>9</v>
      </c>
      <c r="AR6" s="48" t="s">
        <v>9</v>
      </c>
      <c r="AS6" s="39" t="s">
        <v>9</v>
      </c>
      <c r="AT6" s="48" t="s">
        <v>9</v>
      </c>
      <c r="AU6" s="74" t="s">
        <v>9</v>
      </c>
      <c r="AV6" s="48" t="s">
        <v>9</v>
      </c>
      <c r="AW6" s="74" t="s">
        <v>9</v>
      </c>
    </row>
    <row r="7" spans="1:49" ht="6.75" customHeight="1" x14ac:dyDescent="0.4">
      <c r="A7" s="66">
        <v>7</v>
      </c>
      <c r="B7" s="62" t="s">
        <v>479</v>
      </c>
      <c r="C7" s="23" t="s">
        <v>118</v>
      </c>
      <c r="D7" s="49" t="s">
        <v>9</v>
      </c>
      <c r="E7" s="54" t="s">
        <v>9</v>
      </c>
      <c r="F7" s="49" t="s">
        <v>9</v>
      </c>
      <c r="G7" s="54" t="s">
        <v>9</v>
      </c>
      <c r="H7" s="49" t="s">
        <v>9</v>
      </c>
      <c r="I7" s="54" t="s">
        <v>9</v>
      </c>
      <c r="J7" s="48" t="s">
        <v>75</v>
      </c>
      <c r="K7" s="39" t="s">
        <v>1493</v>
      </c>
      <c r="L7" s="48" t="s">
        <v>75</v>
      </c>
      <c r="M7" s="36" t="s">
        <v>435</v>
      </c>
      <c r="N7" s="48" t="s">
        <v>9</v>
      </c>
      <c r="O7" s="39" t="s">
        <v>9</v>
      </c>
      <c r="P7" s="48" t="s">
        <v>9</v>
      </c>
      <c r="Q7" s="34" t="s">
        <v>9</v>
      </c>
      <c r="R7" s="48" t="s">
        <v>9</v>
      </c>
      <c r="S7" s="74" t="s">
        <v>9</v>
      </c>
      <c r="T7" s="48" t="s">
        <v>9</v>
      </c>
      <c r="U7" s="74" t="s">
        <v>9</v>
      </c>
      <c r="V7" s="48" t="s">
        <v>9</v>
      </c>
      <c r="W7" s="39" t="s">
        <v>9</v>
      </c>
      <c r="X7" s="48" t="s">
        <v>1516</v>
      </c>
      <c r="Y7" s="39" t="s">
        <v>407</v>
      </c>
      <c r="Z7" s="48" t="s">
        <v>9</v>
      </c>
      <c r="AA7" s="74" t="s">
        <v>9</v>
      </c>
      <c r="AB7" s="48" t="s">
        <v>9</v>
      </c>
      <c r="AC7" s="74" t="s">
        <v>9</v>
      </c>
      <c r="AD7" s="48" t="s">
        <v>9</v>
      </c>
      <c r="AE7" s="74" t="s">
        <v>9</v>
      </c>
      <c r="AF7" s="48" t="s">
        <v>9</v>
      </c>
      <c r="AG7" s="74" t="s">
        <v>9</v>
      </c>
      <c r="AH7" s="48" t="s">
        <v>9</v>
      </c>
      <c r="AI7" s="74" t="s">
        <v>9</v>
      </c>
      <c r="AJ7" s="48" t="s">
        <v>9</v>
      </c>
      <c r="AK7" s="74" t="s">
        <v>9</v>
      </c>
      <c r="AL7" s="48" t="s">
        <v>9</v>
      </c>
      <c r="AM7" s="74" t="s">
        <v>9</v>
      </c>
      <c r="AN7" s="48" t="s">
        <v>9</v>
      </c>
      <c r="AO7" s="39" t="s">
        <v>9</v>
      </c>
      <c r="AP7" s="48" t="s">
        <v>9</v>
      </c>
      <c r="AQ7" s="39" t="s">
        <v>9</v>
      </c>
      <c r="AR7" s="48" t="s">
        <v>9</v>
      </c>
      <c r="AS7" s="39" t="s">
        <v>9</v>
      </c>
      <c r="AT7" s="48" t="s">
        <v>9</v>
      </c>
      <c r="AU7" s="74" t="s">
        <v>9</v>
      </c>
      <c r="AV7" s="48" t="s">
        <v>9</v>
      </c>
      <c r="AW7" s="74" t="s">
        <v>9</v>
      </c>
    </row>
    <row r="8" spans="1:49" s="60" customFormat="1" ht="6.75" customHeight="1" x14ac:dyDescent="0.4">
      <c r="A8" s="66">
        <v>8</v>
      </c>
      <c r="B8" s="61" t="s">
        <v>480</v>
      </c>
      <c r="C8" s="1" t="s">
        <v>2092</v>
      </c>
      <c r="D8" s="49" t="s">
        <v>9</v>
      </c>
      <c r="E8" s="54" t="s">
        <v>9</v>
      </c>
      <c r="F8" s="49" t="s">
        <v>9</v>
      </c>
      <c r="G8" s="54" t="s">
        <v>9</v>
      </c>
      <c r="H8" s="49" t="s">
        <v>9</v>
      </c>
      <c r="I8" s="54" t="s">
        <v>9</v>
      </c>
      <c r="J8" s="48" t="s">
        <v>75</v>
      </c>
      <c r="K8" s="39" t="s">
        <v>1493</v>
      </c>
      <c r="L8" s="48" t="s">
        <v>75</v>
      </c>
      <c r="M8" s="40" t="s">
        <v>110</v>
      </c>
      <c r="N8" s="48" t="s">
        <v>9</v>
      </c>
      <c r="O8" s="39" t="s">
        <v>9</v>
      </c>
      <c r="P8" s="48" t="s">
        <v>9</v>
      </c>
      <c r="Q8" s="34" t="s">
        <v>9</v>
      </c>
      <c r="R8" s="48" t="s">
        <v>9</v>
      </c>
      <c r="S8" s="74" t="s">
        <v>9</v>
      </c>
      <c r="T8" s="48" t="s">
        <v>9</v>
      </c>
      <c r="U8" s="74" t="s">
        <v>9</v>
      </c>
      <c r="V8" s="48" t="s">
        <v>9</v>
      </c>
      <c r="W8" s="39" t="s">
        <v>9</v>
      </c>
      <c r="X8" s="48" t="s">
        <v>1516</v>
      </c>
      <c r="Y8" s="39" t="s">
        <v>1300</v>
      </c>
      <c r="Z8" s="48" t="s">
        <v>9</v>
      </c>
      <c r="AA8" s="74" t="s">
        <v>9</v>
      </c>
      <c r="AB8" s="48" t="s">
        <v>9</v>
      </c>
      <c r="AC8" s="74" t="s">
        <v>9</v>
      </c>
      <c r="AD8" s="48" t="s">
        <v>9</v>
      </c>
      <c r="AE8" s="74" t="s">
        <v>9</v>
      </c>
      <c r="AF8" s="48" t="s">
        <v>9</v>
      </c>
      <c r="AG8" s="74" t="s">
        <v>9</v>
      </c>
      <c r="AH8" s="48" t="s">
        <v>9</v>
      </c>
      <c r="AI8" s="74" t="s">
        <v>9</v>
      </c>
      <c r="AJ8" s="48" t="s">
        <v>9</v>
      </c>
      <c r="AK8" s="74" t="s">
        <v>9</v>
      </c>
      <c r="AL8" s="48" t="s">
        <v>9</v>
      </c>
      <c r="AM8" s="74" t="s">
        <v>9</v>
      </c>
      <c r="AN8" s="48" t="s">
        <v>9</v>
      </c>
      <c r="AO8" s="39" t="s">
        <v>9</v>
      </c>
      <c r="AP8" s="48" t="s">
        <v>9</v>
      </c>
      <c r="AQ8" s="39" t="s">
        <v>9</v>
      </c>
      <c r="AR8" s="48" t="s">
        <v>9</v>
      </c>
      <c r="AS8" s="39" t="s">
        <v>9</v>
      </c>
      <c r="AT8" s="48" t="s">
        <v>9</v>
      </c>
      <c r="AU8" s="74" t="s">
        <v>9</v>
      </c>
      <c r="AV8" s="48" t="s">
        <v>9</v>
      </c>
      <c r="AW8" s="74" t="s">
        <v>9</v>
      </c>
    </row>
    <row r="9" spans="1:49" s="60" customFormat="1" ht="6.75" customHeight="1" x14ac:dyDescent="0.4">
      <c r="A9" s="66">
        <v>9</v>
      </c>
      <c r="B9" s="61" t="s">
        <v>481</v>
      </c>
      <c r="C9" s="1" t="s">
        <v>2092</v>
      </c>
      <c r="D9" s="49" t="s">
        <v>9</v>
      </c>
      <c r="E9" s="54" t="s">
        <v>9</v>
      </c>
      <c r="F9" s="49" t="s">
        <v>9</v>
      </c>
      <c r="G9" s="54" t="s">
        <v>9</v>
      </c>
      <c r="H9" s="49" t="s">
        <v>9</v>
      </c>
      <c r="I9" s="54" t="s">
        <v>9</v>
      </c>
      <c r="J9" s="48" t="s">
        <v>75</v>
      </c>
      <c r="K9" s="39" t="s">
        <v>1493</v>
      </c>
      <c r="L9" s="48" t="s">
        <v>75</v>
      </c>
      <c r="M9" s="40" t="s">
        <v>111</v>
      </c>
      <c r="N9" s="48" t="s">
        <v>9</v>
      </c>
      <c r="O9" s="39" t="s">
        <v>9</v>
      </c>
      <c r="P9" s="48" t="s">
        <v>9</v>
      </c>
      <c r="Q9" s="34" t="s">
        <v>9</v>
      </c>
      <c r="R9" s="48" t="s">
        <v>9</v>
      </c>
      <c r="S9" s="74" t="s">
        <v>9</v>
      </c>
      <c r="T9" s="48" t="s">
        <v>9</v>
      </c>
      <c r="U9" s="74" t="s">
        <v>9</v>
      </c>
      <c r="V9" s="48" t="s">
        <v>9</v>
      </c>
      <c r="W9" s="39" t="s">
        <v>9</v>
      </c>
      <c r="X9" s="48" t="s">
        <v>1516</v>
      </c>
      <c r="Y9" s="39" t="s">
        <v>1300</v>
      </c>
      <c r="Z9" s="48" t="s">
        <v>9</v>
      </c>
      <c r="AA9" s="74" t="s">
        <v>9</v>
      </c>
      <c r="AB9" s="48" t="s">
        <v>9</v>
      </c>
      <c r="AC9" s="74" t="s">
        <v>9</v>
      </c>
      <c r="AD9" s="48" t="s">
        <v>9</v>
      </c>
      <c r="AE9" s="74" t="s">
        <v>9</v>
      </c>
      <c r="AF9" s="48" t="s">
        <v>9</v>
      </c>
      <c r="AG9" s="74" t="s">
        <v>9</v>
      </c>
      <c r="AH9" s="48" t="s">
        <v>9</v>
      </c>
      <c r="AI9" s="74" t="s">
        <v>9</v>
      </c>
      <c r="AJ9" s="48" t="s">
        <v>9</v>
      </c>
      <c r="AK9" s="74" t="s">
        <v>9</v>
      </c>
      <c r="AL9" s="48" t="s">
        <v>9</v>
      </c>
      <c r="AM9" s="74" t="s">
        <v>9</v>
      </c>
      <c r="AN9" s="48" t="s">
        <v>9</v>
      </c>
      <c r="AO9" s="39" t="s">
        <v>9</v>
      </c>
      <c r="AP9" s="48" t="s">
        <v>9</v>
      </c>
      <c r="AQ9" s="39" t="s">
        <v>9</v>
      </c>
      <c r="AR9" s="48" t="s">
        <v>9</v>
      </c>
      <c r="AS9" s="39" t="s">
        <v>9</v>
      </c>
      <c r="AT9" s="48" t="s">
        <v>9</v>
      </c>
      <c r="AU9" s="74" t="s">
        <v>9</v>
      </c>
      <c r="AV9" s="48" t="s">
        <v>9</v>
      </c>
      <c r="AW9" s="74" t="s">
        <v>9</v>
      </c>
    </row>
    <row r="10" spans="1:49" ht="6.75" customHeight="1" x14ac:dyDescent="0.4">
      <c r="A10" s="66">
        <v>10</v>
      </c>
      <c r="B10" s="62" t="s">
        <v>482</v>
      </c>
      <c r="C10" s="1" t="s">
        <v>2040</v>
      </c>
      <c r="D10" s="49" t="s">
        <v>9</v>
      </c>
      <c r="E10" s="54" t="s">
        <v>9</v>
      </c>
      <c r="F10" s="49" t="s">
        <v>9</v>
      </c>
      <c r="G10" s="54" t="s">
        <v>9</v>
      </c>
      <c r="H10" s="49" t="s">
        <v>9</v>
      </c>
      <c r="I10" s="54" t="s">
        <v>9</v>
      </c>
      <c r="J10" s="48" t="s">
        <v>75</v>
      </c>
      <c r="K10" s="39" t="s">
        <v>1493</v>
      </c>
      <c r="L10" s="48" t="s">
        <v>75</v>
      </c>
      <c r="M10" s="36" t="s">
        <v>103</v>
      </c>
      <c r="N10" s="48" t="s">
        <v>9</v>
      </c>
      <c r="O10" s="39" t="s">
        <v>9</v>
      </c>
      <c r="P10" s="48" t="s">
        <v>9</v>
      </c>
      <c r="Q10" s="34" t="s">
        <v>9</v>
      </c>
      <c r="R10" s="48" t="s">
        <v>9</v>
      </c>
      <c r="S10" s="74" t="s">
        <v>9</v>
      </c>
      <c r="T10" s="48" t="s">
        <v>9</v>
      </c>
      <c r="U10" s="74" t="s">
        <v>9</v>
      </c>
      <c r="V10" s="48" t="s">
        <v>9</v>
      </c>
      <c r="W10" s="39" t="s">
        <v>9</v>
      </c>
      <c r="X10" s="48" t="s">
        <v>1516</v>
      </c>
      <c r="Y10" s="39" t="s">
        <v>107</v>
      </c>
      <c r="Z10" s="48" t="s">
        <v>9</v>
      </c>
      <c r="AA10" s="74" t="s">
        <v>9</v>
      </c>
      <c r="AB10" s="48" t="s">
        <v>9</v>
      </c>
      <c r="AC10" s="74" t="s">
        <v>9</v>
      </c>
      <c r="AD10" s="48" t="s">
        <v>9</v>
      </c>
      <c r="AE10" s="74" t="s">
        <v>9</v>
      </c>
      <c r="AF10" s="48" t="s">
        <v>9</v>
      </c>
      <c r="AG10" s="74" t="s">
        <v>9</v>
      </c>
      <c r="AH10" s="48" t="s">
        <v>9</v>
      </c>
      <c r="AI10" s="74" t="s">
        <v>9</v>
      </c>
      <c r="AJ10" s="48" t="s">
        <v>9</v>
      </c>
      <c r="AK10" s="74" t="s">
        <v>9</v>
      </c>
      <c r="AL10" s="48" t="s">
        <v>9</v>
      </c>
      <c r="AM10" s="74" t="s">
        <v>9</v>
      </c>
      <c r="AN10" s="48" t="s">
        <v>9</v>
      </c>
      <c r="AO10" s="39" t="s">
        <v>9</v>
      </c>
      <c r="AP10" s="48" t="s">
        <v>9</v>
      </c>
      <c r="AQ10" s="39" t="s">
        <v>9</v>
      </c>
      <c r="AR10" s="48" t="s">
        <v>9</v>
      </c>
      <c r="AS10" s="39" t="s">
        <v>9</v>
      </c>
      <c r="AT10" s="48" t="s">
        <v>9</v>
      </c>
      <c r="AU10" s="74" t="s">
        <v>9</v>
      </c>
      <c r="AV10" s="48" t="s">
        <v>9</v>
      </c>
      <c r="AW10" s="74" t="s">
        <v>9</v>
      </c>
    </row>
    <row r="11" spans="1:49" ht="6.75" customHeight="1" x14ac:dyDescent="0.4">
      <c r="A11" s="66">
        <v>11</v>
      </c>
      <c r="B11" s="62" t="s">
        <v>483</v>
      </c>
      <c r="C11" s="1" t="s">
        <v>2040</v>
      </c>
      <c r="D11" s="49" t="s">
        <v>9</v>
      </c>
      <c r="E11" s="54" t="s">
        <v>9</v>
      </c>
      <c r="F11" s="49" t="s">
        <v>9</v>
      </c>
      <c r="G11" s="54" t="s">
        <v>9</v>
      </c>
      <c r="H11" s="49" t="s">
        <v>9</v>
      </c>
      <c r="I11" s="54" t="s">
        <v>9</v>
      </c>
      <c r="J11" s="48" t="s">
        <v>75</v>
      </c>
      <c r="K11" s="39" t="s">
        <v>1493</v>
      </c>
      <c r="L11" s="48" t="s">
        <v>75</v>
      </c>
      <c r="M11" s="36" t="s">
        <v>105</v>
      </c>
      <c r="N11" s="48" t="s">
        <v>9</v>
      </c>
      <c r="O11" s="39" t="s">
        <v>9</v>
      </c>
      <c r="P11" s="48" t="s">
        <v>9</v>
      </c>
      <c r="Q11" s="34" t="s">
        <v>9</v>
      </c>
      <c r="R11" s="48" t="s">
        <v>9</v>
      </c>
      <c r="S11" s="74" t="s">
        <v>9</v>
      </c>
      <c r="T11" s="48" t="s">
        <v>9</v>
      </c>
      <c r="U11" s="74" t="s">
        <v>9</v>
      </c>
      <c r="V11" s="48" t="s">
        <v>9</v>
      </c>
      <c r="W11" s="39" t="s">
        <v>9</v>
      </c>
      <c r="X11" s="48" t="s">
        <v>1516</v>
      </c>
      <c r="Y11" s="39" t="s">
        <v>107</v>
      </c>
      <c r="Z11" s="48" t="s">
        <v>9</v>
      </c>
      <c r="AA11" s="74" t="s">
        <v>9</v>
      </c>
      <c r="AB11" s="48" t="s">
        <v>9</v>
      </c>
      <c r="AC11" s="74" t="s">
        <v>9</v>
      </c>
      <c r="AD11" s="48" t="s">
        <v>9</v>
      </c>
      <c r="AE11" s="74" t="s">
        <v>9</v>
      </c>
      <c r="AF11" s="48" t="s">
        <v>9</v>
      </c>
      <c r="AG11" s="74" t="s">
        <v>9</v>
      </c>
      <c r="AH11" s="48" t="s">
        <v>9</v>
      </c>
      <c r="AI11" s="74" t="s">
        <v>9</v>
      </c>
      <c r="AJ11" s="48" t="s">
        <v>9</v>
      </c>
      <c r="AK11" s="74" t="s">
        <v>9</v>
      </c>
      <c r="AL11" s="48" t="s">
        <v>9</v>
      </c>
      <c r="AM11" s="74" t="s">
        <v>9</v>
      </c>
      <c r="AN11" s="48" t="s">
        <v>9</v>
      </c>
      <c r="AO11" s="39" t="s">
        <v>9</v>
      </c>
      <c r="AP11" s="48" t="s">
        <v>9</v>
      </c>
      <c r="AQ11" s="39" t="s">
        <v>9</v>
      </c>
      <c r="AR11" s="48" t="s">
        <v>9</v>
      </c>
      <c r="AS11" s="39" t="s">
        <v>9</v>
      </c>
      <c r="AT11" s="48" t="s">
        <v>9</v>
      </c>
      <c r="AU11" s="74" t="s">
        <v>9</v>
      </c>
      <c r="AV11" s="48" t="s">
        <v>9</v>
      </c>
      <c r="AW11" s="74" t="s">
        <v>9</v>
      </c>
    </row>
    <row r="12" spans="1:49" ht="6.75" customHeight="1" x14ac:dyDescent="0.4">
      <c r="A12" s="66">
        <v>12</v>
      </c>
      <c r="B12" s="62" t="s">
        <v>484</v>
      </c>
      <c r="C12" s="1" t="s">
        <v>2040</v>
      </c>
      <c r="D12" s="49" t="s">
        <v>9</v>
      </c>
      <c r="E12" s="54" t="s">
        <v>9</v>
      </c>
      <c r="F12" s="49" t="s">
        <v>9</v>
      </c>
      <c r="G12" s="54" t="s">
        <v>9</v>
      </c>
      <c r="H12" s="49" t="s">
        <v>9</v>
      </c>
      <c r="I12" s="54" t="s">
        <v>9</v>
      </c>
      <c r="J12" s="48" t="s">
        <v>75</v>
      </c>
      <c r="K12" s="39" t="s">
        <v>1493</v>
      </c>
      <c r="L12" s="48" t="s">
        <v>75</v>
      </c>
      <c r="M12" s="36" t="s">
        <v>104</v>
      </c>
      <c r="N12" s="48" t="s">
        <v>9</v>
      </c>
      <c r="O12" s="39" t="s">
        <v>9</v>
      </c>
      <c r="P12" s="48" t="s">
        <v>9</v>
      </c>
      <c r="Q12" s="34" t="s">
        <v>9</v>
      </c>
      <c r="R12" s="48" t="s">
        <v>9</v>
      </c>
      <c r="S12" s="74" t="s">
        <v>9</v>
      </c>
      <c r="T12" s="48" t="s">
        <v>9</v>
      </c>
      <c r="U12" s="74" t="s">
        <v>9</v>
      </c>
      <c r="V12" s="48" t="s">
        <v>9</v>
      </c>
      <c r="W12" s="39" t="s">
        <v>9</v>
      </c>
      <c r="X12" s="48" t="s">
        <v>1516</v>
      </c>
      <c r="Y12" s="39" t="s">
        <v>107</v>
      </c>
      <c r="Z12" s="48" t="s">
        <v>9</v>
      </c>
      <c r="AA12" s="74" t="s">
        <v>9</v>
      </c>
      <c r="AB12" s="48" t="s">
        <v>9</v>
      </c>
      <c r="AC12" s="74" t="s">
        <v>9</v>
      </c>
      <c r="AD12" s="48" t="s">
        <v>9</v>
      </c>
      <c r="AE12" s="74" t="s">
        <v>9</v>
      </c>
      <c r="AF12" s="48" t="s">
        <v>9</v>
      </c>
      <c r="AG12" s="74" t="s">
        <v>9</v>
      </c>
      <c r="AH12" s="48" t="s">
        <v>9</v>
      </c>
      <c r="AI12" s="74" t="s">
        <v>9</v>
      </c>
      <c r="AJ12" s="48" t="s">
        <v>9</v>
      </c>
      <c r="AK12" s="74" t="s">
        <v>9</v>
      </c>
      <c r="AL12" s="48" t="s">
        <v>9</v>
      </c>
      <c r="AM12" s="74" t="s">
        <v>9</v>
      </c>
      <c r="AN12" s="48" t="s">
        <v>9</v>
      </c>
      <c r="AO12" s="39" t="s">
        <v>9</v>
      </c>
      <c r="AP12" s="48" t="s">
        <v>9</v>
      </c>
      <c r="AQ12" s="39" t="s">
        <v>9</v>
      </c>
      <c r="AR12" s="48" t="s">
        <v>9</v>
      </c>
      <c r="AS12" s="39" t="s">
        <v>9</v>
      </c>
      <c r="AT12" s="48" t="s">
        <v>9</v>
      </c>
      <c r="AU12" s="74" t="s">
        <v>9</v>
      </c>
      <c r="AV12" s="48" t="s">
        <v>9</v>
      </c>
      <c r="AW12" s="74" t="s">
        <v>9</v>
      </c>
    </row>
    <row r="13" spans="1:49" ht="6.75" customHeight="1" x14ac:dyDescent="0.4">
      <c r="A13" s="66">
        <v>13</v>
      </c>
      <c r="B13" s="62" t="s">
        <v>485</v>
      </c>
      <c r="C13" s="1" t="s">
        <v>2040</v>
      </c>
      <c r="D13" s="49" t="s">
        <v>9</v>
      </c>
      <c r="E13" s="54" t="s">
        <v>9</v>
      </c>
      <c r="F13" s="49" t="s">
        <v>9</v>
      </c>
      <c r="G13" s="54" t="s">
        <v>9</v>
      </c>
      <c r="H13" s="49" t="s">
        <v>9</v>
      </c>
      <c r="I13" s="54" t="s">
        <v>9</v>
      </c>
      <c r="J13" s="48" t="s">
        <v>75</v>
      </c>
      <c r="K13" s="39" t="s">
        <v>1493</v>
      </c>
      <c r="L13" s="48" t="s">
        <v>75</v>
      </c>
      <c r="M13" s="36" t="s">
        <v>106</v>
      </c>
      <c r="N13" s="48" t="s">
        <v>9</v>
      </c>
      <c r="O13" s="39" t="s">
        <v>9</v>
      </c>
      <c r="P13" s="48" t="s">
        <v>9</v>
      </c>
      <c r="Q13" s="34" t="s">
        <v>9</v>
      </c>
      <c r="R13" s="48" t="s">
        <v>9</v>
      </c>
      <c r="S13" s="74" t="s">
        <v>9</v>
      </c>
      <c r="T13" s="48" t="s">
        <v>9</v>
      </c>
      <c r="U13" s="74" t="s">
        <v>9</v>
      </c>
      <c r="V13" s="48" t="s">
        <v>9</v>
      </c>
      <c r="W13" s="39" t="s">
        <v>9</v>
      </c>
      <c r="X13" s="48" t="s">
        <v>1516</v>
      </c>
      <c r="Y13" s="39" t="s">
        <v>107</v>
      </c>
      <c r="Z13" s="48" t="s">
        <v>9</v>
      </c>
      <c r="AA13" s="74" t="s">
        <v>9</v>
      </c>
      <c r="AB13" s="48" t="s">
        <v>9</v>
      </c>
      <c r="AC13" s="74" t="s">
        <v>9</v>
      </c>
      <c r="AD13" s="48" t="s">
        <v>9</v>
      </c>
      <c r="AE13" s="74" t="s">
        <v>9</v>
      </c>
      <c r="AF13" s="48" t="s">
        <v>9</v>
      </c>
      <c r="AG13" s="74" t="s">
        <v>9</v>
      </c>
      <c r="AH13" s="48" t="s">
        <v>9</v>
      </c>
      <c r="AI13" s="74" t="s">
        <v>9</v>
      </c>
      <c r="AJ13" s="48" t="s">
        <v>9</v>
      </c>
      <c r="AK13" s="74" t="s">
        <v>9</v>
      </c>
      <c r="AL13" s="48" t="s">
        <v>9</v>
      </c>
      <c r="AM13" s="74" t="s">
        <v>9</v>
      </c>
      <c r="AN13" s="48" t="s">
        <v>9</v>
      </c>
      <c r="AO13" s="39" t="s">
        <v>9</v>
      </c>
      <c r="AP13" s="48" t="s">
        <v>9</v>
      </c>
      <c r="AQ13" s="39" t="s">
        <v>9</v>
      </c>
      <c r="AR13" s="48" t="s">
        <v>9</v>
      </c>
      <c r="AS13" s="39" t="s">
        <v>9</v>
      </c>
      <c r="AT13" s="48" t="s">
        <v>9</v>
      </c>
      <c r="AU13" s="74" t="s">
        <v>9</v>
      </c>
      <c r="AV13" s="48" t="s">
        <v>9</v>
      </c>
      <c r="AW13" s="74" t="s">
        <v>9</v>
      </c>
    </row>
    <row r="14" spans="1:49" ht="6.75" customHeight="1" x14ac:dyDescent="0.4">
      <c r="A14" s="66">
        <v>14</v>
      </c>
      <c r="B14" s="62" t="s">
        <v>486</v>
      </c>
      <c r="C14" s="33" t="s">
        <v>2099</v>
      </c>
      <c r="D14" s="49" t="s">
        <v>9</v>
      </c>
      <c r="E14" s="54" t="s">
        <v>9</v>
      </c>
      <c r="F14" s="49" t="s">
        <v>9</v>
      </c>
      <c r="G14" s="54" t="s">
        <v>9</v>
      </c>
      <c r="H14" s="49" t="s">
        <v>9</v>
      </c>
      <c r="I14" s="54" t="s">
        <v>9</v>
      </c>
      <c r="J14" s="48" t="s">
        <v>75</v>
      </c>
      <c r="K14" s="39" t="s">
        <v>1493</v>
      </c>
      <c r="L14" s="48" t="s">
        <v>75</v>
      </c>
      <c r="M14" s="36" t="s">
        <v>113</v>
      </c>
      <c r="N14" s="48" t="s">
        <v>9</v>
      </c>
      <c r="O14" s="39" t="s">
        <v>9</v>
      </c>
      <c r="P14" s="48" t="s">
        <v>9</v>
      </c>
      <c r="Q14" s="34" t="s">
        <v>9</v>
      </c>
      <c r="R14" s="48" t="s">
        <v>9</v>
      </c>
      <c r="S14" s="74" t="s">
        <v>9</v>
      </c>
      <c r="T14" s="48" t="s">
        <v>9</v>
      </c>
      <c r="U14" s="74" t="s">
        <v>9</v>
      </c>
      <c r="V14" s="50" t="s">
        <v>84</v>
      </c>
      <c r="W14" s="39" t="s">
        <v>115</v>
      </c>
      <c r="X14" s="48" t="s">
        <v>1516</v>
      </c>
      <c r="Y14" s="39" t="s">
        <v>114</v>
      </c>
      <c r="Z14" s="48" t="s">
        <v>9</v>
      </c>
      <c r="AA14" s="74" t="s">
        <v>9</v>
      </c>
      <c r="AB14" s="48" t="s">
        <v>9</v>
      </c>
      <c r="AC14" s="74" t="s">
        <v>9</v>
      </c>
      <c r="AD14" s="48" t="s">
        <v>9</v>
      </c>
      <c r="AE14" s="74" t="s">
        <v>9</v>
      </c>
      <c r="AF14" s="48" t="s">
        <v>9</v>
      </c>
      <c r="AG14" s="74" t="s">
        <v>9</v>
      </c>
      <c r="AH14" s="48" t="s">
        <v>9</v>
      </c>
      <c r="AI14" s="74" t="s">
        <v>9</v>
      </c>
      <c r="AJ14" s="48" t="s">
        <v>9</v>
      </c>
      <c r="AK14" s="74" t="s">
        <v>9</v>
      </c>
      <c r="AL14" s="48" t="s">
        <v>9</v>
      </c>
      <c r="AM14" s="74" t="s">
        <v>9</v>
      </c>
      <c r="AN14" s="48" t="s">
        <v>9</v>
      </c>
      <c r="AO14" s="39" t="s">
        <v>9</v>
      </c>
      <c r="AP14" s="48" t="s">
        <v>9</v>
      </c>
      <c r="AQ14" s="39" t="s">
        <v>9</v>
      </c>
      <c r="AR14" s="48" t="s">
        <v>9</v>
      </c>
      <c r="AS14" s="39" t="s">
        <v>9</v>
      </c>
      <c r="AT14" s="48" t="s">
        <v>9</v>
      </c>
      <c r="AU14" s="74" t="s">
        <v>9</v>
      </c>
      <c r="AV14" s="48" t="s">
        <v>9</v>
      </c>
      <c r="AW14" s="74" t="s">
        <v>9</v>
      </c>
    </row>
    <row r="15" spans="1:49" ht="6.75" customHeight="1" x14ac:dyDescent="0.4">
      <c r="A15" s="66">
        <v>15</v>
      </c>
      <c r="B15" s="62" t="s">
        <v>474</v>
      </c>
      <c r="C15" s="1" t="s">
        <v>510</v>
      </c>
      <c r="D15" s="49" t="s">
        <v>108</v>
      </c>
      <c r="E15" s="54" t="s">
        <v>482</v>
      </c>
      <c r="F15" s="49" t="s">
        <v>9</v>
      </c>
      <c r="G15" s="54" t="s">
        <v>9</v>
      </c>
      <c r="H15" s="49" t="s">
        <v>9</v>
      </c>
      <c r="I15" s="54" t="s">
        <v>9</v>
      </c>
      <c r="J15" s="48" t="s">
        <v>75</v>
      </c>
      <c r="K15" s="39" t="s">
        <v>1493</v>
      </c>
      <c r="L15" s="48" t="s">
        <v>75</v>
      </c>
      <c r="M15" s="36" t="s">
        <v>122</v>
      </c>
      <c r="N15" s="48" t="s">
        <v>76</v>
      </c>
      <c r="O15" s="39">
        <v>1.1000000000000001</v>
      </c>
      <c r="P15" s="48" t="s">
        <v>77</v>
      </c>
      <c r="Q15" s="58">
        <v>7</v>
      </c>
      <c r="R15" s="48" t="s">
        <v>78</v>
      </c>
      <c r="S15" s="76">
        <v>21</v>
      </c>
      <c r="T15" s="48" t="s">
        <v>9</v>
      </c>
      <c r="U15" s="74" t="s">
        <v>9</v>
      </c>
      <c r="V15" s="50" t="s">
        <v>84</v>
      </c>
      <c r="W15" s="51" t="s">
        <v>123</v>
      </c>
      <c r="X15" s="48" t="s">
        <v>1516</v>
      </c>
      <c r="Y15" s="39" t="s">
        <v>124</v>
      </c>
      <c r="Z15" s="48" t="s">
        <v>9</v>
      </c>
      <c r="AA15" s="74" t="s">
        <v>9</v>
      </c>
      <c r="AB15" s="48" t="s">
        <v>9</v>
      </c>
      <c r="AC15" s="74" t="s">
        <v>9</v>
      </c>
      <c r="AD15" s="48" t="s">
        <v>9</v>
      </c>
      <c r="AE15" s="74" t="s">
        <v>9</v>
      </c>
      <c r="AF15" s="48" t="s">
        <v>9</v>
      </c>
      <c r="AG15" s="74" t="s">
        <v>9</v>
      </c>
      <c r="AH15" s="48" t="s">
        <v>9</v>
      </c>
      <c r="AI15" s="74" t="s">
        <v>9</v>
      </c>
      <c r="AJ15" s="48" t="s">
        <v>9</v>
      </c>
      <c r="AK15" s="74" t="s">
        <v>9</v>
      </c>
      <c r="AL15" s="48" t="s">
        <v>9</v>
      </c>
      <c r="AM15" s="74" t="s">
        <v>9</v>
      </c>
      <c r="AN15" s="48" t="s">
        <v>9</v>
      </c>
      <c r="AO15" s="39" t="s">
        <v>9</v>
      </c>
      <c r="AP15" s="48" t="s">
        <v>9</v>
      </c>
      <c r="AQ15" s="39" t="s">
        <v>9</v>
      </c>
      <c r="AR15" s="48" t="s">
        <v>9</v>
      </c>
      <c r="AS15" s="39" t="s">
        <v>9</v>
      </c>
      <c r="AT15" s="48" t="s">
        <v>9</v>
      </c>
      <c r="AU15" s="74" t="s">
        <v>9</v>
      </c>
      <c r="AV15" s="48" t="s">
        <v>9</v>
      </c>
      <c r="AW15" s="74" t="s">
        <v>9</v>
      </c>
    </row>
    <row r="16" spans="1:49" ht="6.75" customHeight="1" x14ac:dyDescent="0.4">
      <c r="A16" s="66">
        <v>16</v>
      </c>
      <c r="B16" s="62" t="s">
        <v>85</v>
      </c>
      <c r="C16" s="1" t="s">
        <v>1582</v>
      </c>
      <c r="D16" s="49" t="s">
        <v>108</v>
      </c>
      <c r="E16" s="54" t="s">
        <v>482</v>
      </c>
      <c r="F16" s="49" t="s">
        <v>9</v>
      </c>
      <c r="G16" s="54" t="s">
        <v>9</v>
      </c>
      <c r="H16" s="49" t="s">
        <v>9</v>
      </c>
      <c r="I16" s="54" t="s">
        <v>9</v>
      </c>
      <c r="J16" s="48" t="s">
        <v>75</v>
      </c>
      <c r="K16" s="39" t="s">
        <v>1493</v>
      </c>
      <c r="L16" s="48" t="s">
        <v>75</v>
      </c>
      <c r="M16" s="36" t="str">
        <f>_xlfn.CONCAT("""","Peça para revestimento de pisos ou paredes. Deve ser colocado com paginação definida. Marca Eliane.",B16,"""")</f>
        <v>"Peça para revestimento de pisos ou paredes. Deve ser colocado com paginação definida. Marca Eliane.CE.25x25"</v>
      </c>
      <c r="N16" s="48" t="s">
        <v>76</v>
      </c>
      <c r="O16" s="39">
        <v>1.1000000000000001</v>
      </c>
      <c r="P16" s="48" t="s">
        <v>77</v>
      </c>
      <c r="Q16" s="58">
        <v>25</v>
      </c>
      <c r="R16" s="48" t="s">
        <v>78</v>
      </c>
      <c r="S16" s="76">
        <v>25</v>
      </c>
      <c r="T16" s="48" t="s">
        <v>9</v>
      </c>
      <c r="U16" s="74" t="s">
        <v>9</v>
      </c>
      <c r="V16" s="50" t="s">
        <v>84</v>
      </c>
      <c r="W16" s="51" t="s">
        <v>102</v>
      </c>
      <c r="X16" s="48" t="s">
        <v>1516</v>
      </c>
      <c r="Y16" s="39" t="s">
        <v>101</v>
      </c>
      <c r="Z16" s="48" t="s">
        <v>1516</v>
      </c>
      <c r="AA16" s="74" t="s">
        <v>1517</v>
      </c>
      <c r="AB16" s="48" t="s">
        <v>9</v>
      </c>
      <c r="AC16" s="74" t="s">
        <v>9</v>
      </c>
      <c r="AD16" s="48" t="s">
        <v>9</v>
      </c>
      <c r="AE16" s="74" t="s">
        <v>9</v>
      </c>
      <c r="AF16" s="48" t="s">
        <v>9</v>
      </c>
      <c r="AG16" s="74" t="s">
        <v>9</v>
      </c>
      <c r="AH16" s="48" t="s">
        <v>9</v>
      </c>
      <c r="AI16" s="74" t="s">
        <v>9</v>
      </c>
      <c r="AJ16" s="48" t="s">
        <v>9</v>
      </c>
      <c r="AK16" s="74" t="s">
        <v>9</v>
      </c>
      <c r="AL16" s="48" t="s">
        <v>9</v>
      </c>
      <c r="AM16" s="74" t="s">
        <v>9</v>
      </c>
      <c r="AN16" s="48" t="s">
        <v>9</v>
      </c>
      <c r="AO16" s="39" t="s">
        <v>9</v>
      </c>
      <c r="AP16" s="48" t="s">
        <v>9</v>
      </c>
      <c r="AQ16" s="39" t="s">
        <v>9</v>
      </c>
      <c r="AR16" s="48" t="s">
        <v>9</v>
      </c>
      <c r="AS16" s="39" t="s">
        <v>9</v>
      </c>
      <c r="AT16" s="48" t="s">
        <v>9</v>
      </c>
      <c r="AU16" s="74" t="s">
        <v>9</v>
      </c>
      <c r="AV16" s="48" t="s">
        <v>9</v>
      </c>
      <c r="AW16" s="74" t="s">
        <v>9</v>
      </c>
    </row>
    <row r="17" spans="1:49" ht="6.75" customHeight="1" x14ac:dyDescent="0.4">
      <c r="A17" s="66">
        <v>17</v>
      </c>
      <c r="B17" s="62" t="s">
        <v>86</v>
      </c>
      <c r="C17" s="1" t="s">
        <v>1582</v>
      </c>
      <c r="D17" s="49" t="s">
        <v>108</v>
      </c>
      <c r="E17" s="54" t="s">
        <v>483</v>
      </c>
      <c r="F17" s="49" t="s">
        <v>9</v>
      </c>
      <c r="G17" s="54" t="s">
        <v>9</v>
      </c>
      <c r="H17" s="49" t="s">
        <v>9</v>
      </c>
      <c r="I17" s="54" t="s">
        <v>9</v>
      </c>
      <c r="J17" s="48" t="s">
        <v>75</v>
      </c>
      <c r="K17" s="39" t="s">
        <v>1493</v>
      </c>
      <c r="L17" s="48" t="s">
        <v>75</v>
      </c>
      <c r="M17" s="36" t="str">
        <f t="shared" ref="M17:M31" si="0">_xlfn.CONCAT("""","Peça para revestimento de pisos ou paredes. Deve ser colocado com paginação definida. Marca Eliane.",B17,"""")</f>
        <v>"Peça para revestimento de pisos ou paredes. Deve ser colocado com paginação definida. Marca Eliane.CE.30x60"</v>
      </c>
      <c r="N17" s="48" t="s">
        <v>76</v>
      </c>
      <c r="O17" s="39">
        <v>1.1000000000000001</v>
      </c>
      <c r="P17" s="48" t="s">
        <v>77</v>
      </c>
      <c r="Q17" s="58">
        <v>30</v>
      </c>
      <c r="R17" s="48" t="s">
        <v>78</v>
      </c>
      <c r="S17" s="76">
        <v>60</v>
      </c>
      <c r="T17" s="48" t="s">
        <v>9</v>
      </c>
      <c r="U17" s="74" t="s">
        <v>9</v>
      </c>
      <c r="V17" s="50" t="s">
        <v>84</v>
      </c>
      <c r="W17" s="51" t="s">
        <v>109</v>
      </c>
      <c r="X17" s="48" t="s">
        <v>1516</v>
      </c>
      <c r="Y17" s="39" t="s">
        <v>101</v>
      </c>
      <c r="Z17" s="48" t="s">
        <v>1516</v>
      </c>
      <c r="AA17" s="74" t="s">
        <v>1517</v>
      </c>
      <c r="AB17" s="48" t="s">
        <v>9</v>
      </c>
      <c r="AC17" s="74" t="s">
        <v>9</v>
      </c>
      <c r="AD17" s="48" t="s">
        <v>9</v>
      </c>
      <c r="AE17" s="74" t="s">
        <v>9</v>
      </c>
      <c r="AF17" s="48" t="s">
        <v>9</v>
      </c>
      <c r="AG17" s="74" t="s">
        <v>9</v>
      </c>
      <c r="AH17" s="48" t="s">
        <v>9</v>
      </c>
      <c r="AI17" s="74" t="s">
        <v>9</v>
      </c>
      <c r="AJ17" s="48" t="s">
        <v>9</v>
      </c>
      <c r="AK17" s="74" t="s">
        <v>9</v>
      </c>
      <c r="AL17" s="48" t="s">
        <v>9</v>
      </c>
      <c r="AM17" s="74" t="s">
        <v>9</v>
      </c>
      <c r="AN17" s="48" t="s">
        <v>9</v>
      </c>
      <c r="AO17" s="39" t="s">
        <v>9</v>
      </c>
      <c r="AP17" s="48" t="s">
        <v>9</v>
      </c>
      <c r="AQ17" s="39" t="s">
        <v>9</v>
      </c>
      <c r="AR17" s="48" t="s">
        <v>9</v>
      </c>
      <c r="AS17" s="39" t="s">
        <v>9</v>
      </c>
      <c r="AT17" s="48" t="s">
        <v>9</v>
      </c>
      <c r="AU17" s="74" t="s">
        <v>9</v>
      </c>
      <c r="AV17" s="48" t="s">
        <v>9</v>
      </c>
      <c r="AW17" s="74" t="s">
        <v>9</v>
      </c>
    </row>
    <row r="18" spans="1:49" ht="6.75" customHeight="1" x14ac:dyDescent="0.4">
      <c r="A18" s="66">
        <v>18</v>
      </c>
      <c r="B18" s="62" t="s">
        <v>87</v>
      </c>
      <c r="C18" s="1" t="s">
        <v>1582</v>
      </c>
      <c r="D18" s="49" t="s">
        <v>108</v>
      </c>
      <c r="E18" s="54" t="s">
        <v>482</v>
      </c>
      <c r="F18" s="49" t="s">
        <v>9</v>
      </c>
      <c r="G18" s="54" t="s">
        <v>9</v>
      </c>
      <c r="H18" s="49" t="s">
        <v>9</v>
      </c>
      <c r="I18" s="54" t="s">
        <v>9</v>
      </c>
      <c r="J18" s="48" t="s">
        <v>75</v>
      </c>
      <c r="K18" s="39" t="s">
        <v>1493</v>
      </c>
      <c r="L18" s="48" t="s">
        <v>75</v>
      </c>
      <c r="M18" s="36" t="str">
        <f t="shared" si="0"/>
        <v>"Peça para revestimento de pisos ou paredes. Deve ser colocado com paginação definida. Marca Eliane.CE.50x10"</v>
      </c>
      <c r="N18" s="48" t="s">
        <v>76</v>
      </c>
      <c r="O18" s="39">
        <v>1.1000000000000001</v>
      </c>
      <c r="P18" s="48" t="s">
        <v>77</v>
      </c>
      <c r="Q18" s="58">
        <v>50</v>
      </c>
      <c r="R18" s="48" t="s">
        <v>78</v>
      </c>
      <c r="S18" s="76">
        <v>10</v>
      </c>
      <c r="T18" s="48" t="s">
        <v>9</v>
      </c>
      <c r="U18" s="74" t="s">
        <v>9</v>
      </c>
      <c r="V18" s="50" t="s">
        <v>84</v>
      </c>
      <c r="W18" s="51" t="s">
        <v>102</v>
      </c>
      <c r="X18" s="48" t="s">
        <v>1516</v>
      </c>
      <c r="Y18" s="39" t="s">
        <v>101</v>
      </c>
      <c r="Z18" s="48" t="s">
        <v>1516</v>
      </c>
      <c r="AA18" s="74" t="s">
        <v>1517</v>
      </c>
      <c r="AB18" s="48" t="s">
        <v>9</v>
      </c>
      <c r="AC18" s="74" t="s">
        <v>9</v>
      </c>
      <c r="AD18" s="48" t="s">
        <v>9</v>
      </c>
      <c r="AE18" s="74" t="s">
        <v>9</v>
      </c>
      <c r="AF18" s="48" t="s">
        <v>9</v>
      </c>
      <c r="AG18" s="74" t="s">
        <v>9</v>
      </c>
      <c r="AH18" s="48" t="s">
        <v>9</v>
      </c>
      <c r="AI18" s="74" t="s">
        <v>9</v>
      </c>
      <c r="AJ18" s="48" t="s">
        <v>9</v>
      </c>
      <c r="AK18" s="74" t="s">
        <v>9</v>
      </c>
      <c r="AL18" s="48" t="s">
        <v>9</v>
      </c>
      <c r="AM18" s="74" t="s">
        <v>9</v>
      </c>
      <c r="AN18" s="48" t="s">
        <v>9</v>
      </c>
      <c r="AO18" s="39" t="s">
        <v>9</v>
      </c>
      <c r="AP18" s="48" t="s">
        <v>9</v>
      </c>
      <c r="AQ18" s="39" t="s">
        <v>9</v>
      </c>
      <c r="AR18" s="48" t="s">
        <v>9</v>
      </c>
      <c r="AS18" s="39" t="s">
        <v>9</v>
      </c>
      <c r="AT18" s="48" t="s">
        <v>9</v>
      </c>
      <c r="AU18" s="74" t="s">
        <v>9</v>
      </c>
      <c r="AV18" s="48" t="s">
        <v>9</v>
      </c>
      <c r="AW18" s="74" t="s">
        <v>9</v>
      </c>
    </row>
    <row r="19" spans="1:49" ht="6.75" customHeight="1" x14ac:dyDescent="0.4">
      <c r="A19" s="66">
        <v>19</v>
      </c>
      <c r="B19" s="62" t="s">
        <v>88</v>
      </c>
      <c r="C19" s="1" t="s">
        <v>1582</v>
      </c>
      <c r="D19" s="49" t="s">
        <v>108</v>
      </c>
      <c r="E19" s="54" t="s">
        <v>484</v>
      </c>
      <c r="F19" s="49" t="s">
        <v>9</v>
      </c>
      <c r="G19" s="54" t="s">
        <v>9</v>
      </c>
      <c r="H19" s="49" t="s">
        <v>9</v>
      </c>
      <c r="I19" s="54" t="s">
        <v>9</v>
      </c>
      <c r="J19" s="48" t="s">
        <v>75</v>
      </c>
      <c r="K19" s="39" t="s">
        <v>1493</v>
      </c>
      <c r="L19" s="48" t="s">
        <v>75</v>
      </c>
      <c r="M19" s="36" t="str">
        <f t="shared" si="0"/>
        <v>"Peça para revestimento de pisos ou paredes. Deve ser colocado com paginação definida. Marca Eliane.CE.60x60"</v>
      </c>
      <c r="N19" s="48" t="s">
        <v>76</v>
      </c>
      <c r="O19" s="39">
        <v>1.1000000000000001</v>
      </c>
      <c r="P19" s="48" t="s">
        <v>77</v>
      </c>
      <c r="Q19" s="58">
        <v>60</v>
      </c>
      <c r="R19" s="48" t="s">
        <v>78</v>
      </c>
      <c r="S19" s="76">
        <v>60</v>
      </c>
      <c r="T19" s="48" t="s">
        <v>9</v>
      </c>
      <c r="U19" s="74" t="s">
        <v>9</v>
      </c>
      <c r="V19" s="50" t="s">
        <v>84</v>
      </c>
      <c r="W19" s="51" t="s">
        <v>102</v>
      </c>
      <c r="X19" s="48" t="s">
        <v>1516</v>
      </c>
      <c r="Y19" s="39" t="s">
        <v>101</v>
      </c>
      <c r="Z19" s="48" t="s">
        <v>1516</v>
      </c>
      <c r="AA19" s="74" t="s">
        <v>1517</v>
      </c>
      <c r="AB19" s="48" t="s">
        <v>9</v>
      </c>
      <c r="AC19" s="74" t="s">
        <v>9</v>
      </c>
      <c r="AD19" s="48" t="s">
        <v>9</v>
      </c>
      <c r="AE19" s="74" t="s">
        <v>9</v>
      </c>
      <c r="AF19" s="48" t="s">
        <v>9</v>
      </c>
      <c r="AG19" s="74" t="s">
        <v>9</v>
      </c>
      <c r="AH19" s="48" t="s">
        <v>9</v>
      </c>
      <c r="AI19" s="74" t="s">
        <v>9</v>
      </c>
      <c r="AJ19" s="48" t="s">
        <v>9</v>
      </c>
      <c r="AK19" s="74" t="s">
        <v>9</v>
      </c>
      <c r="AL19" s="48" t="s">
        <v>9</v>
      </c>
      <c r="AM19" s="74" t="s">
        <v>9</v>
      </c>
      <c r="AN19" s="48" t="s">
        <v>9</v>
      </c>
      <c r="AO19" s="39" t="s">
        <v>9</v>
      </c>
      <c r="AP19" s="48" t="s">
        <v>9</v>
      </c>
      <c r="AQ19" s="39" t="s">
        <v>9</v>
      </c>
      <c r="AR19" s="48" t="s">
        <v>9</v>
      </c>
      <c r="AS19" s="39" t="s">
        <v>9</v>
      </c>
      <c r="AT19" s="48" t="s">
        <v>9</v>
      </c>
      <c r="AU19" s="74" t="s">
        <v>9</v>
      </c>
      <c r="AV19" s="48" t="s">
        <v>9</v>
      </c>
      <c r="AW19" s="74" t="s">
        <v>9</v>
      </c>
    </row>
    <row r="20" spans="1:49" ht="6.75" customHeight="1" x14ac:dyDescent="0.4">
      <c r="A20" s="66">
        <v>20</v>
      </c>
      <c r="B20" s="62" t="s">
        <v>94</v>
      </c>
      <c r="C20" s="1" t="s">
        <v>1582</v>
      </c>
      <c r="D20" s="49" t="s">
        <v>108</v>
      </c>
      <c r="E20" s="54" t="s">
        <v>482</v>
      </c>
      <c r="F20" s="49" t="s">
        <v>9</v>
      </c>
      <c r="G20" s="54" t="s">
        <v>9</v>
      </c>
      <c r="H20" s="49" t="s">
        <v>9</v>
      </c>
      <c r="I20" s="54" t="s">
        <v>9</v>
      </c>
      <c r="J20" s="48" t="s">
        <v>75</v>
      </c>
      <c r="K20" s="39" t="s">
        <v>1493</v>
      </c>
      <c r="L20" s="48" t="s">
        <v>75</v>
      </c>
      <c r="M20" s="36" t="str">
        <f t="shared" si="0"/>
        <v>"Peça para revestimento de pisos ou paredes. Deve ser colocado com paginação definida. Marca Eliane.CE.60x14"</v>
      </c>
      <c r="N20" s="48" t="s">
        <v>76</v>
      </c>
      <c r="O20" s="39">
        <v>1.1000000000000001</v>
      </c>
      <c r="P20" s="48" t="s">
        <v>77</v>
      </c>
      <c r="Q20" s="58">
        <v>60</v>
      </c>
      <c r="R20" s="48" t="s">
        <v>78</v>
      </c>
      <c r="S20" s="76">
        <v>14.5</v>
      </c>
      <c r="T20" s="48" t="s">
        <v>9</v>
      </c>
      <c r="U20" s="74" t="s">
        <v>9</v>
      </c>
      <c r="V20" s="50" t="s">
        <v>84</v>
      </c>
      <c r="W20" s="51" t="s">
        <v>102</v>
      </c>
      <c r="X20" s="48" t="s">
        <v>1516</v>
      </c>
      <c r="Y20" s="39" t="s">
        <v>101</v>
      </c>
      <c r="Z20" s="48" t="s">
        <v>1516</v>
      </c>
      <c r="AA20" s="74" t="s">
        <v>1517</v>
      </c>
      <c r="AB20" s="48" t="s">
        <v>9</v>
      </c>
      <c r="AC20" s="74" t="s">
        <v>9</v>
      </c>
      <c r="AD20" s="48" t="s">
        <v>9</v>
      </c>
      <c r="AE20" s="74" t="s">
        <v>9</v>
      </c>
      <c r="AF20" s="48" t="s">
        <v>9</v>
      </c>
      <c r="AG20" s="74" t="s">
        <v>9</v>
      </c>
      <c r="AH20" s="48" t="s">
        <v>9</v>
      </c>
      <c r="AI20" s="74" t="s">
        <v>9</v>
      </c>
      <c r="AJ20" s="48" t="s">
        <v>9</v>
      </c>
      <c r="AK20" s="74" t="s">
        <v>9</v>
      </c>
      <c r="AL20" s="48" t="s">
        <v>9</v>
      </c>
      <c r="AM20" s="74" t="s">
        <v>9</v>
      </c>
      <c r="AN20" s="48" t="s">
        <v>9</v>
      </c>
      <c r="AO20" s="39" t="s">
        <v>9</v>
      </c>
      <c r="AP20" s="48" t="s">
        <v>9</v>
      </c>
      <c r="AQ20" s="39" t="s">
        <v>9</v>
      </c>
      <c r="AR20" s="48" t="s">
        <v>9</v>
      </c>
      <c r="AS20" s="39" t="s">
        <v>9</v>
      </c>
      <c r="AT20" s="48" t="s">
        <v>9</v>
      </c>
      <c r="AU20" s="74" t="s">
        <v>9</v>
      </c>
      <c r="AV20" s="48" t="s">
        <v>9</v>
      </c>
      <c r="AW20" s="74" t="s">
        <v>9</v>
      </c>
    </row>
    <row r="21" spans="1:49" ht="6.75" customHeight="1" x14ac:dyDescent="0.4">
      <c r="A21" s="66">
        <v>21</v>
      </c>
      <c r="B21" s="62" t="s">
        <v>95</v>
      </c>
      <c r="C21" s="1" t="s">
        <v>1582</v>
      </c>
      <c r="D21" s="49" t="s">
        <v>108</v>
      </c>
      <c r="E21" s="54" t="s">
        <v>482</v>
      </c>
      <c r="F21" s="49" t="s">
        <v>9</v>
      </c>
      <c r="G21" s="54" t="s">
        <v>9</v>
      </c>
      <c r="H21" s="49" t="s">
        <v>9</v>
      </c>
      <c r="I21" s="54" t="s">
        <v>9</v>
      </c>
      <c r="J21" s="48" t="s">
        <v>75</v>
      </c>
      <c r="K21" s="39" t="s">
        <v>1493</v>
      </c>
      <c r="L21" s="48" t="s">
        <v>75</v>
      </c>
      <c r="M21" s="36" t="str">
        <f t="shared" si="0"/>
        <v>"Peça para revestimento de pisos ou paredes. Deve ser colocado com paginação definida. Marca Eliane.CE.60x9"</v>
      </c>
      <c r="N21" s="48" t="s">
        <v>76</v>
      </c>
      <c r="O21" s="39">
        <v>1.1000000000000001</v>
      </c>
      <c r="P21" s="48" t="s">
        <v>77</v>
      </c>
      <c r="Q21" s="58">
        <v>60</v>
      </c>
      <c r="R21" s="48" t="s">
        <v>78</v>
      </c>
      <c r="S21" s="76">
        <v>9.5</v>
      </c>
      <c r="T21" s="48" t="s">
        <v>9</v>
      </c>
      <c r="U21" s="74" t="s">
        <v>9</v>
      </c>
      <c r="V21" s="50" t="s">
        <v>84</v>
      </c>
      <c r="W21" s="51" t="s">
        <v>102</v>
      </c>
      <c r="X21" s="48" t="s">
        <v>1516</v>
      </c>
      <c r="Y21" s="39" t="s">
        <v>101</v>
      </c>
      <c r="Z21" s="48" t="s">
        <v>1516</v>
      </c>
      <c r="AA21" s="74" t="s">
        <v>1517</v>
      </c>
      <c r="AB21" s="48" t="s">
        <v>9</v>
      </c>
      <c r="AC21" s="74" t="s">
        <v>9</v>
      </c>
      <c r="AD21" s="48" t="s">
        <v>9</v>
      </c>
      <c r="AE21" s="74" t="s">
        <v>9</v>
      </c>
      <c r="AF21" s="48" t="s">
        <v>9</v>
      </c>
      <c r="AG21" s="74" t="s">
        <v>9</v>
      </c>
      <c r="AH21" s="48" t="s">
        <v>9</v>
      </c>
      <c r="AI21" s="74" t="s">
        <v>9</v>
      </c>
      <c r="AJ21" s="48" t="s">
        <v>9</v>
      </c>
      <c r="AK21" s="74" t="s">
        <v>9</v>
      </c>
      <c r="AL21" s="48" t="s">
        <v>9</v>
      </c>
      <c r="AM21" s="74" t="s">
        <v>9</v>
      </c>
      <c r="AN21" s="48" t="s">
        <v>9</v>
      </c>
      <c r="AO21" s="39" t="s">
        <v>9</v>
      </c>
      <c r="AP21" s="48" t="s">
        <v>9</v>
      </c>
      <c r="AQ21" s="39" t="s">
        <v>9</v>
      </c>
      <c r="AR21" s="48" t="s">
        <v>9</v>
      </c>
      <c r="AS21" s="39" t="s">
        <v>9</v>
      </c>
      <c r="AT21" s="48" t="s">
        <v>9</v>
      </c>
      <c r="AU21" s="74" t="s">
        <v>9</v>
      </c>
      <c r="AV21" s="48" t="s">
        <v>9</v>
      </c>
      <c r="AW21" s="74" t="s">
        <v>9</v>
      </c>
    </row>
    <row r="22" spans="1:49" ht="6.75" customHeight="1" x14ac:dyDescent="0.4">
      <c r="A22" s="66">
        <v>22</v>
      </c>
      <c r="B22" s="62" t="s">
        <v>89</v>
      </c>
      <c r="C22" s="1" t="s">
        <v>1582</v>
      </c>
      <c r="D22" s="49" t="s">
        <v>108</v>
      </c>
      <c r="E22" s="54" t="s">
        <v>483</v>
      </c>
      <c r="F22" s="49" t="s">
        <v>9</v>
      </c>
      <c r="G22" s="54" t="s">
        <v>9</v>
      </c>
      <c r="H22" s="49" t="s">
        <v>9</v>
      </c>
      <c r="I22" s="54" t="s">
        <v>9</v>
      </c>
      <c r="J22" s="48" t="s">
        <v>75</v>
      </c>
      <c r="K22" s="39" t="s">
        <v>1493</v>
      </c>
      <c r="L22" s="48" t="s">
        <v>75</v>
      </c>
      <c r="M22" s="36" t="str">
        <f t="shared" si="0"/>
        <v>"Peça para revestimento de pisos ou paredes. Deve ser colocado com paginação definida. Marca Eliane.CE.60x10"</v>
      </c>
      <c r="N22" s="48" t="s">
        <v>76</v>
      </c>
      <c r="O22" s="39">
        <v>1.1000000000000001</v>
      </c>
      <c r="P22" s="48" t="s">
        <v>77</v>
      </c>
      <c r="Q22" s="58">
        <v>60</v>
      </c>
      <c r="R22" s="48" t="s">
        <v>78</v>
      </c>
      <c r="S22" s="76">
        <v>10</v>
      </c>
      <c r="T22" s="48" t="s">
        <v>9</v>
      </c>
      <c r="U22" s="74" t="s">
        <v>9</v>
      </c>
      <c r="V22" s="50" t="s">
        <v>84</v>
      </c>
      <c r="W22" s="51" t="s">
        <v>109</v>
      </c>
      <c r="X22" s="48" t="s">
        <v>1516</v>
      </c>
      <c r="Y22" s="39" t="s">
        <v>101</v>
      </c>
      <c r="Z22" s="48" t="s">
        <v>1516</v>
      </c>
      <c r="AA22" s="74" t="s">
        <v>1517</v>
      </c>
      <c r="AB22" s="48" t="s">
        <v>9</v>
      </c>
      <c r="AC22" s="74" t="s">
        <v>9</v>
      </c>
      <c r="AD22" s="48" t="s">
        <v>9</v>
      </c>
      <c r="AE22" s="74" t="s">
        <v>9</v>
      </c>
      <c r="AF22" s="48" t="s">
        <v>9</v>
      </c>
      <c r="AG22" s="74" t="s">
        <v>9</v>
      </c>
      <c r="AH22" s="48" t="s">
        <v>9</v>
      </c>
      <c r="AI22" s="74" t="s">
        <v>9</v>
      </c>
      <c r="AJ22" s="48" t="s">
        <v>9</v>
      </c>
      <c r="AK22" s="74" t="s">
        <v>9</v>
      </c>
      <c r="AL22" s="48" t="s">
        <v>9</v>
      </c>
      <c r="AM22" s="74" t="s">
        <v>9</v>
      </c>
      <c r="AN22" s="48" t="s">
        <v>9</v>
      </c>
      <c r="AO22" s="39" t="s">
        <v>9</v>
      </c>
      <c r="AP22" s="48" t="s">
        <v>9</v>
      </c>
      <c r="AQ22" s="39" t="s">
        <v>9</v>
      </c>
      <c r="AR22" s="48" t="s">
        <v>9</v>
      </c>
      <c r="AS22" s="39" t="s">
        <v>9</v>
      </c>
      <c r="AT22" s="48" t="s">
        <v>9</v>
      </c>
      <c r="AU22" s="74" t="s">
        <v>9</v>
      </c>
      <c r="AV22" s="48" t="s">
        <v>9</v>
      </c>
      <c r="AW22" s="74" t="s">
        <v>9</v>
      </c>
    </row>
    <row r="23" spans="1:49" ht="6.75" customHeight="1" x14ac:dyDescent="0.4">
      <c r="A23" s="66">
        <v>23</v>
      </c>
      <c r="B23" s="62" t="s">
        <v>90</v>
      </c>
      <c r="C23" s="1" t="s">
        <v>1582</v>
      </c>
      <c r="D23" s="49" t="s">
        <v>108</v>
      </c>
      <c r="E23" s="54" t="s">
        <v>484</v>
      </c>
      <c r="F23" s="49" t="s">
        <v>9</v>
      </c>
      <c r="G23" s="54" t="s">
        <v>9</v>
      </c>
      <c r="H23" s="49" t="s">
        <v>9</v>
      </c>
      <c r="I23" s="54" t="s">
        <v>9</v>
      </c>
      <c r="J23" s="48" t="s">
        <v>75</v>
      </c>
      <c r="K23" s="39" t="s">
        <v>1493</v>
      </c>
      <c r="L23" s="48" t="s">
        <v>75</v>
      </c>
      <c r="M23" s="36" t="str">
        <f t="shared" si="0"/>
        <v>"Peça para revestimento de pisos ou paredes. Deve ser colocado com paginação definida. Marca Eliane.CE.70x70"</v>
      </c>
      <c r="N23" s="48" t="s">
        <v>76</v>
      </c>
      <c r="O23" s="39">
        <v>1.1000000000000001</v>
      </c>
      <c r="P23" s="48" t="s">
        <v>77</v>
      </c>
      <c r="Q23" s="58">
        <v>70</v>
      </c>
      <c r="R23" s="48" t="s">
        <v>78</v>
      </c>
      <c r="S23" s="76">
        <v>70</v>
      </c>
      <c r="T23" s="48" t="s">
        <v>9</v>
      </c>
      <c r="U23" s="74" t="s">
        <v>9</v>
      </c>
      <c r="V23" s="50" t="s">
        <v>84</v>
      </c>
      <c r="W23" s="51" t="s">
        <v>102</v>
      </c>
      <c r="X23" s="48" t="s">
        <v>1516</v>
      </c>
      <c r="Y23" s="39" t="s">
        <v>101</v>
      </c>
      <c r="Z23" s="48" t="s">
        <v>1516</v>
      </c>
      <c r="AA23" s="74" t="s">
        <v>1517</v>
      </c>
      <c r="AB23" s="48" t="s">
        <v>9</v>
      </c>
      <c r="AC23" s="74" t="s">
        <v>9</v>
      </c>
      <c r="AD23" s="48" t="s">
        <v>9</v>
      </c>
      <c r="AE23" s="74" t="s">
        <v>9</v>
      </c>
      <c r="AF23" s="48" t="s">
        <v>9</v>
      </c>
      <c r="AG23" s="74" t="s">
        <v>9</v>
      </c>
      <c r="AH23" s="48" t="s">
        <v>9</v>
      </c>
      <c r="AI23" s="74" t="s">
        <v>9</v>
      </c>
      <c r="AJ23" s="48" t="s">
        <v>9</v>
      </c>
      <c r="AK23" s="74" t="s">
        <v>9</v>
      </c>
      <c r="AL23" s="48" t="s">
        <v>9</v>
      </c>
      <c r="AM23" s="74" t="s">
        <v>9</v>
      </c>
      <c r="AN23" s="48" t="s">
        <v>9</v>
      </c>
      <c r="AO23" s="39" t="s">
        <v>9</v>
      </c>
      <c r="AP23" s="48" t="s">
        <v>9</v>
      </c>
      <c r="AQ23" s="39" t="s">
        <v>9</v>
      </c>
      <c r="AR23" s="48" t="s">
        <v>9</v>
      </c>
      <c r="AS23" s="39" t="s">
        <v>9</v>
      </c>
      <c r="AT23" s="48" t="s">
        <v>9</v>
      </c>
      <c r="AU23" s="74" t="s">
        <v>9</v>
      </c>
      <c r="AV23" s="48" t="s">
        <v>9</v>
      </c>
      <c r="AW23" s="74" t="s">
        <v>9</v>
      </c>
    </row>
    <row r="24" spans="1:49" ht="6.75" customHeight="1" x14ac:dyDescent="0.4">
      <c r="A24" s="66">
        <v>24</v>
      </c>
      <c r="B24" s="62" t="s">
        <v>91</v>
      </c>
      <c r="C24" s="1" t="s">
        <v>1582</v>
      </c>
      <c r="D24" s="49" t="s">
        <v>108</v>
      </c>
      <c r="E24" s="54" t="s">
        <v>484</v>
      </c>
      <c r="F24" s="49" t="s">
        <v>9</v>
      </c>
      <c r="G24" s="54" t="s">
        <v>9</v>
      </c>
      <c r="H24" s="49" t="s">
        <v>9</v>
      </c>
      <c r="I24" s="54" t="s">
        <v>9</v>
      </c>
      <c r="J24" s="48" t="s">
        <v>75</v>
      </c>
      <c r="K24" s="39" t="s">
        <v>1493</v>
      </c>
      <c r="L24" s="48" t="s">
        <v>75</v>
      </c>
      <c r="M24" s="36" t="str">
        <f t="shared" si="0"/>
        <v>"Peça para revestimento de pisos ou paredes. Deve ser colocado com paginação definida. Marca Eliane.CE.80x80"</v>
      </c>
      <c r="N24" s="48" t="s">
        <v>76</v>
      </c>
      <c r="O24" s="39">
        <v>1.1000000000000001</v>
      </c>
      <c r="P24" s="48" t="s">
        <v>77</v>
      </c>
      <c r="Q24" s="58">
        <v>80</v>
      </c>
      <c r="R24" s="48" t="s">
        <v>78</v>
      </c>
      <c r="S24" s="76">
        <v>80</v>
      </c>
      <c r="T24" s="48" t="s">
        <v>9</v>
      </c>
      <c r="U24" s="74" t="s">
        <v>9</v>
      </c>
      <c r="V24" s="50" t="s">
        <v>84</v>
      </c>
      <c r="W24" s="51" t="s">
        <v>102</v>
      </c>
      <c r="X24" s="48" t="s">
        <v>1516</v>
      </c>
      <c r="Y24" s="39" t="s">
        <v>101</v>
      </c>
      <c r="Z24" s="48" t="s">
        <v>1516</v>
      </c>
      <c r="AA24" s="74" t="s">
        <v>1517</v>
      </c>
      <c r="AB24" s="48" t="s">
        <v>9</v>
      </c>
      <c r="AC24" s="74" t="s">
        <v>9</v>
      </c>
      <c r="AD24" s="48" t="s">
        <v>9</v>
      </c>
      <c r="AE24" s="74" t="s">
        <v>9</v>
      </c>
      <c r="AF24" s="48" t="s">
        <v>9</v>
      </c>
      <c r="AG24" s="74" t="s">
        <v>9</v>
      </c>
      <c r="AH24" s="48" t="s">
        <v>9</v>
      </c>
      <c r="AI24" s="74" t="s">
        <v>9</v>
      </c>
      <c r="AJ24" s="48" t="s">
        <v>9</v>
      </c>
      <c r="AK24" s="74" t="s">
        <v>9</v>
      </c>
      <c r="AL24" s="48" t="s">
        <v>9</v>
      </c>
      <c r="AM24" s="74" t="s">
        <v>9</v>
      </c>
      <c r="AN24" s="48" t="s">
        <v>9</v>
      </c>
      <c r="AO24" s="39" t="s">
        <v>9</v>
      </c>
      <c r="AP24" s="48" t="s">
        <v>9</v>
      </c>
      <c r="AQ24" s="39" t="s">
        <v>9</v>
      </c>
      <c r="AR24" s="48" t="s">
        <v>9</v>
      </c>
      <c r="AS24" s="39" t="s">
        <v>9</v>
      </c>
      <c r="AT24" s="48" t="s">
        <v>9</v>
      </c>
      <c r="AU24" s="74" t="s">
        <v>9</v>
      </c>
      <c r="AV24" s="48" t="s">
        <v>9</v>
      </c>
      <c r="AW24" s="74" t="s">
        <v>9</v>
      </c>
    </row>
    <row r="25" spans="1:49" ht="6.75" customHeight="1" x14ac:dyDescent="0.4">
      <c r="A25" s="66">
        <v>25</v>
      </c>
      <c r="B25" s="62" t="s">
        <v>96</v>
      </c>
      <c r="C25" s="1" t="s">
        <v>1582</v>
      </c>
      <c r="D25" s="49" t="s">
        <v>108</v>
      </c>
      <c r="E25" s="54" t="s">
        <v>482</v>
      </c>
      <c r="F25" s="49" t="s">
        <v>9</v>
      </c>
      <c r="G25" s="54" t="s">
        <v>9</v>
      </c>
      <c r="H25" s="49" t="s">
        <v>9</v>
      </c>
      <c r="I25" s="54" t="s">
        <v>9</v>
      </c>
      <c r="J25" s="48" t="s">
        <v>75</v>
      </c>
      <c r="K25" s="39" t="s">
        <v>1493</v>
      </c>
      <c r="L25" s="48" t="s">
        <v>75</v>
      </c>
      <c r="M25" s="36" t="str">
        <f t="shared" si="0"/>
        <v>"Peça para revestimento de pisos ou paredes. Deve ser colocado com paginação definida. Marca Eliane.CE.80x29"</v>
      </c>
      <c r="N25" s="48" t="s">
        <v>76</v>
      </c>
      <c r="O25" s="39">
        <v>1.1000000000000001</v>
      </c>
      <c r="P25" s="48" t="s">
        <v>77</v>
      </c>
      <c r="Q25" s="58">
        <v>80</v>
      </c>
      <c r="R25" s="48" t="s">
        <v>78</v>
      </c>
      <c r="S25" s="76">
        <v>29.8</v>
      </c>
      <c r="T25" s="48" t="s">
        <v>9</v>
      </c>
      <c r="U25" s="74" t="s">
        <v>9</v>
      </c>
      <c r="V25" s="50" t="s">
        <v>84</v>
      </c>
      <c r="W25" s="51" t="s">
        <v>102</v>
      </c>
      <c r="X25" s="48" t="s">
        <v>1516</v>
      </c>
      <c r="Y25" s="39" t="s">
        <v>101</v>
      </c>
      <c r="Z25" s="48" t="s">
        <v>1516</v>
      </c>
      <c r="AA25" s="74" t="s">
        <v>1517</v>
      </c>
      <c r="AB25" s="48" t="s">
        <v>9</v>
      </c>
      <c r="AC25" s="74" t="s">
        <v>9</v>
      </c>
      <c r="AD25" s="48" t="s">
        <v>9</v>
      </c>
      <c r="AE25" s="74" t="s">
        <v>9</v>
      </c>
      <c r="AF25" s="48" t="s">
        <v>9</v>
      </c>
      <c r="AG25" s="74" t="s">
        <v>9</v>
      </c>
      <c r="AH25" s="48" t="s">
        <v>9</v>
      </c>
      <c r="AI25" s="74" t="s">
        <v>9</v>
      </c>
      <c r="AJ25" s="48" t="s">
        <v>9</v>
      </c>
      <c r="AK25" s="74" t="s">
        <v>9</v>
      </c>
      <c r="AL25" s="48" t="s">
        <v>9</v>
      </c>
      <c r="AM25" s="74" t="s">
        <v>9</v>
      </c>
      <c r="AN25" s="48" t="s">
        <v>9</v>
      </c>
      <c r="AO25" s="39" t="s">
        <v>9</v>
      </c>
      <c r="AP25" s="48" t="s">
        <v>9</v>
      </c>
      <c r="AQ25" s="39" t="s">
        <v>9</v>
      </c>
      <c r="AR25" s="48" t="s">
        <v>9</v>
      </c>
      <c r="AS25" s="39" t="s">
        <v>9</v>
      </c>
      <c r="AT25" s="48" t="s">
        <v>9</v>
      </c>
      <c r="AU25" s="74" t="s">
        <v>9</v>
      </c>
      <c r="AV25" s="48" t="s">
        <v>9</v>
      </c>
      <c r="AW25" s="74" t="s">
        <v>9</v>
      </c>
    </row>
    <row r="26" spans="1:49" ht="6.75" customHeight="1" x14ac:dyDescent="0.4">
      <c r="A26" s="66">
        <v>26</v>
      </c>
      <c r="B26" s="62" t="s">
        <v>97</v>
      </c>
      <c r="C26" s="1" t="s">
        <v>1582</v>
      </c>
      <c r="D26" s="49" t="s">
        <v>108</v>
      </c>
      <c r="E26" s="54" t="s">
        <v>482</v>
      </c>
      <c r="F26" s="49" t="s">
        <v>9</v>
      </c>
      <c r="G26" s="54" t="s">
        <v>9</v>
      </c>
      <c r="H26" s="49" t="s">
        <v>9</v>
      </c>
      <c r="I26" s="54" t="s">
        <v>9</v>
      </c>
      <c r="J26" s="48" t="s">
        <v>75</v>
      </c>
      <c r="K26" s="39" t="s">
        <v>1493</v>
      </c>
      <c r="L26" s="48" t="s">
        <v>75</v>
      </c>
      <c r="M26" s="36" t="str">
        <f t="shared" si="0"/>
        <v>"Peça para revestimento de pisos ou paredes. Deve ser colocado com paginação definida. Marca Eliane.CE.80x14"</v>
      </c>
      <c r="N26" s="48" t="s">
        <v>76</v>
      </c>
      <c r="O26" s="39">
        <v>1.1000000000000001</v>
      </c>
      <c r="P26" s="48" t="s">
        <v>77</v>
      </c>
      <c r="Q26" s="58">
        <v>80</v>
      </c>
      <c r="R26" s="48" t="s">
        <v>78</v>
      </c>
      <c r="S26" s="76">
        <v>14.5</v>
      </c>
      <c r="T26" s="48" t="s">
        <v>9</v>
      </c>
      <c r="U26" s="74" t="s">
        <v>9</v>
      </c>
      <c r="V26" s="50" t="s">
        <v>84</v>
      </c>
      <c r="W26" s="51" t="s">
        <v>102</v>
      </c>
      <c r="X26" s="48" t="s">
        <v>1516</v>
      </c>
      <c r="Y26" s="39" t="s">
        <v>101</v>
      </c>
      <c r="Z26" s="48" t="s">
        <v>1516</v>
      </c>
      <c r="AA26" s="74" t="s">
        <v>1517</v>
      </c>
      <c r="AB26" s="48" t="s">
        <v>9</v>
      </c>
      <c r="AC26" s="74" t="s">
        <v>9</v>
      </c>
      <c r="AD26" s="48" t="s">
        <v>9</v>
      </c>
      <c r="AE26" s="74" t="s">
        <v>9</v>
      </c>
      <c r="AF26" s="48" t="s">
        <v>9</v>
      </c>
      <c r="AG26" s="74" t="s">
        <v>9</v>
      </c>
      <c r="AH26" s="48" t="s">
        <v>9</v>
      </c>
      <c r="AI26" s="74" t="s">
        <v>9</v>
      </c>
      <c r="AJ26" s="48" t="s">
        <v>9</v>
      </c>
      <c r="AK26" s="74" t="s">
        <v>9</v>
      </c>
      <c r="AL26" s="48" t="s">
        <v>9</v>
      </c>
      <c r="AM26" s="74" t="s">
        <v>9</v>
      </c>
      <c r="AN26" s="48" t="s">
        <v>9</v>
      </c>
      <c r="AO26" s="39" t="s">
        <v>9</v>
      </c>
      <c r="AP26" s="48" t="s">
        <v>9</v>
      </c>
      <c r="AQ26" s="39" t="s">
        <v>9</v>
      </c>
      <c r="AR26" s="48" t="s">
        <v>9</v>
      </c>
      <c r="AS26" s="39" t="s">
        <v>9</v>
      </c>
      <c r="AT26" s="48" t="s">
        <v>9</v>
      </c>
      <c r="AU26" s="74" t="s">
        <v>9</v>
      </c>
      <c r="AV26" s="48" t="s">
        <v>9</v>
      </c>
      <c r="AW26" s="74" t="s">
        <v>9</v>
      </c>
    </row>
    <row r="27" spans="1:49" ht="6.75" customHeight="1" x14ac:dyDescent="0.4">
      <c r="A27" s="66">
        <v>27</v>
      </c>
      <c r="B27" s="62" t="s">
        <v>98</v>
      </c>
      <c r="C27" s="1" t="s">
        <v>1582</v>
      </c>
      <c r="D27" s="49" t="s">
        <v>108</v>
      </c>
      <c r="E27" s="54" t="s">
        <v>482</v>
      </c>
      <c r="F27" s="49" t="s">
        <v>9</v>
      </c>
      <c r="G27" s="54" t="s">
        <v>9</v>
      </c>
      <c r="H27" s="49" t="s">
        <v>9</v>
      </c>
      <c r="I27" s="54" t="s">
        <v>9</v>
      </c>
      <c r="J27" s="48" t="s">
        <v>75</v>
      </c>
      <c r="K27" s="39" t="s">
        <v>1493</v>
      </c>
      <c r="L27" s="48" t="s">
        <v>75</v>
      </c>
      <c r="M27" s="36" t="str">
        <f t="shared" si="0"/>
        <v>"Peça para revestimento de pisos ou paredes. Deve ser colocado com paginação definida. Marca Eliane.CE.80x9"</v>
      </c>
      <c r="N27" s="48" t="s">
        <v>76</v>
      </c>
      <c r="O27" s="39">
        <v>1.1000000000000001</v>
      </c>
      <c r="P27" s="48" t="s">
        <v>77</v>
      </c>
      <c r="Q27" s="58">
        <v>80</v>
      </c>
      <c r="R27" s="48" t="s">
        <v>78</v>
      </c>
      <c r="S27" s="76">
        <v>9.5</v>
      </c>
      <c r="T27" s="48" t="s">
        <v>9</v>
      </c>
      <c r="U27" s="74" t="s">
        <v>9</v>
      </c>
      <c r="V27" s="50" t="s">
        <v>84</v>
      </c>
      <c r="W27" s="51" t="s">
        <v>102</v>
      </c>
      <c r="X27" s="48" t="s">
        <v>1516</v>
      </c>
      <c r="Y27" s="39" t="s">
        <v>101</v>
      </c>
      <c r="Z27" s="48" t="s">
        <v>1516</v>
      </c>
      <c r="AA27" s="74" t="s">
        <v>1517</v>
      </c>
      <c r="AB27" s="48" t="s">
        <v>9</v>
      </c>
      <c r="AC27" s="74" t="s">
        <v>9</v>
      </c>
      <c r="AD27" s="48" t="s">
        <v>9</v>
      </c>
      <c r="AE27" s="74" t="s">
        <v>9</v>
      </c>
      <c r="AF27" s="48" t="s">
        <v>9</v>
      </c>
      <c r="AG27" s="74" t="s">
        <v>9</v>
      </c>
      <c r="AH27" s="48" t="s">
        <v>9</v>
      </c>
      <c r="AI27" s="74" t="s">
        <v>9</v>
      </c>
      <c r="AJ27" s="48" t="s">
        <v>9</v>
      </c>
      <c r="AK27" s="74" t="s">
        <v>9</v>
      </c>
      <c r="AL27" s="48" t="s">
        <v>9</v>
      </c>
      <c r="AM27" s="74" t="s">
        <v>9</v>
      </c>
      <c r="AN27" s="48" t="s">
        <v>9</v>
      </c>
      <c r="AO27" s="39" t="s">
        <v>9</v>
      </c>
      <c r="AP27" s="48" t="s">
        <v>9</v>
      </c>
      <c r="AQ27" s="39" t="s">
        <v>9</v>
      </c>
      <c r="AR27" s="48" t="s">
        <v>9</v>
      </c>
      <c r="AS27" s="39" t="s">
        <v>9</v>
      </c>
      <c r="AT27" s="48" t="s">
        <v>9</v>
      </c>
      <c r="AU27" s="74" t="s">
        <v>9</v>
      </c>
      <c r="AV27" s="48" t="s">
        <v>9</v>
      </c>
      <c r="AW27" s="74" t="s">
        <v>9</v>
      </c>
    </row>
    <row r="28" spans="1:49" ht="6.75" customHeight="1" x14ac:dyDescent="0.4">
      <c r="A28" s="66">
        <v>28</v>
      </c>
      <c r="B28" s="62" t="s">
        <v>92</v>
      </c>
      <c r="C28" s="1" t="s">
        <v>1582</v>
      </c>
      <c r="D28" s="49" t="s">
        <v>108</v>
      </c>
      <c r="E28" s="54" t="s">
        <v>484</v>
      </c>
      <c r="F28" s="49" t="s">
        <v>9</v>
      </c>
      <c r="G28" s="54" t="s">
        <v>9</v>
      </c>
      <c r="H28" s="49" t="s">
        <v>9</v>
      </c>
      <c r="I28" s="54" t="s">
        <v>9</v>
      </c>
      <c r="J28" s="48" t="s">
        <v>75</v>
      </c>
      <c r="K28" s="39" t="s">
        <v>1493</v>
      </c>
      <c r="L28" s="48" t="s">
        <v>75</v>
      </c>
      <c r="M28" s="36" t="str">
        <f t="shared" si="0"/>
        <v>"Peça para revestimento de pisos ou paredes. Deve ser colocado com paginação definida. Marca Eliane.CE.90x90"</v>
      </c>
      <c r="N28" s="48" t="s">
        <v>76</v>
      </c>
      <c r="O28" s="39">
        <v>1.1000000000000001</v>
      </c>
      <c r="P28" s="48" t="s">
        <v>77</v>
      </c>
      <c r="Q28" s="58">
        <v>90</v>
      </c>
      <c r="R28" s="48" t="s">
        <v>78</v>
      </c>
      <c r="S28" s="76">
        <v>90</v>
      </c>
      <c r="T28" s="48" t="s">
        <v>9</v>
      </c>
      <c r="U28" s="74" t="s">
        <v>9</v>
      </c>
      <c r="V28" s="50" t="s">
        <v>84</v>
      </c>
      <c r="W28" s="51" t="s">
        <v>102</v>
      </c>
      <c r="X28" s="48" t="s">
        <v>1516</v>
      </c>
      <c r="Y28" s="39" t="s">
        <v>101</v>
      </c>
      <c r="Z28" s="48" t="s">
        <v>1516</v>
      </c>
      <c r="AA28" s="74" t="s">
        <v>1517</v>
      </c>
      <c r="AB28" s="48" t="s">
        <v>9</v>
      </c>
      <c r="AC28" s="74" t="s">
        <v>9</v>
      </c>
      <c r="AD28" s="48" t="s">
        <v>9</v>
      </c>
      <c r="AE28" s="74" t="s">
        <v>9</v>
      </c>
      <c r="AF28" s="48" t="s">
        <v>9</v>
      </c>
      <c r="AG28" s="74" t="s">
        <v>9</v>
      </c>
      <c r="AH28" s="48" t="s">
        <v>9</v>
      </c>
      <c r="AI28" s="74" t="s">
        <v>9</v>
      </c>
      <c r="AJ28" s="48" t="s">
        <v>9</v>
      </c>
      <c r="AK28" s="74" t="s">
        <v>9</v>
      </c>
      <c r="AL28" s="48" t="s">
        <v>9</v>
      </c>
      <c r="AM28" s="74" t="s">
        <v>9</v>
      </c>
      <c r="AN28" s="48" t="s">
        <v>9</v>
      </c>
      <c r="AO28" s="39" t="s">
        <v>9</v>
      </c>
      <c r="AP28" s="48" t="s">
        <v>9</v>
      </c>
      <c r="AQ28" s="39" t="s">
        <v>9</v>
      </c>
      <c r="AR28" s="48" t="s">
        <v>9</v>
      </c>
      <c r="AS28" s="39" t="s">
        <v>9</v>
      </c>
      <c r="AT28" s="48" t="s">
        <v>9</v>
      </c>
      <c r="AU28" s="74" t="s">
        <v>9</v>
      </c>
      <c r="AV28" s="48" t="s">
        <v>9</v>
      </c>
      <c r="AW28" s="74" t="s">
        <v>9</v>
      </c>
    </row>
    <row r="29" spans="1:49" ht="6.75" customHeight="1" x14ac:dyDescent="0.4">
      <c r="A29" s="66">
        <v>29</v>
      </c>
      <c r="B29" s="62" t="s">
        <v>99</v>
      </c>
      <c r="C29" s="1" t="s">
        <v>1582</v>
      </c>
      <c r="D29" s="49" t="s">
        <v>108</v>
      </c>
      <c r="E29" s="54" t="s">
        <v>482</v>
      </c>
      <c r="F29" s="49" t="s">
        <v>9</v>
      </c>
      <c r="G29" s="54" t="s">
        <v>9</v>
      </c>
      <c r="H29" s="49" t="s">
        <v>9</v>
      </c>
      <c r="I29" s="54" t="s">
        <v>9</v>
      </c>
      <c r="J29" s="48" t="s">
        <v>75</v>
      </c>
      <c r="K29" s="39" t="s">
        <v>1493</v>
      </c>
      <c r="L29" s="48" t="s">
        <v>75</v>
      </c>
      <c r="M29" s="36" t="str">
        <f t="shared" si="0"/>
        <v>"Peça para revestimento de pisos ou paredes. Deve ser colocado com paginação definida. Marca Eliane.CE.90x14"</v>
      </c>
      <c r="N29" s="48" t="s">
        <v>76</v>
      </c>
      <c r="O29" s="39">
        <v>1.1000000000000001</v>
      </c>
      <c r="P29" s="48" t="s">
        <v>77</v>
      </c>
      <c r="Q29" s="58">
        <v>90</v>
      </c>
      <c r="R29" s="48" t="s">
        <v>78</v>
      </c>
      <c r="S29" s="76">
        <v>14.5</v>
      </c>
      <c r="T29" s="48" t="s">
        <v>9</v>
      </c>
      <c r="U29" s="74" t="s">
        <v>9</v>
      </c>
      <c r="V29" s="50" t="s">
        <v>84</v>
      </c>
      <c r="W29" s="51" t="s">
        <v>102</v>
      </c>
      <c r="X29" s="48" t="s">
        <v>1516</v>
      </c>
      <c r="Y29" s="39" t="s">
        <v>101</v>
      </c>
      <c r="Z29" s="48" t="s">
        <v>1516</v>
      </c>
      <c r="AA29" s="74" t="s">
        <v>1517</v>
      </c>
      <c r="AB29" s="48" t="s">
        <v>9</v>
      </c>
      <c r="AC29" s="74" t="s">
        <v>9</v>
      </c>
      <c r="AD29" s="48" t="s">
        <v>9</v>
      </c>
      <c r="AE29" s="74" t="s">
        <v>9</v>
      </c>
      <c r="AF29" s="48" t="s">
        <v>9</v>
      </c>
      <c r="AG29" s="74" t="s">
        <v>9</v>
      </c>
      <c r="AH29" s="48" t="s">
        <v>9</v>
      </c>
      <c r="AI29" s="74" t="s">
        <v>9</v>
      </c>
      <c r="AJ29" s="48" t="s">
        <v>9</v>
      </c>
      <c r="AK29" s="74" t="s">
        <v>9</v>
      </c>
      <c r="AL29" s="48" t="s">
        <v>9</v>
      </c>
      <c r="AM29" s="74" t="s">
        <v>9</v>
      </c>
      <c r="AN29" s="48" t="s">
        <v>9</v>
      </c>
      <c r="AO29" s="39" t="s">
        <v>9</v>
      </c>
      <c r="AP29" s="48" t="s">
        <v>9</v>
      </c>
      <c r="AQ29" s="39" t="s">
        <v>9</v>
      </c>
      <c r="AR29" s="48" t="s">
        <v>9</v>
      </c>
      <c r="AS29" s="39" t="s">
        <v>9</v>
      </c>
      <c r="AT29" s="48" t="s">
        <v>9</v>
      </c>
      <c r="AU29" s="74" t="s">
        <v>9</v>
      </c>
      <c r="AV29" s="48" t="s">
        <v>9</v>
      </c>
      <c r="AW29" s="74" t="s">
        <v>9</v>
      </c>
    </row>
    <row r="30" spans="1:49" ht="6.75" customHeight="1" x14ac:dyDescent="0.4">
      <c r="A30" s="66">
        <v>30</v>
      </c>
      <c r="B30" s="62" t="s">
        <v>93</v>
      </c>
      <c r="C30" s="1" t="s">
        <v>1582</v>
      </c>
      <c r="D30" s="49" t="s">
        <v>108</v>
      </c>
      <c r="E30" s="54" t="s">
        <v>484</v>
      </c>
      <c r="F30" s="49" t="s">
        <v>9</v>
      </c>
      <c r="G30" s="54" t="s">
        <v>9</v>
      </c>
      <c r="H30" s="49" t="s">
        <v>9</v>
      </c>
      <c r="I30" s="54" t="s">
        <v>9</v>
      </c>
      <c r="J30" s="48" t="s">
        <v>75</v>
      </c>
      <c r="K30" s="39" t="s">
        <v>1493</v>
      </c>
      <c r="L30" s="48" t="s">
        <v>75</v>
      </c>
      <c r="M30" s="36" t="str">
        <f t="shared" si="0"/>
        <v>"Peça para revestimento de pisos ou paredes. Deve ser colocado com paginação definida. Marca Eliane.CE.120x60"</v>
      </c>
      <c r="N30" s="48" t="s">
        <v>76</v>
      </c>
      <c r="O30" s="39">
        <v>1.1000000000000001</v>
      </c>
      <c r="P30" s="48" t="s">
        <v>77</v>
      </c>
      <c r="Q30" s="58">
        <v>120</v>
      </c>
      <c r="R30" s="48" t="s">
        <v>78</v>
      </c>
      <c r="S30" s="76">
        <v>60</v>
      </c>
      <c r="T30" s="48" t="s">
        <v>9</v>
      </c>
      <c r="U30" s="74" t="s">
        <v>9</v>
      </c>
      <c r="V30" s="50" t="s">
        <v>84</v>
      </c>
      <c r="W30" s="51" t="s">
        <v>102</v>
      </c>
      <c r="X30" s="48" t="s">
        <v>1516</v>
      </c>
      <c r="Y30" s="39" t="s">
        <v>101</v>
      </c>
      <c r="Z30" s="48" t="s">
        <v>1516</v>
      </c>
      <c r="AA30" s="74" t="s">
        <v>1517</v>
      </c>
      <c r="AB30" s="48" t="s">
        <v>9</v>
      </c>
      <c r="AC30" s="74" t="s">
        <v>9</v>
      </c>
      <c r="AD30" s="48" t="s">
        <v>9</v>
      </c>
      <c r="AE30" s="74" t="s">
        <v>9</v>
      </c>
      <c r="AF30" s="48" t="s">
        <v>9</v>
      </c>
      <c r="AG30" s="74" t="s">
        <v>9</v>
      </c>
      <c r="AH30" s="48" t="s">
        <v>9</v>
      </c>
      <c r="AI30" s="74" t="s">
        <v>9</v>
      </c>
      <c r="AJ30" s="48" t="s">
        <v>9</v>
      </c>
      <c r="AK30" s="74" t="s">
        <v>9</v>
      </c>
      <c r="AL30" s="48" t="s">
        <v>9</v>
      </c>
      <c r="AM30" s="74" t="s">
        <v>9</v>
      </c>
      <c r="AN30" s="48" t="s">
        <v>9</v>
      </c>
      <c r="AO30" s="39" t="s">
        <v>9</v>
      </c>
      <c r="AP30" s="48" t="s">
        <v>9</v>
      </c>
      <c r="AQ30" s="39" t="s">
        <v>9</v>
      </c>
      <c r="AR30" s="48" t="s">
        <v>9</v>
      </c>
      <c r="AS30" s="39" t="s">
        <v>9</v>
      </c>
      <c r="AT30" s="48" t="s">
        <v>9</v>
      </c>
      <c r="AU30" s="74" t="s">
        <v>9</v>
      </c>
      <c r="AV30" s="48" t="s">
        <v>9</v>
      </c>
      <c r="AW30" s="74" t="s">
        <v>9</v>
      </c>
    </row>
    <row r="31" spans="1:49" ht="6.75" customHeight="1" x14ac:dyDescent="0.4">
      <c r="A31" s="66">
        <v>31</v>
      </c>
      <c r="B31" s="62" t="s">
        <v>100</v>
      </c>
      <c r="C31" s="1" t="s">
        <v>1582</v>
      </c>
      <c r="D31" s="49" t="s">
        <v>108</v>
      </c>
      <c r="E31" s="54" t="s">
        <v>484</v>
      </c>
      <c r="F31" s="49" t="s">
        <v>9</v>
      </c>
      <c r="G31" s="54" t="s">
        <v>9</v>
      </c>
      <c r="H31" s="49" t="s">
        <v>9</v>
      </c>
      <c r="I31" s="54" t="s">
        <v>9</v>
      </c>
      <c r="J31" s="48" t="s">
        <v>75</v>
      </c>
      <c r="K31" s="39" t="s">
        <v>1493</v>
      </c>
      <c r="L31" s="48" t="s">
        <v>75</v>
      </c>
      <c r="M31" s="36" t="str">
        <f t="shared" si="0"/>
        <v>"Peça para revestimento de pisos ou paredes. Deve ser colocado com paginação definida. Marca Eliane.CE.120x29"</v>
      </c>
      <c r="N31" s="48" t="s">
        <v>76</v>
      </c>
      <c r="O31" s="39">
        <v>1.1000000000000001</v>
      </c>
      <c r="P31" s="48" t="s">
        <v>77</v>
      </c>
      <c r="Q31" s="58">
        <v>120</v>
      </c>
      <c r="R31" s="48" t="s">
        <v>78</v>
      </c>
      <c r="S31" s="76">
        <v>29.4</v>
      </c>
      <c r="T31" s="48" t="s">
        <v>9</v>
      </c>
      <c r="U31" s="74" t="s">
        <v>9</v>
      </c>
      <c r="V31" s="50" t="s">
        <v>84</v>
      </c>
      <c r="W31" s="51" t="s">
        <v>102</v>
      </c>
      <c r="X31" s="48" t="s">
        <v>1516</v>
      </c>
      <c r="Y31" s="39" t="s">
        <v>101</v>
      </c>
      <c r="Z31" s="48" t="s">
        <v>1516</v>
      </c>
      <c r="AA31" s="74" t="s">
        <v>1517</v>
      </c>
      <c r="AB31" s="48" t="s">
        <v>9</v>
      </c>
      <c r="AC31" s="74" t="s">
        <v>9</v>
      </c>
      <c r="AD31" s="48" t="s">
        <v>9</v>
      </c>
      <c r="AE31" s="74" t="s">
        <v>9</v>
      </c>
      <c r="AF31" s="48" t="s">
        <v>9</v>
      </c>
      <c r="AG31" s="74" t="s">
        <v>9</v>
      </c>
      <c r="AH31" s="48" t="s">
        <v>9</v>
      </c>
      <c r="AI31" s="74" t="s">
        <v>9</v>
      </c>
      <c r="AJ31" s="48" t="s">
        <v>9</v>
      </c>
      <c r="AK31" s="74" t="s">
        <v>9</v>
      </c>
      <c r="AL31" s="48" t="s">
        <v>9</v>
      </c>
      <c r="AM31" s="74" t="s">
        <v>9</v>
      </c>
      <c r="AN31" s="48" t="s">
        <v>9</v>
      </c>
      <c r="AO31" s="39" t="s">
        <v>9</v>
      </c>
      <c r="AP31" s="48" t="s">
        <v>9</v>
      </c>
      <c r="AQ31" s="39" t="s">
        <v>9</v>
      </c>
      <c r="AR31" s="48" t="s">
        <v>9</v>
      </c>
      <c r="AS31" s="39" t="s">
        <v>9</v>
      </c>
      <c r="AT31" s="48" t="s">
        <v>9</v>
      </c>
      <c r="AU31" s="74" t="s">
        <v>9</v>
      </c>
      <c r="AV31" s="48" t="s">
        <v>9</v>
      </c>
      <c r="AW31" s="74" t="s">
        <v>9</v>
      </c>
    </row>
    <row r="32" spans="1:49" s="60" customFormat="1" ht="6.75" customHeight="1" x14ac:dyDescent="0.4">
      <c r="A32" s="66">
        <v>32</v>
      </c>
      <c r="B32" s="38" t="s">
        <v>334</v>
      </c>
      <c r="C32" s="1" t="s">
        <v>1580</v>
      </c>
      <c r="D32" s="49" t="s">
        <v>9</v>
      </c>
      <c r="E32" s="54" t="s">
        <v>9</v>
      </c>
      <c r="F32" s="49" t="s">
        <v>9</v>
      </c>
      <c r="G32" s="54" t="s">
        <v>9</v>
      </c>
      <c r="H32" s="49" t="s">
        <v>9</v>
      </c>
      <c r="I32" s="54" t="s">
        <v>9</v>
      </c>
      <c r="J32" s="48" t="s">
        <v>75</v>
      </c>
      <c r="K32" s="39" t="s">
        <v>1493</v>
      </c>
      <c r="L32" s="48" t="s">
        <v>75</v>
      </c>
      <c r="M32" s="36" t="s">
        <v>335</v>
      </c>
      <c r="N32" s="48" t="s">
        <v>76</v>
      </c>
      <c r="O32" s="39">
        <v>9</v>
      </c>
      <c r="P32" s="48" t="s">
        <v>77</v>
      </c>
      <c r="Q32" s="34">
        <v>19</v>
      </c>
      <c r="R32" s="48" t="s">
        <v>78</v>
      </c>
      <c r="S32" s="74">
        <v>39</v>
      </c>
      <c r="T32" s="48" t="s">
        <v>9</v>
      </c>
      <c r="U32" s="74" t="s">
        <v>9</v>
      </c>
      <c r="V32" s="50" t="s">
        <v>84</v>
      </c>
      <c r="W32" s="51" t="s">
        <v>336</v>
      </c>
      <c r="X32" s="48" t="s">
        <v>1516</v>
      </c>
      <c r="Y32" s="39" t="s">
        <v>337</v>
      </c>
      <c r="Z32" s="48" t="s">
        <v>9</v>
      </c>
      <c r="AA32" s="74" t="s">
        <v>9</v>
      </c>
      <c r="AB32" s="48" t="s">
        <v>9</v>
      </c>
      <c r="AC32" s="74" t="s">
        <v>9</v>
      </c>
      <c r="AD32" s="48" t="s">
        <v>9</v>
      </c>
      <c r="AE32" s="74" t="s">
        <v>9</v>
      </c>
      <c r="AF32" s="48" t="s">
        <v>9</v>
      </c>
      <c r="AG32" s="74" t="s">
        <v>9</v>
      </c>
      <c r="AH32" s="48" t="s">
        <v>9</v>
      </c>
      <c r="AI32" s="74" t="s">
        <v>9</v>
      </c>
      <c r="AJ32" s="48" t="s">
        <v>9</v>
      </c>
      <c r="AK32" s="74" t="s">
        <v>9</v>
      </c>
      <c r="AL32" s="48" t="s">
        <v>9</v>
      </c>
      <c r="AM32" s="74" t="s">
        <v>9</v>
      </c>
      <c r="AN32" s="48" t="s">
        <v>9</v>
      </c>
      <c r="AO32" s="39" t="s">
        <v>9</v>
      </c>
      <c r="AP32" s="48" t="s">
        <v>9</v>
      </c>
      <c r="AQ32" s="39" t="s">
        <v>9</v>
      </c>
      <c r="AR32" s="48" t="s">
        <v>9</v>
      </c>
      <c r="AS32" s="39" t="s">
        <v>9</v>
      </c>
      <c r="AT32" s="48" t="s">
        <v>9</v>
      </c>
      <c r="AU32" s="74" t="s">
        <v>9</v>
      </c>
      <c r="AV32" s="48" t="s">
        <v>9</v>
      </c>
      <c r="AW32" s="74" t="s">
        <v>9</v>
      </c>
    </row>
    <row r="33" spans="1:49" s="60" customFormat="1" ht="6.75" customHeight="1" x14ac:dyDescent="0.4">
      <c r="A33" s="66">
        <v>33</v>
      </c>
      <c r="B33" s="38" t="s">
        <v>338</v>
      </c>
      <c r="C33" s="1" t="s">
        <v>1580</v>
      </c>
      <c r="D33" s="49" t="s">
        <v>9</v>
      </c>
      <c r="E33" s="54" t="s">
        <v>9</v>
      </c>
      <c r="F33" s="49" t="s">
        <v>9</v>
      </c>
      <c r="G33" s="54" t="s">
        <v>9</v>
      </c>
      <c r="H33" s="49" t="s">
        <v>9</v>
      </c>
      <c r="I33" s="54" t="s">
        <v>9</v>
      </c>
      <c r="J33" s="48" t="s">
        <v>75</v>
      </c>
      <c r="K33" s="39" t="s">
        <v>1493</v>
      </c>
      <c r="L33" s="48" t="s">
        <v>75</v>
      </c>
      <c r="M33" s="36" t="s">
        <v>339</v>
      </c>
      <c r="N33" s="48" t="s">
        <v>76</v>
      </c>
      <c r="O33" s="39">
        <v>14</v>
      </c>
      <c r="P33" s="48" t="s">
        <v>77</v>
      </c>
      <c r="Q33" s="34">
        <v>19</v>
      </c>
      <c r="R33" s="48" t="s">
        <v>78</v>
      </c>
      <c r="S33" s="74">
        <v>39</v>
      </c>
      <c r="T33" s="48" t="s">
        <v>9</v>
      </c>
      <c r="U33" s="74" t="s">
        <v>9</v>
      </c>
      <c r="V33" s="50" t="s">
        <v>84</v>
      </c>
      <c r="W33" s="51" t="s">
        <v>336</v>
      </c>
      <c r="X33" s="48" t="s">
        <v>1516</v>
      </c>
      <c r="Y33" s="39" t="s">
        <v>337</v>
      </c>
      <c r="Z33" s="48" t="s">
        <v>9</v>
      </c>
      <c r="AA33" s="74" t="s">
        <v>9</v>
      </c>
      <c r="AB33" s="48" t="s">
        <v>9</v>
      </c>
      <c r="AC33" s="74" t="s">
        <v>9</v>
      </c>
      <c r="AD33" s="48" t="s">
        <v>9</v>
      </c>
      <c r="AE33" s="74" t="s">
        <v>9</v>
      </c>
      <c r="AF33" s="48" t="s">
        <v>9</v>
      </c>
      <c r="AG33" s="74" t="s">
        <v>9</v>
      </c>
      <c r="AH33" s="48" t="s">
        <v>9</v>
      </c>
      <c r="AI33" s="74" t="s">
        <v>9</v>
      </c>
      <c r="AJ33" s="48" t="s">
        <v>9</v>
      </c>
      <c r="AK33" s="74" t="s">
        <v>9</v>
      </c>
      <c r="AL33" s="48" t="s">
        <v>9</v>
      </c>
      <c r="AM33" s="74" t="s">
        <v>9</v>
      </c>
      <c r="AN33" s="48" t="s">
        <v>9</v>
      </c>
      <c r="AO33" s="39" t="s">
        <v>9</v>
      </c>
      <c r="AP33" s="48" t="s">
        <v>9</v>
      </c>
      <c r="AQ33" s="39" t="s">
        <v>9</v>
      </c>
      <c r="AR33" s="48" t="s">
        <v>9</v>
      </c>
      <c r="AS33" s="39" t="s">
        <v>9</v>
      </c>
      <c r="AT33" s="48" t="s">
        <v>9</v>
      </c>
      <c r="AU33" s="74" t="s">
        <v>9</v>
      </c>
      <c r="AV33" s="48" t="s">
        <v>9</v>
      </c>
      <c r="AW33" s="74" t="s">
        <v>9</v>
      </c>
    </row>
    <row r="34" spans="1:49" s="60" customFormat="1" ht="6.75" customHeight="1" x14ac:dyDescent="0.4">
      <c r="A34" s="66">
        <v>34</v>
      </c>
      <c r="B34" s="38" t="s">
        <v>340</v>
      </c>
      <c r="C34" s="1" t="s">
        <v>1580</v>
      </c>
      <c r="D34" s="49" t="s">
        <v>9</v>
      </c>
      <c r="E34" s="54" t="s">
        <v>9</v>
      </c>
      <c r="F34" s="49" t="s">
        <v>9</v>
      </c>
      <c r="G34" s="54" t="s">
        <v>9</v>
      </c>
      <c r="H34" s="49" t="s">
        <v>9</v>
      </c>
      <c r="I34" s="54" t="s">
        <v>9</v>
      </c>
      <c r="J34" s="48" t="s">
        <v>75</v>
      </c>
      <c r="K34" s="39" t="s">
        <v>1493</v>
      </c>
      <c r="L34" s="48" t="s">
        <v>75</v>
      </c>
      <c r="M34" s="36" t="s">
        <v>341</v>
      </c>
      <c r="N34" s="48" t="s">
        <v>76</v>
      </c>
      <c r="O34" s="39">
        <v>19</v>
      </c>
      <c r="P34" s="48" t="s">
        <v>77</v>
      </c>
      <c r="Q34" s="34">
        <v>19</v>
      </c>
      <c r="R34" s="48" t="s">
        <v>78</v>
      </c>
      <c r="S34" s="74">
        <v>39</v>
      </c>
      <c r="T34" s="48" t="s">
        <v>9</v>
      </c>
      <c r="U34" s="74" t="s">
        <v>9</v>
      </c>
      <c r="V34" s="50" t="s">
        <v>84</v>
      </c>
      <c r="W34" s="51" t="s">
        <v>336</v>
      </c>
      <c r="X34" s="48" t="s">
        <v>1516</v>
      </c>
      <c r="Y34" s="39" t="s">
        <v>337</v>
      </c>
      <c r="Z34" s="48" t="s">
        <v>9</v>
      </c>
      <c r="AA34" s="74" t="s">
        <v>9</v>
      </c>
      <c r="AB34" s="48" t="s">
        <v>9</v>
      </c>
      <c r="AC34" s="74" t="s">
        <v>9</v>
      </c>
      <c r="AD34" s="48" t="s">
        <v>9</v>
      </c>
      <c r="AE34" s="74" t="s">
        <v>9</v>
      </c>
      <c r="AF34" s="48" t="s">
        <v>9</v>
      </c>
      <c r="AG34" s="74" t="s">
        <v>9</v>
      </c>
      <c r="AH34" s="48" t="s">
        <v>9</v>
      </c>
      <c r="AI34" s="74" t="s">
        <v>9</v>
      </c>
      <c r="AJ34" s="48" t="s">
        <v>9</v>
      </c>
      <c r="AK34" s="74" t="s">
        <v>9</v>
      </c>
      <c r="AL34" s="48" t="s">
        <v>9</v>
      </c>
      <c r="AM34" s="74" t="s">
        <v>9</v>
      </c>
      <c r="AN34" s="48" t="s">
        <v>9</v>
      </c>
      <c r="AO34" s="39" t="s">
        <v>9</v>
      </c>
      <c r="AP34" s="48" t="s">
        <v>9</v>
      </c>
      <c r="AQ34" s="39" t="s">
        <v>9</v>
      </c>
      <c r="AR34" s="48" t="s">
        <v>9</v>
      </c>
      <c r="AS34" s="39" t="s">
        <v>9</v>
      </c>
      <c r="AT34" s="48" t="s">
        <v>9</v>
      </c>
      <c r="AU34" s="74" t="s">
        <v>9</v>
      </c>
      <c r="AV34" s="48" t="s">
        <v>9</v>
      </c>
      <c r="AW34" s="74" t="s">
        <v>9</v>
      </c>
    </row>
    <row r="35" spans="1:49" ht="6.75" customHeight="1" x14ac:dyDescent="0.4">
      <c r="A35" s="66">
        <v>35</v>
      </c>
      <c r="B35" s="63" t="s">
        <v>342</v>
      </c>
      <c r="C35" s="1" t="s">
        <v>1580</v>
      </c>
      <c r="D35" s="49" t="s">
        <v>9</v>
      </c>
      <c r="E35" s="54" t="s">
        <v>9</v>
      </c>
      <c r="F35" s="49" t="s">
        <v>9</v>
      </c>
      <c r="G35" s="54" t="s">
        <v>9</v>
      </c>
      <c r="H35" s="49" t="s">
        <v>9</v>
      </c>
      <c r="I35" s="54" t="s">
        <v>9</v>
      </c>
      <c r="J35" s="48" t="s">
        <v>75</v>
      </c>
      <c r="K35" s="39" t="s">
        <v>1493</v>
      </c>
      <c r="L35" s="48" t="s">
        <v>75</v>
      </c>
      <c r="M35" s="36" t="s">
        <v>343</v>
      </c>
      <c r="N35" s="48" t="s">
        <v>76</v>
      </c>
      <c r="O35" s="39">
        <v>9</v>
      </c>
      <c r="P35" s="48" t="s">
        <v>77</v>
      </c>
      <c r="Q35" s="34">
        <v>19</v>
      </c>
      <c r="R35" s="48" t="s">
        <v>78</v>
      </c>
      <c r="S35" s="74">
        <v>19</v>
      </c>
      <c r="T35" s="48" t="s">
        <v>344</v>
      </c>
      <c r="U35" s="74">
        <v>2.2999999999999998</v>
      </c>
      <c r="V35" s="50" t="s">
        <v>84</v>
      </c>
      <c r="W35" s="51" t="s">
        <v>345</v>
      </c>
      <c r="X35" s="48" t="s">
        <v>1516</v>
      </c>
      <c r="Y35" s="51" t="s">
        <v>346</v>
      </c>
      <c r="Z35" s="48" t="s">
        <v>9</v>
      </c>
      <c r="AA35" s="75" t="s">
        <v>9</v>
      </c>
      <c r="AB35" s="48" t="s">
        <v>9</v>
      </c>
      <c r="AC35" s="75" t="s">
        <v>9</v>
      </c>
      <c r="AD35" s="48" t="s">
        <v>9</v>
      </c>
      <c r="AE35" s="75" t="s">
        <v>9</v>
      </c>
      <c r="AF35" s="48" t="s">
        <v>9</v>
      </c>
      <c r="AG35" s="75" t="s">
        <v>9</v>
      </c>
      <c r="AH35" s="48" t="s">
        <v>9</v>
      </c>
      <c r="AI35" s="75" t="s">
        <v>9</v>
      </c>
      <c r="AJ35" s="48" t="s">
        <v>9</v>
      </c>
      <c r="AK35" s="75" t="s">
        <v>9</v>
      </c>
      <c r="AL35" s="48" t="s">
        <v>9</v>
      </c>
      <c r="AM35" s="75" t="s">
        <v>9</v>
      </c>
      <c r="AN35" s="48" t="s">
        <v>9</v>
      </c>
      <c r="AO35" s="51" t="s">
        <v>9</v>
      </c>
      <c r="AP35" s="48" t="s">
        <v>9</v>
      </c>
      <c r="AQ35" s="39" t="s">
        <v>9</v>
      </c>
      <c r="AR35" s="48" t="s">
        <v>9</v>
      </c>
      <c r="AS35" s="39" t="s">
        <v>9</v>
      </c>
      <c r="AT35" s="48" t="s">
        <v>9</v>
      </c>
      <c r="AU35" s="74" t="s">
        <v>9</v>
      </c>
      <c r="AV35" s="48" t="s">
        <v>9</v>
      </c>
      <c r="AW35" s="74" t="s">
        <v>9</v>
      </c>
    </row>
    <row r="36" spans="1:49" ht="6.75" customHeight="1" x14ac:dyDescent="0.4">
      <c r="A36" s="66">
        <v>36</v>
      </c>
      <c r="B36" s="63" t="s">
        <v>347</v>
      </c>
      <c r="C36" s="1" t="s">
        <v>1580</v>
      </c>
      <c r="D36" s="49" t="s">
        <v>9</v>
      </c>
      <c r="E36" s="54" t="s">
        <v>9</v>
      </c>
      <c r="F36" s="49" t="s">
        <v>9</v>
      </c>
      <c r="G36" s="54" t="s">
        <v>9</v>
      </c>
      <c r="H36" s="49" t="s">
        <v>9</v>
      </c>
      <c r="I36" s="54" t="s">
        <v>9</v>
      </c>
      <c r="J36" s="48" t="s">
        <v>75</v>
      </c>
      <c r="K36" s="39" t="s">
        <v>1493</v>
      </c>
      <c r="L36" s="48" t="s">
        <v>75</v>
      </c>
      <c r="M36" s="36" t="s">
        <v>343</v>
      </c>
      <c r="N36" s="48" t="s">
        <v>76</v>
      </c>
      <c r="O36" s="39">
        <v>9</v>
      </c>
      <c r="P36" s="48" t="s">
        <v>77</v>
      </c>
      <c r="Q36" s="34">
        <v>19</v>
      </c>
      <c r="R36" s="48" t="s">
        <v>78</v>
      </c>
      <c r="S36" s="74">
        <v>29</v>
      </c>
      <c r="T36" s="48" t="s">
        <v>344</v>
      </c>
      <c r="U36" s="75">
        <v>3.2</v>
      </c>
      <c r="V36" s="50" t="s">
        <v>84</v>
      </c>
      <c r="W36" s="51" t="s">
        <v>345</v>
      </c>
      <c r="X36" s="48" t="s">
        <v>1516</v>
      </c>
      <c r="Y36" s="51" t="s">
        <v>346</v>
      </c>
      <c r="Z36" s="48" t="s">
        <v>9</v>
      </c>
      <c r="AA36" s="75" t="s">
        <v>9</v>
      </c>
      <c r="AB36" s="48" t="s">
        <v>9</v>
      </c>
      <c r="AC36" s="75" t="s">
        <v>9</v>
      </c>
      <c r="AD36" s="48" t="s">
        <v>9</v>
      </c>
      <c r="AE36" s="75" t="s">
        <v>9</v>
      </c>
      <c r="AF36" s="48" t="s">
        <v>9</v>
      </c>
      <c r="AG36" s="75" t="s">
        <v>9</v>
      </c>
      <c r="AH36" s="48" t="s">
        <v>9</v>
      </c>
      <c r="AI36" s="75" t="s">
        <v>9</v>
      </c>
      <c r="AJ36" s="48" t="s">
        <v>9</v>
      </c>
      <c r="AK36" s="75" t="s">
        <v>9</v>
      </c>
      <c r="AL36" s="48" t="s">
        <v>9</v>
      </c>
      <c r="AM36" s="75" t="s">
        <v>9</v>
      </c>
      <c r="AN36" s="48" t="s">
        <v>9</v>
      </c>
      <c r="AO36" s="51" t="s">
        <v>9</v>
      </c>
      <c r="AP36" s="48" t="s">
        <v>9</v>
      </c>
      <c r="AQ36" s="39" t="s">
        <v>9</v>
      </c>
      <c r="AR36" s="48" t="s">
        <v>9</v>
      </c>
      <c r="AS36" s="39" t="s">
        <v>9</v>
      </c>
      <c r="AT36" s="48" t="s">
        <v>9</v>
      </c>
      <c r="AU36" s="74" t="s">
        <v>9</v>
      </c>
      <c r="AV36" s="48" t="s">
        <v>9</v>
      </c>
      <c r="AW36" s="74" t="s">
        <v>9</v>
      </c>
    </row>
    <row r="37" spans="1:49" ht="6.75" customHeight="1" x14ac:dyDescent="0.4">
      <c r="A37" s="66">
        <v>37</v>
      </c>
      <c r="B37" s="63" t="s">
        <v>348</v>
      </c>
      <c r="C37" s="1" t="s">
        <v>1580</v>
      </c>
      <c r="D37" s="49" t="s">
        <v>9</v>
      </c>
      <c r="E37" s="54" t="s">
        <v>9</v>
      </c>
      <c r="F37" s="49" t="s">
        <v>9</v>
      </c>
      <c r="G37" s="54" t="s">
        <v>9</v>
      </c>
      <c r="H37" s="49" t="s">
        <v>9</v>
      </c>
      <c r="I37" s="54" t="s">
        <v>9</v>
      </c>
      <c r="J37" s="48" t="s">
        <v>75</v>
      </c>
      <c r="K37" s="39" t="s">
        <v>1493</v>
      </c>
      <c r="L37" s="48" t="s">
        <v>75</v>
      </c>
      <c r="M37" s="36" t="s">
        <v>343</v>
      </c>
      <c r="N37" s="48" t="s">
        <v>76</v>
      </c>
      <c r="O37" s="39">
        <v>9</v>
      </c>
      <c r="P37" s="48" t="s">
        <v>77</v>
      </c>
      <c r="Q37" s="34">
        <v>19</v>
      </c>
      <c r="R37" s="48" t="s">
        <v>78</v>
      </c>
      <c r="S37" s="74">
        <v>39</v>
      </c>
      <c r="T37" s="48" t="s">
        <v>344</v>
      </c>
      <c r="U37" s="75">
        <v>4.5</v>
      </c>
      <c r="V37" s="50" t="s">
        <v>84</v>
      </c>
      <c r="W37" s="51" t="s">
        <v>345</v>
      </c>
      <c r="X37" s="48" t="s">
        <v>1516</v>
      </c>
      <c r="Y37" s="51" t="s">
        <v>346</v>
      </c>
      <c r="Z37" s="48" t="s">
        <v>9</v>
      </c>
      <c r="AA37" s="75" t="s">
        <v>9</v>
      </c>
      <c r="AB37" s="48" t="s">
        <v>9</v>
      </c>
      <c r="AC37" s="75" t="s">
        <v>9</v>
      </c>
      <c r="AD37" s="48" t="s">
        <v>9</v>
      </c>
      <c r="AE37" s="75" t="s">
        <v>9</v>
      </c>
      <c r="AF37" s="48" t="s">
        <v>9</v>
      </c>
      <c r="AG37" s="75" t="s">
        <v>9</v>
      </c>
      <c r="AH37" s="48" t="s">
        <v>9</v>
      </c>
      <c r="AI37" s="75" t="s">
        <v>9</v>
      </c>
      <c r="AJ37" s="48" t="s">
        <v>9</v>
      </c>
      <c r="AK37" s="75" t="s">
        <v>9</v>
      </c>
      <c r="AL37" s="48" t="s">
        <v>9</v>
      </c>
      <c r="AM37" s="75" t="s">
        <v>9</v>
      </c>
      <c r="AN37" s="48" t="s">
        <v>9</v>
      </c>
      <c r="AO37" s="51" t="s">
        <v>9</v>
      </c>
      <c r="AP37" s="48" t="s">
        <v>9</v>
      </c>
      <c r="AQ37" s="39" t="s">
        <v>9</v>
      </c>
      <c r="AR37" s="48" t="s">
        <v>9</v>
      </c>
      <c r="AS37" s="39" t="s">
        <v>9</v>
      </c>
      <c r="AT37" s="48" t="s">
        <v>9</v>
      </c>
      <c r="AU37" s="74" t="s">
        <v>9</v>
      </c>
      <c r="AV37" s="48" t="s">
        <v>9</v>
      </c>
      <c r="AW37" s="74" t="s">
        <v>9</v>
      </c>
    </row>
    <row r="38" spans="1:49" ht="6.75" customHeight="1" x14ac:dyDescent="0.4">
      <c r="A38" s="66">
        <v>38</v>
      </c>
      <c r="B38" s="63" t="s">
        <v>349</v>
      </c>
      <c r="C38" s="1" t="s">
        <v>1580</v>
      </c>
      <c r="D38" s="49" t="s">
        <v>9</v>
      </c>
      <c r="E38" s="54" t="s">
        <v>9</v>
      </c>
      <c r="F38" s="49" t="s">
        <v>9</v>
      </c>
      <c r="G38" s="54" t="s">
        <v>9</v>
      </c>
      <c r="H38" s="49" t="s">
        <v>9</v>
      </c>
      <c r="I38" s="54" t="s">
        <v>9</v>
      </c>
      <c r="J38" s="48" t="s">
        <v>75</v>
      </c>
      <c r="K38" s="39" t="s">
        <v>1493</v>
      </c>
      <c r="L38" s="48" t="s">
        <v>75</v>
      </c>
      <c r="M38" s="36" t="s">
        <v>350</v>
      </c>
      <c r="N38" s="48" t="s">
        <v>76</v>
      </c>
      <c r="O38" s="39">
        <v>11.5</v>
      </c>
      <c r="P38" s="48" t="s">
        <v>77</v>
      </c>
      <c r="Q38" s="34">
        <v>14</v>
      </c>
      <c r="R38" s="48" t="s">
        <v>78</v>
      </c>
      <c r="S38" s="74">
        <v>24</v>
      </c>
      <c r="T38" s="48" t="s">
        <v>344</v>
      </c>
      <c r="U38" s="75">
        <v>2.2999999999999998</v>
      </c>
      <c r="V38" s="50" t="s">
        <v>84</v>
      </c>
      <c r="W38" s="51" t="s">
        <v>345</v>
      </c>
      <c r="X38" s="48" t="s">
        <v>1516</v>
      </c>
      <c r="Y38" s="51" t="s">
        <v>346</v>
      </c>
      <c r="Z38" s="48" t="s">
        <v>9</v>
      </c>
      <c r="AA38" s="75" t="s">
        <v>9</v>
      </c>
      <c r="AB38" s="48" t="s">
        <v>9</v>
      </c>
      <c r="AC38" s="75" t="s">
        <v>9</v>
      </c>
      <c r="AD38" s="48" t="s">
        <v>9</v>
      </c>
      <c r="AE38" s="75" t="s">
        <v>9</v>
      </c>
      <c r="AF38" s="48" t="s">
        <v>9</v>
      </c>
      <c r="AG38" s="75" t="s">
        <v>9</v>
      </c>
      <c r="AH38" s="48" t="s">
        <v>9</v>
      </c>
      <c r="AI38" s="75" t="s">
        <v>9</v>
      </c>
      <c r="AJ38" s="48" t="s">
        <v>9</v>
      </c>
      <c r="AK38" s="75" t="s">
        <v>9</v>
      </c>
      <c r="AL38" s="48" t="s">
        <v>9</v>
      </c>
      <c r="AM38" s="75" t="s">
        <v>9</v>
      </c>
      <c r="AN38" s="48" t="s">
        <v>9</v>
      </c>
      <c r="AO38" s="51" t="s">
        <v>9</v>
      </c>
      <c r="AP38" s="48" t="s">
        <v>9</v>
      </c>
      <c r="AQ38" s="39" t="s">
        <v>9</v>
      </c>
      <c r="AR38" s="48" t="s">
        <v>9</v>
      </c>
      <c r="AS38" s="39" t="s">
        <v>9</v>
      </c>
      <c r="AT38" s="48" t="s">
        <v>9</v>
      </c>
      <c r="AU38" s="74" t="s">
        <v>9</v>
      </c>
      <c r="AV38" s="48" t="s">
        <v>9</v>
      </c>
      <c r="AW38" s="74" t="s">
        <v>9</v>
      </c>
    </row>
    <row r="39" spans="1:49" ht="6.75" customHeight="1" x14ac:dyDescent="0.4">
      <c r="A39" s="66">
        <v>39</v>
      </c>
      <c r="B39" s="63" t="s">
        <v>351</v>
      </c>
      <c r="C39" s="1" t="s">
        <v>1580</v>
      </c>
      <c r="D39" s="49" t="s">
        <v>9</v>
      </c>
      <c r="E39" s="54" t="s">
        <v>9</v>
      </c>
      <c r="F39" s="49" t="s">
        <v>9</v>
      </c>
      <c r="G39" s="54" t="s">
        <v>9</v>
      </c>
      <c r="H39" s="49" t="s">
        <v>9</v>
      </c>
      <c r="I39" s="54" t="s">
        <v>9</v>
      </c>
      <c r="J39" s="48" t="s">
        <v>75</v>
      </c>
      <c r="K39" s="39" t="s">
        <v>1493</v>
      </c>
      <c r="L39" s="48" t="s">
        <v>75</v>
      </c>
      <c r="M39" s="36" t="s">
        <v>350</v>
      </c>
      <c r="N39" s="48" t="s">
        <v>76</v>
      </c>
      <c r="O39" s="39">
        <v>11.5</v>
      </c>
      <c r="P39" s="48" t="s">
        <v>77</v>
      </c>
      <c r="Q39" s="34">
        <v>19</v>
      </c>
      <c r="R39" s="48" t="s">
        <v>78</v>
      </c>
      <c r="S39" s="74">
        <v>39</v>
      </c>
      <c r="T39" s="48" t="s">
        <v>344</v>
      </c>
      <c r="U39" s="75">
        <v>5.0999999999999996</v>
      </c>
      <c r="V39" s="50" t="s">
        <v>84</v>
      </c>
      <c r="W39" s="51" t="s">
        <v>345</v>
      </c>
      <c r="X39" s="48" t="s">
        <v>1516</v>
      </c>
      <c r="Y39" s="51" t="s">
        <v>346</v>
      </c>
      <c r="Z39" s="48" t="s">
        <v>9</v>
      </c>
      <c r="AA39" s="75" t="s">
        <v>9</v>
      </c>
      <c r="AB39" s="48" t="s">
        <v>9</v>
      </c>
      <c r="AC39" s="75" t="s">
        <v>9</v>
      </c>
      <c r="AD39" s="48" t="s">
        <v>9</v>
      </c>
      <c r="AE39" s="75" t="s">
        <v>9</v>
      </c>
      <c r="AF39" s="48" t="s">
        <v>9</v>
      </c>
      <c r="AG39" s="75" t="s">
        <v>9</v>
      </c>
      <c r="AH39" s="48" t="s">
        <v>9</v>
      </c>
      <c r="AI39" s="75" t="s">
        <v>9</v>
      </c>
      <c r="AJ39" s="48" t="s">
        <v>9</v>
      </c>
      <c r="AK39" s="75" t="s">
        <v>9</v>
      </c>
      <c r="AL39" s="48" t="s">
        <v>9</v>
      </c>
      <c r="AM39" s="75" t="s">
        <v>9</v>
      </c>
      <c r="AN39" s="48" t="s">
        <v>9</v>
      </c>
      <c r="AO39" s="51" t="s">
        <v>9</v>
      </c>
      <c r="AP39" s="48" t="s">
        <v>9</v>
      </c>
      <c r="AQ39" s="39" t="s">
        <v>9</v>
      </c>
      <c r="AR39" s="48" t="s">
        <v>9</v>
      </c>
      <c r="AS39" s="39" t="s">
        <v>9</v>
      </c>
      <c r="AT39" s="48" t="s">
        <v>9</v>
      </c>
      <c r="AU39" s="74" t="s">
        <v>9</v>
      </c>
      <c r="AV39" s="48" t="s">
        <v>9</v>
      </c>
      <c r="AW39" s="74" t="s">
        <v>9</v>
      </c>
    </row>
    <row r="40" spans="1:49" ht="6.75" customHeight="1" x14ac:dyDescent="0.4">
      <c r="A40" s="66">
        <v>40</v>
      </c>
      <c r="B40" s="63" t="s">
        <v>352</v>
      </c>
      <c r="C40" s="1" t="s">
        <v>1580</v>
      </c>
      <c r="D40" s="49" t="s">
        <v>9</v>
      </c>
      <c r="E40" s="54" t="s">
        <v>9</v>
      </c>
      <c r="F40" s="49" t="s">
        <v>9</v>
      </c>
      <c r="G40" s="54" t="s">
        <v>9</v>
      </c>
      <c r="H40" s="49" t="s">
        <v>9</v>
      </c>
      <c r="I40" s="54" t="s">
        <v>9</v>
      </c>
      <c r="J40" s="48" t="s">
        <v>75</v>
      </c>
      <c r="K40" s="39" t="s">
        <v>1493</v>
      </c>
      <c r="L40" s="48" t="s">
        <v>75</v>
      </c>
      <c r="M40" s="36" t="s">
        <v>353</v>
      </c>
      <c r="N40" s="48" t="s">
        <v>76</v>
      </c>
      <c r="O40" s="39">
        <v>14</v>
      </c>
      <c r="P40" s="48" t="s">
        <v>77</v>
      </c>
      <c r="Q40" s="34">
        <v>19</v>
      </c>
      <c r="R40" s="48" t="s">
        <v>78</v>
      </c>
      <c r="S40" s="74">
        <v>29</v>
      </c>
      <c r="T40" s="48" t="s">
        <v>344</v>
      </c>
      <c r="U40" s="75">
        <v>4.5</v>
      </c>
      <c r="V40" s="50" t="s">
        <v>84</v>
      </c>
      <c r="W40" s="51" t="s">
        <v>345</v>
      </c>
      <c r="X40" s="48" t="s">
        <v>1516</v>
      </c>
      <c r="Y40" s="51" t="s">
        <v>346</v>
      </c>
      <c r="Z40" s="48" t="s">
        <v>9</v>
      </c>
      <c r="AA40" s="75" t="s">
        <v>9</v>
      </c>
      <c r="AB40" s="48" t="s">
        <v>9</v>
      </c>
      <c r="AC40" s="75" t="s">
        <v>9</v>
      </c>
      <c r="AD40" s="48" t="s">
        <v>9</v>
      </c>
      <c r="AE40" s="75" t="s">
        <v>9</v>
      </c>
      <c r="AF40" s="48" t="s">
        <v>9</v>
      </c>
      <c r="AG40" s="75" t="s">
        <v>9</v>
      </c>
      <c r="AH40" s="48" t="s">
        <v>9</v>
      </c>
      <c r="AI40" s="75" t="s">
        <v>9</v>
      </c>
      <c r="AJ40" s="48" t="s">
        <v>9</v>
      </c>
      <c r="AK40" s="75" t="s">
        <v>9</v>
      </c>
      <c r="AL40" s="48" t="s">
        <v>9</v>
      </c>
      <c r="AM40" s="75" t="s">
        <v>9</v>
      </c>
      <c r="AN40" s="48" t="s">
        <v>9</v>
      </c>
      <c r="AO40" s="51" t="s">
        <v>9</v>
      </c>
      <c r="AP40" s="48" t="s">
        <v>9</v>
      </c>
      <c r="AQ40" s="39" t="s">
        <v>9</v>
      </c>
      <c r="AR40" s="48" t="s">
        <v>9</v>
      </c>
      <c r="AS40" s="39" t="s">
        <v>9</v>
      </c>
      <c r="AT40" s="48" t="s">
        <v>9</v>
      </c>
      <c r="AU40" s="74" t="s">
        <v>9</v>
      </c>
      <c r="AV40" s="48" t="s">
        <v>9</v>
      </c>
      <c r="AW40" s="74" t="s">
        <v>9</v>
      </c>
    </row>
    <row r="41" spans="1:49" ht="6.75" customHeight="1" x14ac:dyDescent="0.4">
      <c r="A41" s="66">
        <v>41</v>
      </c>
      <c r="B41" s="63" t="s">
        <v>354</v>
      </c>
      <c r="C41" s="1" t="s">
        <v>1580</v>
      </c>
      <c r="D41" s="49" t="s">
        <v>9</v>
      </c>
      <c r="E41" s="54" t="s">
        <v>9</v>
      </c>
      <c r="F41" s="49" t="s">
        <v>9</v>
      </c>
      <c r="G41" s="54" t="s">
        <v>9</v>
      </c>
      <c r="H41" s="49" t="s">
        <v>9</v>
      </c>
      <c r="I41" s="54" t="s">
        <v>9</v>
      </c>
      <c r="J41" s="48" t="s">
        <v>75</v>
      </c>
      <c r="K41" s="39" t="s">
        <v>1493</v>
      </c>
      <c r="L41" s="48" t="s">
        <v>75</v>
      </c>
      <c r="M41" s="36" t="s">
        <v>353</v>
      </c>
      <c r="N41" s="48" t="s">
        <v>76</v>
      </c>
      <c r="O41" s="39">
        <v>14</v>
      </c>
      <c r="P41" s="48" t="s">
        <v>77</v>
      </c>
      <c r="Q41" s="34">
        <v>19</v>
      </c>
      <c r="R41" s="48" t="s">
        <v>78</v>
      </c>
      <c r="S41" s="74">
        <v>39</v>
      </c>
      <c r="T41" s="48" t="s">
        <v>344</v>
      </c>
      <c r="U41" s="75">
        <v>6.4</v>
      </c>
      <c r="V41" s="50" t="s">
        <v>84</v>
      </c>
      <c r="W41" s="51" t="s">
        <v>345</v>
      </c>
      <c r="X41" s="48" t="s">
        <v>1516</v>
      </c>
      <c r="Y41" s="51" t="s">
        <v>346</v>
      </c>
      <c r="Z41" s="48" t="s">
        <v>9</v>
      </c>
      <c r="AA41" s="75" t="s">
        <v>9</v>
      </c>
      <c r="AB41" s="48" t="s">
        <v>9</v>
      </c>
      <c r="AC41" s="75" t="s">
        <v>9</v>
      </c>
      <c r="AD41" s="48" t="s">
        <v>9</v>
      </c>
      <c r="AE41" s="75" t="s">
        <v>9</v>
      </c>
      <c r="AF41" s="48" t="s">
        <v>9</v>
      </c>
      <c r="AG41" s="75" t="s">
        <v>9</v>
      </c>
      <c r="AH41" s="48" t="s">
        <v>9</v>
      </c>
      <c r="AI41" s="75" t="s">
        <v>9</v>
      </c>
      <c r="AJ41" s="48" t="s">
        <v>9</v>
      </c>
      <c r="AK41" s="75" t="s">
        <v>9</v>
      </c>
      <c r="AL41" s="48" t="s">
        <v>9</v>
      </c>
      <c r="AM41" s="75" t="s">
        <v>9</v>
      </c>
      <c r="AN41" s="48" t="s">
        <v>9</v>
      </c>
      <c r="AO41" s="51" t="s">
        <v>9</v>
      </c>
      <c r="AP41" s="48" t="s">
        <v>9</v>
      </c>
      <c r="AQ41" s="39" t="s">
        <v>9</v>
      </c>
      <c r="AR41" s="48" t="s">
        <v>9</v>
      </c>
      <c r="AS41" s="39" t="s">
        <v>9</v>
      </c>
      <c r="AT41" s="48" t="s">
        <v>9</v>
      </c>
      <c r="AU41" s="74" t="s">
        <v>9</v>
      </c>
      <c r="AV41" s="48" t="s">
        <v>9</v>
      </c>
      <c r="AW41" s="74" t="s">
        <v>9</v>
      </c>
    </row>
    <row r="42" spans="1:49" ht="6.75" customHeight="1" x14ac:dyDescent="0.4">
      <c r="A42" s="66">
        <v>42</v>
      </c>
      <c r="B42" s="63" t="s">
        <v>355</v>
      </c>
      <c r="C42" s="1" t="s">
        <v>1580</v>
      </c>
      <c r="D42" s="49" t="s">
        <v>9</v>
      </c>
      <c r="E42" s="54" t="s">
        <v>9</v>
      </c>
      <c r="F42" s="49" t="s">
        <v>9</v>
      </c>
      <c r="G42" s="54" t="s">
        <v>9</v>
      </c>
      <c r="H42" s="49" t="s">
        <v>9</v>
      </c>
      <c r="I42" s="54" t="s">
        <v>9</v>
      </c>
      <c r="J42" s="48" t="s">
        <v>75</v>
      </c>
      <c r="K42" s="39" t="s">
        <v>1493</v>
      </c>
      <c r="L42" s="48" t="s">
        <v>75</v>
      </c>
      <c r="M42" s="36" t="s">
        <v>356</v>
      </c>
      <c r="N42" s="48" t="s">
        <v>76</v>
      </c>
      <c r="O42" s="39">
        <v>19</v>
      </c>
      <c r="P42" s="48" t="s">
        <v>77</v>
      </c>
      <c r="Q42" s="34">
        <v>19</v>
      </c>
      <c r="R42" s="48" t="s">
        <v>78</v>
      </c>
      <c r="S42" s="74">
        <v>29</v>
      </c>
      <c r="T42" s="48" t="s">
        <v>344</v>
      </c>
      <c r="U42" s="75">
        <v>5.3</v>
      </c>
      <c r="V42" s="50" t="s">
        <v>84</v>
      </c>
      <c r="W42" s="51" t="s">
        <v>345</v>
      </c>
      <c r="X42" s="48" t="s">
        <v>1516</v>
      </c>
      <c r="Y42" s="51" t="s">
        <v>346</v>
      </c>
      <c r="Z42" s="48" t="s">
        <v>9</v>
      </c>
      <c r="AA42" s="75" t="s">
        <v>9</v>
      </c>
      <c r="AB42" s="48" t="s">
        <v>9</v>
      </c>
      <c r="AC42" s="75" t="s">
        <v>9</v>
      </c>
      <c r="AD42" s="48" t="s">
        <v>9</v>
      </c>
      <c r="AE42" s="75" t="s">
        <v>9</v>
      </c>
      <c r="AF42" s="48" t="s">
        <v>9</v>
      </c>
      <c r="AG42" s="75" t="s">
        <v>9</v>
      </c>
      <c r="AH42" s="48" t="s">
        <v>9</v>
      </c>
      <c r="AI42" s="75" t="s">
        <v>9</v>
      </c>
      <c r="AJ42" s="48" t="s">
        <v>9</v>
      </c>
      <c r="AK42" s="75" t="s">
        <v>9</v>
      </c>
      <c r="AL42" s="48" t="s">
        <v>9</v>
      </c>
      <c r="AM42" s="75" t="s">
        <v>9</v>
      </c>
      <c r="AN42" s="48" t="s">
        <v>9</v>
      </c>
      <c r="AO42" s="51" t="s">
        <v>9</v>
      </c>
      <c r="AP42" s="48" t="s">
        <v>9</v>
      </c>
      <c r="AQ42" s="39" t="s">
        <v>9</v>
      </c>
      <c r="AR42" s="48" t="s">
        <v>9</v>
      </c>
      <c r="AS42" s="39" t="s">
        <v>9</v>
      </c>
      <c r="AT42" s="48" t="s">
        <v>9</v>
      </c>
      <c r="AU42" s="74" t="s">
        <v>9</v>
      </c>
      <c r="AV42" s="48" t="s">
        <v>9</v>
      </c>
      <c r="AW42" s="74" t="s">
        <v>9</v>
      </c>
    </row>
    <row r="43" spans="1:49" ht="6.75" customHeight="1" x14ac:dyDescent="0.4">
      <c r="A43" s="66">
        <v>43</v>
      </c>
      <c r="B43" s="63" t="s">
        <v>357</v>
      </c>
      <c r="C43" s="1" t="s">
        <v>1580</v>
      </c>
      <c r="D43" s="49" t="s">
        <v>9</v>
      </c>
      <c r="E43" s="54" t="s">
        <v>9</v>
      </c>
      <c r="F43" s="49" t="s">
        <v>9</v>
      </c>
      <c r="G43" s="54" t="s">
        <v>9</v>
      </c>
      <c r="H43" s="49" t="s">
        <v>9</v>
      </c>
      <c r="I43" s="54" t="s">
        <v>9</v>
      </c>
      <c r="J43" s="48" t="s">
        <v>75</v>
      </c>
      <c r="K43" s="39" t="s">
        <v>1493</v>
      </c>
      <c r="L43" s="48" t="s">
        <v>75</v>
      </c>
      <c r="M43" s="36" t="s">
        <v>358</v>
      </c>
      <c r="N43" s="48" t="s">
        <v>76</v>
      </c>
      <c r="O43" s="39">
        <v>9</v>
      </c>
      <c r="P43" s="48" t="s">
        <v>77</v>
      </c>
      <c r="Q43" s="34">
        <v>19</v>
      </c>
      <c r="R43" s="48" t="s">
        <v>78</v>
      </c>
      <c r="S43" s="74">
        <v>19</v>
      </c>
      <c r="T43" s="48" t="s">
        <v>344</v>
      </c>
      <c r="U43" s="75">
        <v>3.3</v>
      </c>
      <c r="V43" s="50" t="s">
        <v>84</v>
      </c>
      <c r="W43" s="51" t="s">
        <v>345</v>
      </c>
      <c r="X43" s="48" t="s">
        <v>1516</v>
      </c>
      <c r="Y43" s="51" t="s">
        <v>359</v>
      </c>
      <c r="Z43" s="48" t="s">
        <v>9</v>
      </c>
      <c r="AA43" s="75" t="s">
        <v>9</v>
      </c>
      <c r="AB43" s="48" t="s">
        <v>9</v>
      </c>
      <c r="AC43" s="75" t="s">
        <v>9</v>
      </c>
      <c r="AD43" s="48" t="s">
        <v>9</v>
      </c>
      <c r="AE43" s="75" t="s">
        <v>9</v>
      </c>
      <c r="AF43" s="48" t="s">
        <v>9</v>
      </c>
      <c r="AG43" s="75" t="s">
        <v>9</v>
      </c>
      <c r="AH43" s="48" t="s">
        <v>9</v>
      </c>
      <c r="AI43" s="75" t="s">
        <v>9</v>
      </c>
      <c r="AJ43" s="48" t="s">
        <v>9</v>
      </c>
      <c r="AK43" s="75" t="s">
        <v>9</v>
      </c>
      <c r="AL43" s="48" t="s">
        <v>9</v>
      </c>
      <c r="AM43" s="75" t="s">
        <v>9</v>
      </c>
      <c r="AN43" s="48" t="s">
        <v>9</v>
      </c>
      <c r="AO43" s="51" t="s">
        <v>9</v>
      </c>
      <c r="AP43" s="48" t="s">
        <v>9</v>
      </c>
      <c r="AQ43" s="39" t="s">
        <v>9</v>
      </c>
      <c r="AR43" s="48" t="s">
        <v>9</v>
      </c>
      <c r="AS43" s="39" t="s">
        <v>9</v>
      </c>
      <c r="AT43" s="48" t="s">
        <v>9</v>
      </c>
      <c r="AU43" s="74" t="s">
        <v>9</v>
      </c>
      <c r="AV43" s="48" t="s">
        <v>9</v>
      </c>
      <c r="AW43" s="74" t="s">
        <v>9</v>
      </c>
    </row>
    <row r="44" spans="1:49" ht="6.75" customHeight="1" x14ac:dyDescent="0.4">
      <c r="A44" s="66">
        <v>44</v>
      </c>
      <c r="B44" s="63" t="s">
        <v>360</v>
      </c>
      <c r="C44" s="1" t="s">
        <v>1580</v>
      </c>
      <c r="D44" s="49" t="s">
        <v>9</v>
      </c>
      <c r="E44" s="54" t="s">
        <v>9</v>
      </c>
      <c r="F44" s="49" t="s">
        <v>9</v>
      </c>
      <c r="G44" s="54" t="s">
        <v>9</v>
      </c>
      <c r="H44" s="49" t="s">
        <v>9</v>
      </c>
      <c r="I44" s="54" t="s">
        <v>9</v>
      </c>
      <c r="J44" s="48" t="s">
        <v>75</v>
      </c>
      <c r="K44" s="39" t="s">
        <v>1493</v>
      </c>
      <c r="L44" s="48" t="s">
        <v>75</v>
      </c>
      <c r="M44" s="36" t="s">
        <v>358</v>
      </c>
      <c r="N44" s="48" t="s">
        <v>76</v>
      </c>
      <c r="O44" s="39">
        <v>9</v>
      </c>
      <c r="P44" s="48" t="s">
        <v>77</v>
      </c>
      <c r="Q44" s="34">
        <v>19</v>
      </c>
      <c r="R44" s="48" t="s">
        <v>78</v>
      </c>
      <c r="S44" s="74">
        <v>29</v>
      </c>
      <c r="T44" s="48" t="s">
        <v>344</v>
      </c>
      <c r="U44" s="75">
        <v>4.5</v>
      </c>
      <c r="V44" s="50" t="s">
        <v>84</v>
      </c>
      <c r="W44" s="51" t="s">
        <v>345</v>
      </c>
      <c r="X44" s="48" t="s">
        <v>1516</v>
      </c>
      <c r="Y44" s="51" t="s">
        <v>359</v>
      </c>
      <c r="Z44" s="48" t="s">
        <v>9</v>
      </c>
      <c r="AA44" s="75" t="s">
        <v>9</v>
      </c>
      <c r="AB44" s="48" t="s">
        <v>9</v>
      </c>
      <c r="AC44" s="75" t="s">
        <v>9</v>
      </c>
      <c r="AD44" s="48" t="s">
        <v>9</v>
      </c>
      <c r="AE44" s="75" t="s">
        <v>9</v>
      </c>
      <c r="AF44" s="48" t="s">
        <v>9</v>
      </c>
      <c r="AG44" s="75" t="s">
        <v>9</v>
      </c>
      <c r="AH44" s="48" t="s">
        <v>9</v>
      </c>
      <c r="AI44" s="75" t="s">
        <v>9</v>
      </c>
      <c r="AJ44" s="48" t="s">
        <v>9</v>
      </c>
      <c r="AK44" s="75" t="s">
        <v>9</v>
      </c>
      <c r="AL44" s="48" t="s">
        <v>9</v>
      </c>
      <c r="AM44" s="75" t="s">
        <v>9</v>
      </c>
      <c r="AN44" s="48" t="s">
        <v>9</v>
      </c>
      <c r="AO44" s="51" t="s">
        <v>9</v>
      </c>
      <c r="AP44" s="48" t="s">
        <v>9</v>
      </c>
      <c r="AQ44" s="39" t="s">
        <v>9</v>
      </c>
      <c r="AR44" s="48" t="s">
        <v>9</v>
      </c>
      <c r="AS44" s="39" t="s">
        <v>9</v>
      </c>
      <c r="AT44" s="48" t="s">
        <v>9</v>
      </c>
      <c r="AU44" s="74" t="s">
        <v>9</v>
      </c>
      <c r="AV44" s="48" t="s">
        <v>9</v>
      </c>
      <c r="AW44" s="74" t="s">
        <v>9</v>
      </c>
    </row>
    <row r="45" spans="1:49" ht="6.75" customHeight="1" x14ac:dyDescent="0.4">
      <c r="A45" s="66">
        <v>45</v>
      </c>
      <c r="B45" s="63" t="s">
        <v>361</v>
      </c>
      <c r="C45" s="1" t="s">
        <v>1580</v>
      </c>
      <c r="D45" s="49" t="s">
        <v>9</v>
      </c>
      <c r="E45" s="54" t="s">
        <v>9</v>
      </c>
      <c r="F45" s="49" t="s">
        <v>9</v>
      </c>
      <c r="G45" s="54" t="s">
        <v>9</v>
      </c>
      <c r="H45" s="49" t="s">
        <v>9</v>
      </c>
      <c r="I45" s="54" t="s">
        <v>9</v>
      </c>
      <c r="J45" s="48" t="s">
        <v>75</v>
      </c>
      <c r="K45" s="39" t="s">
        <v>1493</v>
      </c>
      <c r="L45" s="48" t="s">
        <v>75</v>
      </c>
      <c r="M45" s="36" t="s">
        <v>358</v>
      </c>
      <c r="N45" s="48" t="s">
        <v>76</v>
      </c>
      <c r="O45" s="39">
        <v>9</v>
      </c>
      <c r="P45" s="48" t="s">
        <v>77</v>
      </c>
      <c r="Q45" s="34">
        <v>19</v>
      </c>
      <c r="R45" s="48" t="s">
        <v>78</v>
      </c>
      <c r="S45" s="74">
        <v>39</v>
      </c>
      <c r="T45" s="48" t="s">
        <v>344</v>
      </c>
      <c r="U45" s="75">
        <v>5.3</v>
      </c>
      <c r="V45" s="50" t="s">
        <v>84</v>
      </c>
      <c r="W45" s="51" t="s">
        <v>345</v>
      </c>
      <c r="X45" s="48" t="s">
        <v>1516</v>
      </c>
      <c r="Y45" s="51" t="s">
        <v>359</v>
      </c>
      <c r="Z45" s="48" t="s">
        <v>9</v>
      </c>
      <c r="AA45" s="75" t="s">
        <v>9</v>
      </c>
      <c r="AB45" s="48" t="s">
        <v>9</v>
      </c>
      <c r="AC45" s="75" t="s">
        <v>9</v>
      </c>
      <c r="AD45" s="48" t="s">
        <v>9</v>
      </c>
      <c r="AE45" s="75" t="s">
        <v>9</v>
      </c>
      <c r="AF45" s="48" t="s">
        <v>9</v>
      </c>
      <c r="AG45" s="75" t="s">
        <v>9</v>
      </c>
      <c r="AH45" s="48" t="s">
        <v>9</v>
      </c>
      <c r="AI45" s="75" t="s">
        <v>9</v>
      </c>
      <c r="AJ45" s="48" t="s">
        <v>9</v>
      </c>
      <c r="AK45" s="75" t="s">
        <v>9</v>
      </c>
      <c r="AL45" s="48" t="s">
        <v>9</v>
      </c>
      <c r="AM45" s="75" t="s">
        <v>9</v>
      </c>
      <c r="AN45" s="48" t="s">
        <v>9</v>
      </c>
      <c r="AO45" s="51" t="s">
        <v>9</v>
      </c>
      <c r="AP45" s="48" t="s">
        <v>9</v>
      </c>
      <c r="AQ45" s="39" t="s">
        <v>9</v>
      </c>
      <c r="AR45" s="48" t="s">
        <v>9</v>
      </c>
      <c r="AS45" s="39" t="s">
        <v>9</v>
      </c>
      <c r="AT45" s="48" t="s">
        <v>9</v>
      </c>
      <c r="AU45" s="74" t="s">
        <v>9</v>
      </c>
      <c r="AV45" s="48" t="s">
        <v>9</v>
      </c>
      <c r="AW45" s="74" t="s">
        <v>9</v>
      </c>
    </row>
    <row r="46" spans="1:49" ht="6.75" customHeight="1" x14ac:dyDescent="0.4">
      <c r="A46" s="66">
        <v>46</v>
      </c>
      <c r="B46" s="63" t="s">
        <v>362</v>
      </c>
      <c r="C46" s="1" t="s">
        <v>1580</v>
      </c>
      <c r="D46" s="49" t="s">
        <v>9</v>
      </c>
      <c r="E46" s="54" t="s">
        <v>9</v>
      </c>
      <c r="F46" s="49" t="s">
        <v>9</v>
      </c>
      <c r="G46" s="54" t="s">
        <v>9</v>
      </c>
      <c r="H46" s="49" t="s">
        <v>9</v>
      </c>
      <c r="I46" s="54" t="s">
        <v>9</v>
      </c>
      <c r="J46" s="48" t="s">
        <v>75</v>
      </c>
      <c r="K46" s="39" t="s">
        <v>1493</v>
      </c>
      <c r="L46" s="48" t="s">
        <v>75</v>
      </c>
      <c r="M46" s="36" t="s">
        <v>363</v>
      </c>
      <c r="N46" s="48" t="s">
        <v>76</v>
      </c>
      <c r="O46" s="39">
        <v>11.5</v>
      </c>
      <c r="P46" s="48" t="s">
        <v>77</v>
      </c>
      <c r="Q46" s="34">
        <v>19</v>
      </c>
      <c r="R46" s="48" t="s">
        <v>78</v>
      </c>
      <c r="S46" s="74">
        <v>39</v>
      </c>
      <c r="T46" s="48" t="s">
        <v>344</v>
      </c>
      <c r="U46" s="75">
        <v>5.2</v>
      </c>
      <c r="V46" s="50" t="s">
        <v>84</v>
      </c>
      <c r="W46" s="51" t="s">
        <v>336</v>
      </c>
      <c r="X46" s="48" t="s">
        <v>1516</v>
      </c>
      <c r="Y46" s="51" t="s">
        <v>346</v>
      </c>
      <c r="Z46" s="48" t="s">
        <v>9</v>
      </c>
      <c r="AA46" s="75" t="s">
        <v>9</v>
      </c>
      <c r="AB46" s="48" t="s">
        <v>9</v>
      </c>
      <c r="AC46" s="75" t="s">
        <v>9</v>
      </c>
      <c r="AD46" s="48" t="s">
        <v>9</v>
      </c>
      <c r="AE46" s="75" t="s">
        <v>9</v>
      </c>
      <c r="AF46" s="48" t="s">
        <v>9</v>
      </c>
      <c r="AG46" s="75" t="s">
        <v>9</v>
      </c>
      <c r="AH46" s="48" t="s">
        <v>9</v>
      </c>
      <c r="AI46" s="75" t="s">
        <v>9</v>
      </c>
      <c r="AJ46" s="48" t="s">
        <v>9</v>
      </c>
      <c r="AK46" s="75" t="s">
        <v>9</v>
      </c>
      <c r="AL46" s="48" t="s">
        <v>9</v>
      </c>
      <c r="AM46" s="75" t="s">
        <v>9</v>
      </c>
      <c r="AN46" s="48" t="s">
        <v>9</v>
      </c>
      <c r="AO46" s="51" t="s">
        <v>9</v>
      </c>
      <c r="AP46" s="48" t="s">
        <v>9</v>
      </c>
      <c r="AQ46" s="39" t="s">
        <v>9</v>
      </c>
      <c r="AR46" s="48" t="s">
        <v>9</v>
      </c>
      <c r="AS46" s="39" t="s">
        <v>9</v>
      </c>
      <c r="AT46" s="48" t="s">
        <v>9</v>
      </c>
      <c r="AU46" s="74" t="s">
        <v>9</v>
      </c>
      <c r="AV46" s="48" t="s">
        <v>9</v>
      </c>
      <c r="AW46" s="74" t="s">
        <v>9</v>
      </c>
    </row>
    <row r="47" spans="1:49" ht="6.75" customHeight="1" x14ac:dyDescent="0.4">
      <c r="A47" s="66">
        <v>47</v>
      </c>
      <c r="B47" s="63" t="s">
        <v>364</v>
      </c>
      <c r="C47" s="1" t="s">
        <v>1580</v>
      </c>
      <c r="D47" s="49" t="s">
        <v>9</v>
      </c>
      <c r="E47" s="54" t="s">
        <v>9</v>
      </c>
      <c r="F47" s="49" t="s">
        <v>9</v>
      </c>
      <c r="G47" s="54" t="s">
        <v>9</v>
      </c>
      <c r="H47" s="49" t="s">
        <v>9</v>
      </c>
      <c r="I47" s="54" t="s">
        <v>9</v>
      </c>
      <c r="J47" s="48" t="s">
        <v>75</v>
      </c>
      <c r="K47" s="39" t="s">
        <v>1493</v>
      </c>
      <c r="L47" s="48" t="s">
        <v>75</v>
      </c>
      <c r="M47" s="36" t="s">
        <v>363</v>
      </c>
      <c r="N47" s="48" t="s">
        <v>76</v>
      </c>
      <c r="O47" s="39">
        <v>11.5</v>
      </c>
      <c r="P47" s="48" t="s">
        <v>77</v>
      </c>
      <c r="Q47" s="34">
        <v>19</v>
      </c>
      <c r="R47" s="48" t="s">
        <v>78</v>
      </c>
      <c r="S47" s="74">
        <v>14</v>
      </c>
      <c r="T47" s="48" t="s">
        <v>344</v>
      </c>
      <c r="U47" s="75">
        <v>2.6</v>
      </c>
      <c r="V47" s="50" t="s">
        <v>84</v>
      </c>
      <c r="W47" s="51" t="s">
        <v>336</v>
      </c>
      <c r="X47" s="48" t="s">
        <v>1516</v>
      </c>
      <c r="Y47" s="51" t="s">
        <v>346</v>
      </c>
      <c r="Z47" s="48" t="s">
        <v>9</v>
      </c>
      <c r="AA47" s="75" t="s">
        <v>9</v>
      </c>
      <c r="AB47" s="48" t="s">
        <v>9</v>
      </c>
      <c r="AC47" s="75" t="s">
        <v>9</v>
      </c>
      <c r="AD47" s="48" t="s">
        <v>9</v>
      </c>
      <c r="AE47" s="75" t="s">
        <v>9</v>
      </c>
      <c r="AF47" s="48" t="s">
        <v>9</v>
      </c>
      <c r="AG47" s="75" t="s">
        <v>9</v>
      </c>
      <c r="AH47" s="48" t="s">
        <v>9</v>
      </c>
      <c r="AI47" s="75" t="s">
        <v>9</v>
      </c>
      <c r="AJ47" s="48" t="s">
        <v>9</v>
      </c>
      <c r="AK47" s="75" t="s">
        <v>9</v>
      </c>
      <c r="AL47" s="48" t="s">
        <v>9</v>
      </c>
      <c r="AM47" s="75" t="s">
        <v>9</v>
      </c>
      <c r="AN47" s="48" t="s">
        <v>9</v>
      </c>
      <c r="AO47" s="51" t="s">
        <v>9</v>
      </c>
      <c r="AP47" s="48" t="s">
        <v>9</v>
      </c>
      <c r="AQ47" s="39" t="s">
        <v>9</v>
      </c>
      <c r="AR47" s="48" t="s">
        <v>9</v>
      </c>
      <c r="AS47" s="39" t="s">
        <v>9</v>
      </c>
      <c r="AT47" s="48" t="s">
        <v>9</v>
      </c>
      <c r="AU47" s="74" t="s">
        <v>9</v>
      </c>
      <c r="AV47" s="48" t="s">
        <v>9</v>
      </c>
      <c r="AW47" s="74" t="s">
        <v>9</v>
      </c>
    </row>
    <row r="48" spans="1:49" ht="6.75" customHeight="1" x14ac:dyDescent="0.4">
      <c r="A48" s="66">
        <v>48</v>
      </c>
      <c r="B48" s="63" t="s">
        <v>365</v>
      </c>
      <c r="C48" s="1" t="s">
        <v>1580</v>
      </c>
      <c r="D48" s="49" t="s">
        <v>9</v>
      </c>
      <c r="E48" s="54" t="s">
        <v>9</v>
      </c>
      <c r="F48" s="49" t="s">
        <v>9</v>
      </c>
      <c r="G48" s="54" t="s">
        <v>9</v>
      </c>
      <c r="H48" s="49" t="s">
        <v>9</v>
      </c>
      <c r="I48" s="54" t="s">
        <v>9</v>
      </c>
      <c r="J48" s="48" t="s">
        <v>75</v>
      </c>
      <c r="K48" s="39" t="s">
        <v>1493</v>
      </c>
      <c r="L48" s="48" t="s">
        <v>75</v>
      </c>
      <c r="M48" s="36" t="s">
        <v>363</v>
      </c>
      <c r="N48" s="48" t="s">
        <v>76</v>
      </c>
      <c r="O48" s="39">
        <v>11.5</v>
      </c>
      <c r="P48" s="48" t="s">
        <v>77</v>
      </c>
      <c r="Q48" s="34">
        <v>19</v>
      </c>
      <c r="R48" s="48" t="s">
        <v>78</v>
      </c>
      <c r="S48" s="74">
        <v>39</v>
      </c>
      <c r="T48" s="48" t="s">
        <v>344</v>
      </c>
      <c r="U48" s="75">
        <v>6.5</v>
      </c>
      <c r="V48" s="50" t="s">
        <v>84</v>
      </c>
      <c r="W48" s="51" t="s">
        <v>336</v>
      </c>
      <c r="X48" s="48" t="s">
        <v>1516</v>
      </c>
      <c r="Y48" s="51" t="s">
        <v>346</v>
      </c>
      <c r="Z48" s="48" t="s">
        <v>9</v>
      </c>
      <c r="AA48" s="75" t="s">
        <v>9</v>
      </c>
      <c r="AB48" s="48" t="s">
        <v>9</v>
      </c>
      <c r="AC48" s="75" t="s">
        <v>9</v>
      </c>
      <c r="AD48" s="48" t="s">
        <v>9</v>
      </c>
      <c r="AE48" s="75" t="s">
        <v>9</v>
      </c>
      <c r="AF48" s="48" t="s">
        <v>9</v>
      </c>
      <c r="AG48" s="75" t="s">
        <v>9</v>
      </c>
      <c r="AH48" s="48" t="s">
        <v>9</v>
      </c>
      <c r="AI48" s="75" t="s">
        <v>9</v>
      </c>
      <c r="AJ48" s="48" t="s">
        <v>9</v>
      </c>
      <c r="AK48" s="75" t="s">
        <v>9</v>
      </c>
      <c r="AL48" s="48" t="s">
        <v>9</v>
      </c>
      <c r="AM48" s="75" t="s">
        <v>9</v>
      </c>
      <c r="AN48" s="48" t="s">
        <v>9</v>
      </c>
      <c r="AO48" s="51" t="s">
        <v>9</v>
      </c>
      <c r="AP48" s="48" t="s">
        <v>9</v>
      </c>
      <c r="AQ48" s="39" t="s">
        <v>9</v>
      </c>
      <c r="AR48" s="48" t="s">
        <v>9</v>
      </c>
      <c r="AS48" s="39" t="s">
        <v>9</v>
      </c>
      <c r="AT48" s="48" t="s">
        <v>9</v>
      </c>
      <c r="AU48" s="74" t="s">
        <v>9</v>
      </c>
      <c r="AV48" s="48" t="s">
        <v>9</v>
      </c>
      <c r="AW48" s="74" t="s">
        <v>9</v>
      </c>
    </row>
    <row r="49" spans="1:49" ht="6.75" customHeight="1" x14ac:dyDescent="0.4">
      <c r="A49" s="66">
        <v>49</v>
      </c>
      <c r="B49" s="63" t="s">
        <v>366</v>
      </c>
      <c r="C49" s="1" t="s">
        <v>1580</v>
      </c>
      <c r="D49" s="49" t="s">
        <v>9</v>
      </c>
      <c r="E49" s="54" t="s">
        <v>9</v>
      </c>
      <c r="F49" s="49" t="s">
        <v>9</v>
      </c>
      <c r="G49" s="54" t="s">
        <v>9</v>
      </c>
      <c r="H49" s="49" t="s">
        <v>9</v>
      </c>
      <c r="I49" s="54" t="s">
        <v>9</v>
      </c>
      <c r="J49" s="48" t="s">
        <v>75</v>
      </c>
      <c r="K49" s="39" t="s">
        <v>1493</v>
      </c>
      <c r="L49" s="48" t="s">
        <v>75</v>
      </c>
      <c r="M49" s="36" t="s">
        <v>363</v>
      </c>
      <c r="N49" s="48" t="s">
        <v>76</v>
      </c>
      <c r="O49" s="39">
        <v>11.5</v>
      </c>
      <c r="P49" s="48" t="s">
        <v>77</v>
      </c>
      <c r="Q49" s="34">
        <v>19</v>
      </c>
      <c r="R49" s="48" t="s">
        <v>78</v>
      </c>
      <c r="S49" s="74">
        <v>19</v>
      </c>
      <c r="T49" s="48" t="s">
        <v>344</v>
      </c>
      <c r="U49" s="75">
        <v>3.6</v>
      </c>
      <c r="V49" s="50" t="s">
        <v>84</v>
      </c>
      <c r="W49" s="51" t="s">
        <v>336</v>
      </c>
      <c r="X49" s="48" t="s">
        <v>1516</v>
      </c>
      <c r="Y49" s="51" t="s">
        <v>346</v>
      </c>
      <c r="Z49" s="48" t="s">
        <v>9</v>
      </c>
      <c r="AA49" s="75" t="s">
        <v>9</v>
      </c>
      <c r="AB49" s="48" t="s">
        <v>9</v>
      </c>
      <c r="AC49" s="75" t="s">
        <v>9</v>
      </c>
      <c r="AD49" s="48" t="s">
        <v>9</v>
      </c>
      <c r="AE49" s="75" t="s">
        <v>9</v>
      </c>
      <c r="AF49" s="48" t="s">
        <v>9</v>
      </c>
      <c r="AG49" s="75" t="s">
        <v>9</v>
      </c>
      <c r="AH49" s="48" t="s">
        <v>9</v>
      </c>
      <c r="AI49" s="75" t="s">
        <v>9</v>
      </c>
      <c r="AJ49" s="48" t="s">
        <v>9</v>
      </c>
      <c r="AK49" s="75" t="s">
        <v>9</v>
      </c>
      <c r="AL49" s="48" t="s">
        <v>9</v>
      </c>
      <c r="AM49" s="75" t="s">
        <v>9</v>
      </c>
      <c r="AN49" s="48" t="s">
        <v>9</v>
      </c>
      <c r="AO49" s="51" t="s">
        <v>9</v>
      </c>
      <c r="AP49" s="48" t="s">
        <v>9</v>
      </c>
      <c r="AQ49" s="39" t="s">
        <v>9</v>
      </c>
      <c r="AR49" s="48" t="s">
        <v>9</v>
      </c>
      <c r="AS49" s="39" t="s">
        <v>9</v>
      </c>
      <c r="AT49" s="48" t="s">
        <v>9</v>
      </c>
      <c r="AU49" s="74" t="s">
        <v>9</v>
      </c>
      <c r="AV49" s="48" t="s">
        <v>9</v>
      </c>
      <c r="AW49" s="74" t="s">
        <v>9</v>
      </c>
    </row>
    <row r="50" spans="1:49" ht="6.75" customHeight="1" x14ac:dyDescent="0.4">
      <c r="A50" s="66">
        <v>50</v>
      </c>
      <c r="B50" s="63" t="s">
        <v>367</v>
      </c>
      <c r="C50" s="1" t="s">
        <v>1580</v>
      </c>
      <c r="D50" s="49" t="s">
        <v>9</v>
      </c>
      <c r="E50" s="54" t="s">
        <v>9</v>
      </c>
      <c r="F50" s="49" t="s">
        <v>9</v>
      </c>
      <c r="G50" s="54" t="s">
        <v>9</v>
      </c>
      <c r="H50" s="49" t="s">
        <v>9</v>
      </c>
      <c r="I50" s="54" t="s">
        <v>9</v>
      </c>
      <c r="J50" s="48" t="s">
        <v>75</v>
      </c>
      <c r="K50" s="39" t="s">
        <v>1493</v>
      </c>
      <c r="L50" s="48" t="s">
        <v>75</v>
      </c>
      <c r="M50" s="36" t="s">
        <v>368</v>
      </c>
      <c r="N50" s="48" t="s">
        <v>76</v>
      </c>
      <c r="O50" s="39">
        <v>14</v>
      </c>
      <c r="P50" s="48" t="s">
        <v>77</v>
      </c>
      <c r="Q50" s="34">
        <v>19</v>
      </c>
      <c r="R50" s="48" t="s">
        <v>78</v>
      </c>
      <c r="S50" s="74">
        <v>29</v>
      </c>
      <c r="T50" s="48" t="s">
        <v>344</v>
      </c>
      <c r="U50" s="75">
        <v>5.7</v>
      </c>
      <c r="V50" s="50" t="s">
        <v>84</v>
      </c>
      <c r="W50" s="51" t="s">
        <v>336</v>
      </c>
      <c r="X50" s="48" t="s">
        <v>1516</v>
      </c>
      <c r="Y50" s="51" t="s">
        <v>346</v>
      </c>
      <c r="Z50" s="48" t="s">
        <v>9</v>
      </c>
      <c r="AA50" s="75" t="s">
        <v>9</v>
      </c>
      <c r="AB50" s="48" t="s">
        <v>9</v>
      </c>
      <c r="AC50" s="75" t="s">
        <v>9</v>
      </c>
      <c r="AD50" s="48" t="s">
        <v>9</v>
      </c>
      <c r="AE50" s="75" t="s">
        <v>9</v>
      </c>
      <c r="AF50" s="48" t="s">
        <v>9</v>
      </c>
      <c r="AG50" s="75" t="s">
        <v>9</v>
      </c>
      <c r="AH50" s="48" t="s">
        <v>9</v>
      </c>
      <c r="AI50" s="75" t="s">
        <v>9</v>
      </c>
      <c r="AJ50" s="48" t="s">
        <v>9</v>
      </c>
      <c r="AK50" s="75" t="s">
        <v>9</v>
      </c>
      <c r="AL50" s="48" t="s">
        <v>9</v>
      </c>
      <c r="AM50" s="75" t="s">
        <v>9</v>
      </c>
      <c r="AN50" s="48" t="s">
        <v>9</v>
      </c>
      <c r="AO50" s="51" t="s">
        <v>9</v>
      </c>
      <c r="AP50" s="48" t="s">
        <v>9</v>
      </c>
      <c r="AQ50" s="39" t="s">
        <v>9</v>
      </c>
      <c r="AR50" s="48" t="s">
        <v>9</v>
      </c>
      <c r="AS50" s="39" t="s">
        <v>9</v>
      </c>
      <c r="AT50" s="48" t="s">
        <v>9</v>
      </c>
      <c r="AU50" s="74" t="s">
        <v>9</v>
      </c>
      <c r="AV50" s="48" t="s">
        <v>9</v>
      </c>
      <c r="AW50" s="74" t="s">
        <v>9</v>
      </c>
    </row>
    <row r="51" spans="1:49" ht="6.75" customHeight="1" x14ac:dyDescent="0.4">
      <c r="A51" s="66">
        <v>51</v>
      </c>
      <c r="B51" s="63" t="s">
        <v>369</v>
      </c>
      <c r="C51" s="1" t="s">
        <v>1580</v>
      </c>
      <c r="D51" s="49" t="s">
        <v>9</v>
      </c>
      <c r="E51" s="54" t="s">
        <v>9</v>
      </c>
      <c r="F51" s="49" t="s">
        <v>9</v>
      </c>
      <c r="G51" s="54" t="s">
        <v>9</v>
      </c>
      <c r="H51" s="49" t="s">
        <v>9</v>
      </c>
      <c r="I51" s="54" t="s">
        <v>9</v>
      </c>
      <c r="J51" s="48" t="s">
        <v>75</v>
      </c>
      <c r="K51" s="39" t="s">
        <v>1493</v>
      </c>
      <c r="L51" s="48" t="s">
        <v>75</v>
      </c>
      <c r="M51" s="36" t="s">
        <v>368</v>
      </c>
      <c r="N51" s="48" t="s">
        <v>76</v>
      </c>
      <c r="O51" s="39">
        <v>14</v>
      </c>
      <c r="P51" s="48" t="s">
        <v>77</v>
      </c>
      <c r="Q51" s="34">
        <v>19</v>
      </c>
      <c r="R51" s="48" t="s">
        <v>78</v>
      </c>
      <c r="S51" s="74">
        <v>14</v>
      </c>
      <c r="T51" s="48" t="s">
        <v>344</v>
      </c>
      <c r="U51" s="75">
        <v>3.1</v>
      </c>
      <c r="V51" s="50" t="s">
        <v>84</v>
      </c>
      <c r="W51" s="51" t="s">
        <v>336</v>
      </c>
      <c r="X51" s="48" t="s">
        <v>1516</v>
      </c>
      <c r="Y51" s="51" t="s">
        <v>346</v>
      </c>
      <c r="Z51" s="48" t="s">
        <v>9</v>
      </c>
      <c r="AA51" s="75" t="s">
        <v>9</v>
      </c>
      <c r="AB51" s="48" t="s">
        <v>9</v>
      </c>
      <c r="AC51" s="75" t="s">
        <v>9</v>
      </c>
      <c r="AD51" s="48" t="s">
        <v>9</v>
      </c>
      <c r="AE51" s="75" t="s">
        <v>9</v>
      </c>
      <c r="AF51" s="48" t="s">
        <v>9</v>
      </c>
      <c r="AG51" s="75" t="s">
        <v>9</v>
      </c>
      <c r="AH51" s="48" t="s">
        <v>9</v>
      </c>
      <c r="AI51" s="75" t="s">
        <v>9</v>
      </c>
      <c r="AJ51" s="48" t="s">
        <v>9</v>
      </c>
      <c r="AK51" s="75" t="s">
        <v>9</v>
      </c>
      <c r="AL51" s="48" t="s">
        <v>9</v>
      </c>
      <c r="AM51" s="75" t="s">
        <v>9</v>
      </c>
      <c r="AN51" s="48" t="s">
        <v>9</v>
      </c>
      <c r="AO51" s="51" t="s">
        <v>9</v>
      </c>
      <c r="AP51" s="48" t="s">
        <v>9</v>
      </c>
      <c r="AQ51" s="39" t="s">
        <v>9</v>
      </c>
      <c r="AR51" s="48" t="s">
        <v>9</v>
      </c>
      <c r="AS51" s="39" t="s">
        <v>9</v>
      </c>
      <c r="AT51" s="48" t="s">
        <v>9</v>
      </c>
      <c r="AU51" s="74" t="s">
        <v>9</v>
      </c>
      <c r="AV51" s="48" t="s">
        <v>9</v>
      </c>
      <c r="AW51" s="74" t="s">
        <v>9</v>
      </c>
    </row>
    <row r="52" spans="1:49" ht="6.75" customHeight="1" x14ac:dyDescent="0.4">
      <c r="A52" s="66">
        <v>52</v>
      </c>
      <c r="B52" s="63" t="s">
        <v>370</v>
      </c>
      <c r="C52" s="1" t="s">
        <v>1580</v>
      </c>
      <c r="D52" s="49" t="s">
        <v>9</v>
      </c>
      <c r="E52" s="54" t="s">
        <v>9</v>
      </c>
      <c r="F52" s="49" t="s">
        <v>9</v>
      </c>
      <c r="G52" s="54" t="s">
        <v>9</v>
      </c>
      <c r="H52" s="49" t="s">
        <v>9</v>
      </c>
      <c r="I52" s="54" t="s">
        <v>9</v>
      </c>
      <c r="J52" s="48" t="s">
        <v>75</v>
      </c>
      <c r="K52" s="39" t="s">
        <v>1493</v>
      </c>
      <c r="L52" s="48" t="s">
        <v>75</v>
      </c>
      <c r="M52" s="36" t="s">
        <v>368</v>
      </c>
      <c r="N52" s="48" t="s">
        <v>76</v>
      </c>
      <c r="O52" s="39">
        <v>14</v>
      </c>
      <c r="P52" s="48" t="s">
        <v>77</v>
      </c>
      <c r="Q52" s="34">
        <v>19</v>
      </c>
      <c r="R52" s="48" t="s">
        <v>78</v>
      </c>
      <c r="S52" s="74">
        <v>39</v>
      </c>
      <c r="T52" s="48" t="s">
        <v>344</v>
      </c>
      <c r="U52" s="75">
        <v>6.7</v>
      </c>
      <c r="V52" s="50" t="s">
        <v>84</v>
      </c>
      <c r="W52" s="51" t="s">
        <v>336</v>
      </c>
      <c r="X52" s="48" t="s">
        <v>1516</v>
      </c>
      <c r="Y52" s="51" t="s">
        <v>346</v>
      </c>
      <c r="Z52" s="48" t="s">
        <v>9</v>
      </c>
      <c r="AA52" s="75" t="s">
        <v>9</v>
      </c>
      <c r="AB52" s="48" t="s">
        <v>9</v>
      </c>
      <c r="AC52" s="75" t="s">
        <v>9</v>
      </c>
      <c r="AD52" s="48" t="s">
        <v>9</v>
      </c>
      <c r="AE52" s="75" t="s">
        <v>9</v>
      </c>
      <c r="AF52" s="48" t="s">
        <v>9</v>
      </c>
      <c r="AG52" s="75" t="s">
        <v>9</v>
      </c>
      <c r="AH52" s="48" t="s">
        <v>9</v>
      </c>
      <c r="AI52" s="75" t="s">
        <v>9</v>
      </c>
      <c r="AJ52" s="48" t="s">
        <v>9</v>
      </c>
      <c r="AK52" s="75" t="s">
        <v>9</v>
      </c>
      <c r="AL52" s="48" t="s">
        <v>9</v>
      </c>
      <c r="AM52" s="75" t="s">
        <v>9</v>
      </c>
      <c r="AN52" s="48" t="s">
        <v>9</v>
      </c>
      <c r="AO52" s="51" t="s">
        <v>9</v>
      </c>
      <c r="AP52" s="48" t="s">
        <v>9</v>
      </c>
      <c r="AQ52" s="39" t="s">
        <v>9</v>
      </c>
      <c r="AR52" s="48" t="s">
        <v>9</v>
      </c>
      <c r="AS52" s="39" t="s">
        <v>9</v>
      </c>
      <c r="AT52" s="48" t="s">
        <v>9</v>
      </c>
      <c r="AU52" s="74" t="s">
        <v>9</v>
      </c>
      <c r="AV52" s="48" t="s">
        <v>9</v>
      </c>
      <c r="AW52" s="74" t="s">
        <v>9</v>
      </c>
    </row>
    <row r="53" spans="1:49" ht="6.75" customHeight="1" x14ac:dyDescent="0.4">
      <c r="A53" s="66">
        <v>53</v>
      </c>
      <c r="B53" s="63" t="s">
        <v>371</v>
      </c>
      <c r="C53" s="1" t="s">
        <v>1580</v>
      </c>
      <c r="D53" s="49" t="s">
        <v>9</v>
      </c>
      <c r="E53" s="54" t="s">
        <v>9</v>
      </c>
      <c r="F53" s="49" t="s">
        <v>9</v>
      </c>
      <c r="G53" s="54" t="s">
        <v>9</v>
      </c>
      <c r="H53" s="49" t="s">
        <v>9</v>
      </c>
      <c r="I53" s="54" t="s">
        <v>9</v>
      </c>
      <c r="J53" s="48" t="s">
        <v>75</v>
      </c>
      <c r="K53" s="39" t="s">
        <v>1493</v>
      </c>
      <c r="L53" s="48" t="s">
        <v>75</v>
      </c>
      <c r="M53" s="36" t="s">
        <v>368</v>
      </c>
      <c r="N53" s="48" t="s">
        <v>76</v>
      </c>
      <c r="O53" s="39">
        <v>14</v>
      </c>
      <c r="P53" s="48" t="s">
        <v>77</v>
      </c>
      <c r="Q53" s="34">
        <v>19</v>
      </c>
      <c r="R53" s="48" t="s">
        <v>78</v>
      </c>
      <c r="S53" s="74">
        <v>19</v>
      </c>
      <c r="T53" s="48" t="s">
        <v>344</v>
      </c>
      <c r="U53" s="75">
        <v>4.7</v>
      </c>
      <c r="V53" s="50" t="s">
        <v>84</v>
      </c>
      <c r="W53" s="51" t="s">
        <v>336</v>
      </c>
      <c r="X53" s="48" t="s">
        <v>1516</v>
      </c>
      <c r="Y53" s="51" t="s">
        <v>346</v>
      </c>
      <c r="Z53" s="48" t="s">
        <v>9</v>
      </c>
      <c r="AA53" s="75" t="s">
        <v>9</v>
      </c>
      <c r="AB53" s="48" t="s">
        <v>9</v>
      </c>
      <c r="AC53" s="75" t="s">
        <v>9</v>
      </c>
      <c r="AD53" s="48" t="s">
        <v>9</v>
      </c>
      <c r="AE53" s="75" t="s">
        <v>9</v>
      </c>
      <c r="AF53" s="48" t="s">
        <v>9</v>
      </c>
      <c r="AG53" s="75" t="s">
        <v>9</v>
      </c>
      <c r="AH53" s="48" t="s">
        <v>9</v>
      </c>
      <c r="AI53" s="75" t="s">
        <v>9</v>
      </c>
      <c r="AJ53" s="48" t="s">
        <v>9</v>
      </c>
      <c r="AK53" s="75" t="s">
        <v>9</v>
      </c>
      <c r="AL53" s="48" t="s">
        <v>9</v>
      </c>
      <c r="AM53" s="75" t="s">
        <v>9</v>
      </c>
      <c r="AN53" s="48" t="s">
        <v>9</v>
      </c>
      <c r="AO53" s="51" t="s">
        <v>9</v>
      </c>
      <c r="AP53" s="48" t="s">
        <v>9</v>
      </c>
      <c r="AQ53" s="39" t="s">
        <v>9</v>
      </c>
      <c r="AR53" s="48" t="s">
        <v>9</v>
      </c>
      <c r="AS53" s="39" t="s">
        <v>9</v>
      </c>
      <c r="AT53" s="48" t="s">
        <v>9</v>
      </c>
      <c r="AU53" s="74" t="s">
        <v>9</v>
      </c>
      <c r="AV53" s="48" t="s">
        <v>9</v>
      </c>
      <c r="AW53" s="74" t="s">
        <v>9</v>
      </c>
    </row>
    <row r="54" spans="1:49" ht="6.75" customHeight="1" x14ac:dyDescent="0.4">
      <c r="A54" s="66">
        <v>54</v>
      </c>
      <c r="B54" s="63" t="s">
        <v>372</v>
      </c>
      <c r="C54" s="1" t="s">
        <v>1580</v>
      </c>
      <c r="D54" s="49" t="s">
        <v>9</v>
      </c>
      <c r="E54" s="54" t="s">
        <v>9</v>
      </c>
      <c r="F54" s="49" t="s">
        <v>9</v>
      </c>
      <c r="G54" s="54" t="s">
        <v>9</v>
      </c>
      <c r="H54" s="49" t="s">
        <v>9</v>
      </c>
      <c r="I54" s="54" t="s">
        <v>9</v>
      </c>
      <c r="J54" s="48" t="s">
        <v>75</v>
      </c>
      <c r="K54" s="39" t="s">
        <v>1493</v>
      </c>
      <c r="L54" s="48" t="s">
        <v>75</v>
      </c>
      <c r="M54" s="36" t="s">
        <v>373</v>
      </c>
      <c r="N54" s="48" t="s">
        <v>76</v>
      </c>
      <c r="O54" s="39">
        <v>19</v>
      </c>
      <c r="P54" s="48" t="s">
        <v>77</v>
      </c>
      <c r="Q54" s="34">
        <v>19</v>
      </c>
      <c r="R54" s="48" t="s">
        <v>78</v>
      </c>
      <c r="S54" s="74">
        <v>29</v>
      </c>
      <c r="T54" s="48" t="s">
        <v>344</v>
      </c>
      <c r="U54" s="75">
        <v>7.3</v>
      </c>
      <c r="V54" s="50" t="s">
        <v>84</v>
      </c>
      <c r="W54" s="51" t="s">
        <v>336</v>
      </c>
      <c r="X54" s="48" t="s">
        <v>1516</v>
      </c>
      <c r="Y54" s="51" t="s">
        <v>346</v>
      </c>
      <c r="Z54" s="48" t="s">
        <v>9</v>
      </c>
      <c r="AA54" s="75" t="s">
        <v>9</v>
      </c>
      <c r="AB54" s="48" t="s">
        <v>9</v>
      </c>
      <c r="AC54" s="75" t="s">
        <v>9</v>
      </c>
      <c r="AD54" s="48" t="s">
        <v>9</v>
      </c>
      <c r="AE54" s="75" t="s">
        <v>9</v>
      </c>
      <c r="AF54" s="48" t="s">
        <v>9</v>
      </c>
      <c r="AG54" s="75" t="s">
        <v>9</v>
      </c>
      <c r="AH54" s="48" t="s">
        <v>9</v>
      </c>
      <c r="AI54" s="75" t="s">
        <v>9</v>
      </c>
      <c r="AJ54" s="48" t="s">
        <v>9</v>
      </c>
      <c r="AK54" s="75" t="s">
        <v>9</v>
      </c>
      <c r="AL54" s="48" t="s">
        <v>9</v>
      </c>
      <c r="AM54" s="75" t="s">
        <v>9</v>
      </c>
      <c r="AN54" s="48" t="s">
        <v>9</v>
      </c>
      <c r="AO54" s="51" t="s">
        <v>9</v>
      </c>
      <c r="AP54" s="48" t="s">
        <v>9</v>
      </c>
      <c r="AQ54" s="39" t="s">
        <v>9</v>
      </c>
      <c r="AR54" s="48" t="s">
        <v>9</v>
      </c>
      <c r="AS54" s="39" t="s">
        <v>9</v>
      </c>
      <c r="AT54" s="48" t="s">
        <v>9</v>
      </c>
      <c r="AU54" s="74" t="s">
        <v>9</v>
      </c>
      <c r="AV54" s="48" t="s">
        <v>9</v>
      </c>
      <c r="AW54" s="74" t="s">
        <v>9</v>
      </c>
    </row>
    <row r="55" spans="1:49" ht="6.75" customHeight="1" x14ac:dyDescent="0.4">
      <c r="A55" s="66">
        <v>55</v>
      </c>
      <c r="B55" s="63" t="s">
        <v>374</v>
      </c>
      <c r="C55" s="1" t="s">
        <v>1580</v>
      </c>
      <c r="D55" s="49" t="s">
        <v>9</v>
      </c>
      <c r="E55" s="54" t="s">
        <v>9</v>
      </c>
      <c r="F55" s="49" t="s">
        <v>9</v>
      </c>
      <c r="G55" s="54" t="s">
        <v>9</v>
      </c>
      <c r="H55" s="49" t="s">
        <v>9</v>
      </c>
      <c r="I55" s="54" t="s">
        <v>9</v>
      </c>
      <c r="J55" s="48" t="s">
        <v>75</v>
      </c>
      <c r="K55" s="39" t="s">
        <v>1493</v>
      </c>
      <c r="L55" s="48" t="s">
        <v>75</v>
      </c>
      <c r="M55" s="36" t="s">
        <v>373</v>
      </c>
      <c r="N55" s="48" t="s">
        <v>76</v>
      </c>
      <c r="O55" s="39">
        <v>19</v>
      </c>
      <c r="P55" s="48" t="s">
        <v>77</v>
      </c>
      <c r="Q55" s="34">
        <v>19</v>
      </c>
      <c r="R55" s="48" t="s">
        <v>78</v>
      </c>
      <c r="S55" s="74">
        <v>14</v>
      </c>
      <c r="T55" s="48" t="s">
        <v>344</v>
      </c>
      <c r="U55" s="75">
        <v>4.3</v>
      </c>
      <c r="V55" s="50" t="s">
        <v>84</v>
      </c>
      <c r="W55" s="51" t="s">
        <v>336</v>
      </c>
      <c r="X55" s="48" t="s">
        <v>1516</v>
      </c>
      <c r="Y55" s="51" t="s">
        <v>346</v>
      </c>
      <c r="Z55" s="48" t="s">
        <v>9</v>
      </c>
      <c r="AA55" s="75" t="s">
        <v>9</v>
      </c>
      <c r="AB55" s="48" t="s">
        <v>9</v>
      </c>
      <c r="AC55" s="75" t="s">
        <v>9</v>
      </c>
      <c r="AD55" s="48" t="s">
        <v>9</v>
      </c>
      <c r="AE55" s="75" t="s">
        <v>9</v>
      </c>
      <c r="AF55" s="48" t="s">
        <v>9</v>
      </c>
      <c r="AG55" s="75" t="s">
        <v>9</v>
      </c>
      <c r="AH55" s="48" t="s">
        <v>9</v>
      </c>
      <c r="AI55" s="75" t="s">
        <v>9</v>
      </c>
      <c r="AJ55" s="48" t="s">
        <v>9</v>
      </c>
      <c r="AK55" s="75" t="s">
        <v>9</v>
      </c>
      <c r="AL55" s="48" t="s">
        <v>9</v>
      </c>
      <c r="AM55" s="75" t="s">
        <v>9</v>
      </c>
      <c r="AN55" s="48" t="s">
        <v>9</v>
      </c>
      <c r="AO55" s="51" t="s">
        <v>9</v>
      </c>
      <c r="AP55" s="48" t="s">
        <v>9</v>
      </c>
      <c r="AQ55" s="39" t="s">
        <v>9</v>
      </c>
      <c r="AR55" s="48" t="s">
        <v>9</v>
      </c>
      <c r="AS55" s="39" t="s">
        <v>9</v>
      </c>
      <c r="AT55" s="48" t="s">
        <v>9</v>
      </c>
      <c r="AU55" s="74" t="s">
        <v>9</v>
      </c>
      <c r="AV55" s="48" t="s">
        <v>9</v>
      </c>
      <c r="AW55" s="74" t="s">
        <v>9</v>
      </c>
    </row>
    <row r="56" spans="1:49" ht="6.75" customHeight="1" x14ac:dyDescent="0.4">
      <c r="A56" s="66">
        <v>56</v>
      </c>
      <c r="B56" s="63" t="s">
        <v>375</v>
      </c>
      <c r="C56" s="1" t="s">
        <v>1580</v>
      </c>
      <c r="D56" s="49" t="s">
        <v>9</v>
      </c>
      <c r="E56" s="54" t="s">
        <v>9</v>
      </c>
      <c r="F56" s="49" t="s">
        <v>9</v>
      </c>
      <c r="G56" s="54" t="s">
        <v>9</v>
      </c>
      <c r="H56" s="49" t="s">
        <v>9</v>
      </c>
      <c r="I56" s="54" t="s">
        <v>9</v>
      </c>
      <c r="J56" s="48" t="s">
        <v>75</v>
      </c>
      <c r="K56" s="39" t="s">
        <v>1493</v>
      </c>
      <c r="L56" s="48" t="s">
        <v>75</v>
      </c>
      <c r="M56" s="36" t="s">
        <v>373</v>
      </c>
      <c r="N56" s="48" t="s">
        <v>76</v>
      </c>
      <c r="O56" s="39">
        <v>19</v>
      </c>
      <c r="P56" s="48" t="s">
        <v>77</v>
      </c>
      <c r="Q56" s="34">
        <v>19</v>
      </c>
      <c r="R56" s="48" t="s">
        <v>78</v>
      </c>
      <c r="S56" s="74">
        <v>30</v>
      </c>
      <c r="T56" s="48" t="s">
        <v>344</v>
      </c>
      <c r="U56" s="75">
        <v>8.6999999999999993</v>
      </c>
      <c r="V56" s="50" t="s">
        <v>84</v>
      </c>
      <c r="W56" s="51" t="s">
        <v>336</v>
      </c>
      <c r="X56" s="48" t="s">
        <v>1516</v>
      </c>
      <c r="Y56" s="51" t="s">
        <v>346</v>
      </c>
      <c r="Z56" s="48" t="s">
        <v>9</v>
      </c>
      <c r="AA56" s="75" t="s">
        <v>9</v>
      </c>
      <c r="AB56" s="48" t="s">
        <v>9</v>
      </c>
      <c r="AC56" s="75" t="s">
        <v>9</v>
      </c>
      <c r="AD56" s="48" t="s">
        <v>9</v>
      </c>
      <c r="AE56" s="75" t="s">
        <v>9</v>
      </c>
      <c r="AF56" s="48" t="s">
        <v>9</v>
      </c>
      <c r="AG56" s="75" t="s">
        <v>9</v>
      </c>
      <c r="AH56" s="48" t="s">
        <v>9</v>
      </c>
      <c r="AI56" s="75" t="s">
        <v>9</v>
      </c>
      <c r="AJ56" s="48" t="s">
        <v>9</v>
      </c>
      <c r="AK56" s="75" t="s">
        <v>9</v>
      </c>
      <c r="AL56" s="48" t="s">
        <v>9</v>
      </c>
      <c r="AM56" s="75" t="s">
        <v>9</v>
      </c>
      <c r="AN56" s="48" t="s">
        <v>9</v>
      </c>
      <c r="AO56" s="51" t="s">
        <v>9</v>
      </c>
      <c r="AP56" s="48" t="s">
        <v>9</v>
      </c>
      <c r="AQ56" s="39" t="s">
        <v>9</v>
      </c>
      <c r="AR56" s="48" t="s">
        <v>9</v>
      </c>
      <c r="AS56" s="39" t="s">
        <v>9</v>
      </c>
      <c r="AT56" s="48" t="s">
        <v>9</v>
      </c>
      <c r="AU56" s="74" t="s">
        <v>9</v>
      </c>
      <c r="AV56" s="48" t="s">
        <v>9</v>
      </c>
      <c r="AW56" s="74" t="s">
        <v>9</v>
      </c>
    </row>
    <row r="57" spans="1:49" ht="6.75" customHeight="1" x14ac:dyDescent="0.4">
      <c r="A57" s="66">
        <v>57</v>
      </c>
      <c r="B57" s="63" t="s">
        <v>376</v>
      </c>
      <c r="C57" s="1" t="s">
        <v>1580</v>
      </c>
      <c r="D57" s="49" t="s">
        <v>9</v>
      </c>
      <c r="E57" s="54" t="s">
        <v>9</v>
      </c>
      <c r="F57" s="49" t="s">
        <v>9</v>
      </c>
      <c r="G57" s="54" t="s">
        <v>9</v>
      </c>
      <c r="H57" s="49" t="s">
        <v>9</v>
      </c>
      <c r="I57" s="54" t="s">
        <v>9</v>
      </c>
      <c r="J57" s="48" t="s">
        <v>75</v>
      </c>
      <c r="K57" s="39" t="s">
        <v>1493</v>
      </c>
      <c r="L57" s="48" t="s">
        <v>75</v>
      </c>
      <c r="M57" s="36" t="s">
        <v>373</v>
      </c>
      <c r="N57" s="48" t="s">
        <v>76</v>
      </c>
      <c r="O57" s="39">
        <v>19</v>
      </c>
      <c r="P57" s="48" t="s">
        <v>77</v>
      </c>
      <c r="Q57" s="34">
        <v>19</v>
      </c>
      <c r="R57" s="48" t="s">
        <v>78</v>
      </c>
      <c r="S57" s="74">
        <v>19</v>
      </c>
      <c r="T57" s="48" t="s">
        <v>344</v>
      </c>
      <c r="U57" s="75">
        <v>5.7</v>
      </c>
      <c r="V57" s="50" t="s">
        <v>84</v>
      </c>
      <c r="W57" s="51" t="s">
        <v>336</v>
      </c>
      <c r="X57" s="48" t="s">
        <v>1516</v>
      </c>
      <c r="Y57" s="51" t="s">
        <v>346</v>
      </c>
      <c r="Z57" s="48" t="s">
        <v>9</v>
      </c>
      <c r="AA57" s="75" t="s">
        <v>9</v>
      </c>
      <c r="AB57" s="48" t="s">
        <v>9</v>
      </c>
      <c r="AC57" s="75" t="s">
        <v>9</v>
      </c>
      <c r="AD57" s="48" t="s">
        <v>9</v>
      </c>
      <c r="AE57" s="75" t="s">
        <v>9</v>
      </c>
      <c r="AF57" s="48" t="s">
        <v>9</v>
      </c>
      <c r="AG57" s="75" t="s">
        <v>9</v>
      </c>
      <c r="AH57" s="48" t="s">
        <v>9</v>
      </c>
      <c r="AI57" s="75" t="s">
        <v>9</v>
      </c>
      <c r="AJ57" s="48" t="s">
        <v>9</v>
      </c>
      <c r="AK57" s="75" t="s">
        <v>9</v>
      </c>
      <c r="AL57" s="48" t="s">
        <v>9</v>
      </c>
      <c r="AM57" s="75" t="s">
        <v>9</v>
      </c>
      <c r="AN57" s="48" t="s">
        <v>9</v>
      </c>
      <c r="AO57" s="51" t="s">
        <v>9</v>
      </c>
      <c r="AP57" s="48" t="s">
        <v>9</v>
      </c>
      <c r="AQ57" s="39" t="s">
        <v>9</v>
      </c>
      <c r="AR57" s="48" t="s">
        <v>9</v>
      </c>
      <c r="AS57" s="39" t="s">
        <v>9</v>
      </c>
      <c r="AT57" s="48" t="s">
        <v>9</v>
      </c>
      <c r="AU57" s="74" t="s">
        <v>9</v>
      </c>
      <c r="AV57" s="48" t="s">
        <v>9</v>
      </c>
      <c r="AW57" s="74" t="s">
        <v>9</v>
      </c>
    </row>
    <row r="58" spans="1:49" s="60" customFormat="1" ht="6.75" customHeight="1" x14ac:dyDescent="0.4">
      <c r="A58" s="66">
        <v>58</v>
      </c>
      <c r="B58" s="38" t="s">
        <v>393</v>
      </c>
      <c r="C58" s="1" t="s">
        <v>1580</v>
      </c>
      <c r="D58" s="49" t="s">
        <v>9</v>
      </c>
      <c r="E58" s="54" t="s">
        <v>9</v>
      </c>
      <c r="F58" s="49" t="s">
        <v>9</v>
      </c>
      <c r="G58" s="54" t="s">
        <v>9</v>
      </c>
      <c r="H58" s="49" t="s">
        <v>9</v>
      </c>
      <c r="I58" s="54" t="s">
        <v>9</v>
      </c>
      <c r="J58" s="48" t="s">
        <v>75</v>
      </c>
      <c r="K58" s="39" t="s">
        <v>1493</v>
      </c>
      <c r="L58" s="48" t="s">
        <v>75</v>
      </c>
      <c r="M58" s="36" t="s">
        <v>394</v>
      </c>
      <c r="N58" s="48" t="s">
        <v>76</v>
      </c>
      <c r="O58" s="39">
        <v>7</v>
      </c>
      <c r="P58" s="48" t="s">
        <v>77</v>
      </c>
      <c r="Q58" s="34">
        <v>66.7</v>
      </c>
      <c r="R58" s="48" t="s">
        <v>78</v>
      </c>
      <c r="S58" s="74">
        <v>50</v>
      </c>
      <c r="T58" s="48" t="s">
        <v>344</v>
      </c>
      <c r="U58" s="74">
        <v>18</v>
      </c>
      <c r="V58" s="48" t="s">
        <v>9</v>
      </c>
      <c r="W58" s="39" t="s">
        <v>9</v>
      </c>
      <c r="X58" s="48" t="s">
        <v>1516</v>
      </c>
      <c r="Y58" s="39" t="s">
        <v>395</v>
      </c>
      <c r="Z58" s="48" t="s">
        <v>9</v>
      </c>
      <c r="AA58" s="75" t="s">
        <v>9</v>
      </c>
      <c r="AB58" s="48" t="s">
        <v>9</v>
      </c>
      <c r="AC58" s="75" t="s">
        <v>9</v>
      </c>
      <c r="AD58" s="48" t="s">
        <v>9</v>
      </c>
      <c r="AE58" s="75" t="s">
        <v>9</v>
      </c>
      <c r="AF58" s="48" t="s">
        <v>9</v>
      </c>
      <c r="AG58" s="75" t="s">
        <v>9</v>
      </c>
      <c r="AH58" s="48" t="s">
        <v>9</v>
      </c>
      <c r="AI58" s="74" t="s">
        <v>9</v>
      </c>
      <c r="AJ58" s="48" t="s">
        <v>9</v>
      </c>
      <c r="AK58" s="74" t="s">
        <v>9</v>
      </c>
      <c r="AL58" s="48" t="s">
        <v>9</v>
      </c>
      <c r="AM58" s="74" t="s">
        <v>9</v>
      </c>
      <c r="AN58" s="48" t="s">
        <v>9</v>
      </c>
      <c r="AO58" s="39" t="s">
        <v>9</v>
      </c>
      <c r="AP58" s="48" t="s">
        <v>9</v>
      </c>
      <c r="AQ58" s="39" t="s">
        <v>9</v>
      </c>
      <c r="AR58" s="48" t="s">
        <v>9</v>
      </c>
      <c r="AS58" s="39" t="s">
        <v>9</v>
      </c>
      <c r="AT58" s="48" t="s">
        <v>9</v>
      </c>
      <c r="AU58" s="74" t="s">
        <v>9</v>
      </c>
      <c r="AV58" s="48" t="s">
        <v>9</v>
      </c>
      <c r="AW58" s="74" t="s">
        <v>9</v>
      </c>
    </row>
    <row r="59" spans="1:49" s="60" customFormat="1" ht="6.75" customHeight="1" x14ac:dyDescent="0.4">
      <c r="A59" s="66">
        <v>59</v>
      </c>
      <c r="B59" s="38" t="s">
        <v>396</v>
      </c>
      <c r="C59" s="1" t="s">
        <v>1580</v>
      </c>
      <c r="D59" s="49" t="s">
        <v>9</v>
      </c>
      <c r="E59" s="54" t="s">
        <v>9</v>
      </c>
      <c r="F59" s="49" t="s">
        <v>9</v>
      </c>
      <c r="G59" s="54" t="s">
        <v>9</v>
      </c>
      <c r="H59" s="49" t="s">
        <v>9</v>
      </c>
      <c r="I59" s="54" t="s">
        <v>9</v>
      </c>
      <c r="J59" s="48" t="s">
        <v>75</v>
      </c>
      <c r="K59" s="39" t="s">
        <v>1493</v>
      </c>
      <c r="L59" s="48" t="s">
        <v>75</v>
      </c>
      <c r="M59" s="36" t="s">
        <v>397</v>
      </c>
      <c r="N59" s="48" t="s">
        <v>76</v>
      </c>
      <c r="O59" s="39">
        <v>10</v>
      </c>
      <c r="P59" s="48" t="s">
        <v>77</v>
      </c>
      <c r="Q59" s="34">
        <v>30</v>
      </c>
      <c r="R59" s="48" t="s">
        <v>78</v>
      </c>
      <c r="S59" s="74">
        <v>60</v>
      </c>
      <c r="T59" s="48" t="s">
        <v>9</v>
      </c>
      <c r="U59" s="74" t="s">
        <v>9</v>
      </c>
      <c r="V59" s="48" t="s">
        <v>9</v>
      </c>
      <c r="W59" s="39" t="s">
        <v>9</v>
      </c>
      <c r="X59" s="48" t="s">
        <v>1516</v>
      </c>
      <c r="Y59" s="39" t="s">
        <v>398</v>
      </c>
      <c r="Z59" s="48" t="s">
        <v>9</v>
      </c>
      <c r="AA59" s="75" t="s">
        <v>9</v>
      </c>
      <c r="AB59" s="48" t="s">
        <v>9</v>
      </c>
      <c r="AC59" s="75" t="s">
        <v>9</v>
      </c>
      <c r="AD59" s="48" t="s">
        <v>9</v>
      </c>
      <c r="AE59" s="75" t="s">
        <v>9</v>
      </c>
      <c r="AF59" s="48" t="s">
        <v>9</v>
      </c>
      <c r="AG59" s="75" t="s">
        <v>9</v>
      </c>
      <c r="AH59" s="48" t="s">
        <v>9</v>
      </c>
      <c r="AI59" s="74" t="s">
        <v>9</v>
      </c>
      <c r="AJ59" s="48" t="s">
        <v>9</v>
      </c>
      <c r="AK59" s="74" t="s">
        <v>9</v>
      </c>
      <c r="AL59" s="48" t="s">
        <v>9</v>
      </c>
      <c r="AM59" s="74" t="s">
        <v>9</v>
      </c>
      <c r="AN59" s="48" t="s">
        <v>9</v>
      </c>
      <c r="AO59" s="39" t="s">
        <v>9</v>
      </c>
      <c r="AP59" s="48" t="s">
        <v>9</v>
      </c>
      <c r="AQ59" s="39" t="s">
        <v>9</v>
      </c>
      <c r="AR59" s="48" t="s">
        <v>9</v>
      </c>
      <c r="AS59" s="39" t="s">
        <v>9</v>
      </c>
      <c r="AT59" s="48" t="s">
        <v>9</v>
      </c>
      <c r="AU59" s="74" t="s">
        <v>9</v>
      </c>
      <c r="AV59" s="48" t="s">
        <v>9</v>
      </c>
      <c r="AW59" s="74" t="s">
        <v>9</v>
      </c>
    </row>
    <row r="60" spans="1:49" s="60" customFormat="1" ht="6.75" customHeight="1" x14ac:dyDescent="0.4">
      <c r="A60" s="66">
        <v>60</v>
      </c>
      <c r="B60" s="38" t="s">
        <v>399</v>
      </c>
      <c r="C60" s="1" t="s">
        <v>1580</v>
      </c>
      <c r="D60" s="49" t="s">
        <v>9</v>
      </c>
      <c r="E60" s="54" t="s">
        <v>9</v>
      </c>
      <c r="F60" s="49" t="s">
        <v>9</v>
      </c>
      <c r="G60" s="54" t="s">
        <v>9</v>
      </c>
      <c r="H60" s="49" t="s">
        <v>9</v>
      </c>
      <c r="I60" s="54" t="s">
        <v>9</v>
      </c>
      <c r="J60" s="48" t="s">
        <v>75</v>
      </c>
      <c r="K60" s="39" t="s">
        <v>1493</v>
      </c>
      <c r="L60" s="48" t="s">
        <v>75</v>
      </c>
      <c r="M60" s="36" t="s">
        <v>400</v>
      </c>
      <c r="N60" s="48" t="s">
        <v>76</v>
      </c>
      <c r="O60" s="39">
        <v>5.5</v>
      </c>
      <c r="P60" s="48" t="s">
        <v>77</v>
      </c>
      <c r="Q60" s="34">
        <v>11</v>
      </c>
      <c r="R60" s="48" t="s">
        <v>78</v>
      </c>
      <c r="S60" s="74">
        <v>23</v>
      </c>
      <c r="T60" s="48" t="s">
        <v>344</v>
      </c>
      <c r="U60" s="74">
        <v>2.6</v>
      </c>
      <c r="V60" s="50" t="s">
        <v>84</v>
      </c>
      <c r="W60" s="51" t="s">
        <v>401</v>
      </c>
      <c r="X60" s="48" t="s">
        <v>1516</v>
      </c>
      <c r="Y60" s="39" t="s">
        <v>359</v>
      </c>
      <c r="Z60" s="48" t="s">
        <v>9</v>
      </c>
      <c r="AA60" s="74" t="s">
        <v>9</v>
      </c>
      <c r="AB60" s="48" t="s">
        <v>9</v>
      </c>
      <c r="AC60" s="74" t="s">
        <v>9</v>
      </c>
      <c r="AD60" s="48" t="s">
        <v>9</v>
      </c>
      <c r="AE60" s="74" t="s">
        <v>9</v>
      </c>
      <c r="AF60" s="48" t="s">
        <v>9</v>
      </c>
      <c r="AG60" s="74" t="s">
        <v>9</v>
      </c>
      <c r="AH60" s="48" t="s">
        <v>9</v>
      </c>
      <c r="AI60" s="74" t="s">
        <v>9</v>
      </c>
      <c r="AJ60" s="48" t="s">
        <v>9</v>
      </c>
      <c r="AK60" s="74" t="s">
        <v>9</v>
      </c>
      <c r="AL60" s="48" t="s">
        <v>9</v>
      </c>
      <c r="AM60" s="74" t="s">
        <v>9</v>
      </c>
      <c r="AN60" s="48" t="s">
        <v>9</v>
      </c>
      <c r="AO60" s="39" t="s">
        <v>9</v>
      </c>
      <c r="AP60" s="48" t="s">
        <v>9</v>
      </c>
      <c r="AQ60" s="39" t="s">
        <v>9</v>
      </c>
      <c r="AR60" s="48" t="s">
        <v>9</v>
      </c>
      <c r="AS60" s="39" t="s">
        <v>9</v>
      </c>
      <c r="AT60" s="48" t="s">
        <v>9</v>
      </c>
      <c r="AU60" s="74" t="s">
        <v>9</v>
      </c>
      <c r="AV60" s="48" t="s">
        <v>9</v>
      </c>
      <c r="AW60" s="74" t="s">
        <v>9</v>
      </c>
    </row>
    <row r="61" spans="1:49" s="60" customFormat="1" ht="6.75" customHeight="1" x14ac:dyDescent="0.4">
      <c r="A61" s="66">
        <v>61</v>
      </c>
      <c r="B61" s="38" t="s">
        <v>402</v>
      </c>
      <c r="C61" s="1" t="s">
        <v>1580</v>
      </c>
      <c r="D61" s="49" t="s">
        <v>9</v>
      </c>
      <c r="E61" s="54" t="s">
        <v>9</v>
      </c>
      <c r="F61" s="49" t="s">
        <v>9</v>
      </c>
      <c r="G61" s="54" t="s">
        <v>9</v>
      </c>
      <c r="H61" s="49" t="s">
        <v>9</v>
      </c>
      <c r="I61" s="54" t="s">
        <v>9</v>
      </c>
      <c r="J61" s="48" t="s">
        <v>75</v>
      </c>
      <c r="K61" s="39" t="s">
        <v>1493</v>
      </c>
      <c r="L61" s="48" t="s">
        <v>75</v>
      </c>
      <c r="M61" s="36" t="s">
        <v>403</v>
      </c>
      <c r="N61" s="48" t="s">
        <v>76</v>
      </c>
      <c r="O61" s="39">
        <v>6</v>
      </c>
      <c r="P61" s="48" t="s">
        <v>77</v>
      </c>
      <c r="Q61" s="34">
        <v>10</v>
      </c>
      <c r="R61" s="48" t="s">
        <v>78</v>
      </c>
      <c r="S61" s="74">
        <v>22</v>
      </c>
      <c r="T61" s="48" t="s">
        <v>344</v>
      </c>
      <c r="U61" s="74">
        <v>2.6</v>
      </c>
      <c r="V61" s="48" t="s">
        <v>9</v>
      </c>
      <c r="W61" s="39" t="s">
        <v>9</v>
      </c>
      <c r="X61" s="48" t="s">
        <v>1516</v>
      </c>
      <c r="Y61" s="39" t="s">
        <v>404</v>
      </c>
      <c r="Z61" s="48" t="s">
        <v>9</v>
      </c>
      <c r="AA61" s="74" t="s">
        <v>9</v>
      </c>
      <c r="AB61" s="48" t="s">
        <v>9</v>
      </c>
      <c r="AC61" s="74" t="s">
        <v>9</v>
      </c>
      <c r="AD61" s="48" t="s">
        <v>9</v>
      </c>
      <c r="AE61" s="74" t="s">
        <v>9</v>
      </c>
      <c r="AF61" s="48" t="s">
        <v>9</v>
      </c>
      <c r="AG61" s="74" t="s">
        <v>9</v>
      </c>
      <c r="AH61" s="48" t="s">
        <v>9</v>
      </c>
      <c r="AI61" s="74" t="s">
        <v>9</v>
      </c>
      <c r="AJ61" s="48" t="s">
        <v>9</v>
      </c>
      <c r="AK61" s="74" t="s">
        <v>9</v>
      </c>
      <c r="AL61" s="48" t="s">
        <v>9</v>
      </c>
      <c r="AM61" s="74" t="s">
        <v>9</v>
      </c>
      <c r="AN61" s="48" t="s">
        <v>9</v>
      </c>
      <c r="AO61" s="39" t="s">
        <v>9</v>
      </c>
      <c r="AP61" s="48" t="s">
        <v>9</v>
      </c>
      <c r="AQ61" s="39" t="s">
        <v>9</v>
      </c>
      <c r="AR61" s="48" t="s">
        <v>9</v>
      </c>
      <c r="AS61" s="39" t="s">
        <v>9</v>
      </c>
      <c r="AT61" s="48" t="s">
        <v>9</v>
      </c>
      <c r="AU61" s="74" t="s">
        <v>9</v>
      </c>
      <c r="AV61" s="48" t="s">
        <v>9</v>
      </c>
      <c r="AW61" s="74" t="s">
        <v>9</v>
      </c>
    </row>
    <row r="62" spans="1:49" s="60" customFormat="1" ht="6.75" customHeight="1" x14ac:dyDescent="0.4">
      <c r="A62" s="66">
        <v>62</v>
      </c>
      <c r="B62" s="38" t="s">
        <v>405</v>
      </c>
      <c r="C62" s="1" t="s">
        <v>1580</v>
      </c>
      <c r="D62" s="49" t="s">
        <v>9</v>
      </c>
      <c r="E62" s="54" t="s">
        <v>9</v>
      </c>
      <c r="F62" s="49" t="s">
        <v>9</v>
      </c>
      <c r="G62" s="54" t="s">
        <v>9</v>
      </c>
      <c r="H62" s="49" t="s">
        <v>9</v>
      </c>
      <c r="I62" s="54" t="s">
        <v>9</v>
      </c>
      <c r="J62" s="48" t="s">
        <v>75</v>
      </c>
      <c r="K62" s="39" t="s">
        <v>1493</v>
      </c>
      <c r="L62" s="48" t="s">
        <v>75</v>
      </c>
      <c r="M62" s="36" t="s">
        <v>406</v>
      </c>
      <c r="N62" s="48" t="s">
        <v>76</v>
      </c>
      <c r="O62" s="39">
        <v>11</v>
      </c>
      <c r="P62" s="48" t="s">
        <v>77</v>
      </c>
      <c r="Q62" s="34">
        <v>10</v>
      </c>
      <c r="R62" s="48" t="s">
        <v>78</v>
      </c>
      <c r="S62" s="74">
        <v>22</v>
      </c>
      <c r="T62" s="48" t="s">
        <v>9</v>
      </c>
      <c r="U62" s="74" t="s">
        <v>9</v>
      </c>
      <c r="V62" s="48" t="s">
        <v>9</v>
      </c>
      <c r="W62" s="39" t="s">
        <v>9</v>
      </c>
      <c r="X62" s="48" t="s">
        <v>1516</v>
      </c>
      <c r="Y62" s="39" t="s">
        <v>407</v>
      </c>
      <c r="Z62" s="48" t="s">
        <v>9</v>
      </c>
      <c r="AA62" s="74" t="s">
        <v>9</v>
      </c>
      <c r="AB62" s="48" t="s">
        <v>9</v>
      </c>
      <c r="AC62" s="74" t="s">
        <v>9</v>
      </c>
      <c r="AD62" s="48" t="s">
        <v>9</v>
      </c>
      <c r="AE62" s="74" t="s">
        <v>9</v>
      </c>
      <c r="AF62" s="48" t="s">
        <v>9</v>
      </c>
      <c r="AG62" s="74" t="s">
        <v>9</v>
      </c>
      <c r="AH62" s="48" t="s">
        <v>9</v>
      </c>
      <c r="AI62" s="74" t="s">
        <v>9</v>
      </c>
      <c r="AJ62" s="48" t="s">
        <v>9</v>
      </c>
      <c r="AK62" s="74" t="s">
        <v>9</v>
      </c>
      <c r="AL62" s="48" t="s">
        <v>9</v>
      </c>
      <c r="AM62" s="74" t="s">
        <v>9</v>
      </c>
      <c r="AN62" s="48" t="s">
        <v>9</v>
      </c>
      <c r="AO62" s="39" t="s">
        <v>9</v>
      </c>
      <c r="AP62" s="48" t="s">
        <v>9</v>
      </c>
      <c r="AQ62" s="39" t="s">
        <v>9</v>
      </c>
      <c r="AR62" s="48" t="s">
        <v>9</v>
      </c>
      <c r="AS62" s="39" t="s">
        <v>9</v>
      </c>
      <c r="AT62" s="48" t="s">
        <v>9</v>
      </c>
      <c r="AU62" s="74" t="s">
        <v>9</v>
      </c>
      <c r="AV62" s="48" t="s">
        <v>9</v>
      </c>
      <c r="AW62" s="74" t="s">
        <v>9</v>
      </c>
    </row>
    <row r="63" spans="1:49" s="60" customFormat="1" ht="6.75" customHeight="1" x14ac:dyDescent="0.4">
      <c r="A63" s="66">
        <v>63</v>
      </c>
      <c r="B63" s="38" t="s">
        <v>408</v>
      </c>
      <c r="C63" s="1" t="s">
        <v>1580</v>
      </c>
      <c r="D63" s="49" t="s">
        <v>9</v>
      </c>
      <c r="E63" s="54" t="s">
        <v>9</v>
      </c>
      <c r="F63" s="49" t="s">
        <v>9</v>
      </c>
      <c r="G63" s="54" t="s">
        <v>9</v>
      </c>
      <c r="H63" s="49" t="s">
        <v>9</v>
      </c>
      <c r="I63" s="54" t="s">
        <v>9</v>
      </c>
      <c r="J63" s="48" t="s">
        <v>75</v>
      </c>
      <c r="K63" s="39" t="s">
        <v>1493</v>
      </c>
      <c r="L63" s="48" t="s">
        <v>75</v>
      </c>
      <c r="M63" s="36" t="s">
        <v>409</v>
      </c>
      <c r="N63" s="48" t="s">
        <v>76</v>
      </c>
      <c r="O63" s="39">
        <v>11</v>
      </c>
      <c r="P63" s="48" t="s">
        <v>77</v>
      </c>
      <c r="Q63" s="34">
        <v>10</v>
      </c>
      <c r="R63" s="48" t="s">
        <v>78</v>
      </c>
      <c r="S63" s="74">
        <v>11</v>
      </c>
      <c r="T63" s="48" t="s">
        <v>9</v>
      </c>
      <c r="U63" s="74" t="s">
        <v>9</v>
      </c>
      <c r="V63" s="48" t="s">
        <v>9</v>
      </c>
      <c r="W63" s="39" t="s">
        <v>9</v>
      </c>
      <c r="X63" s="48" t="s">
        <v>1516</v>
      </c>
      <c r="Y63" s="39" t="s">
        <v>407</v>
      </c>
      <c r="Z63" s="48" t="s">
        <v>9</v>
      </c>
      <c r="AA63" s="74" t="s">
        <v>9</v>
      </c>
      <c r="AB63" s="48" t="s">
        <v>9</v>
      </c>
      <c r="AC63" s="74" t="s">
        <v>9</v>
      </c>
      <c r="AD63" s="48" t="s">
        <v>9</v>
      </c>
      <c r="AE63" s="74" t="s">
        <v>9</v>
      </c>
      <c r="AF63" s="48" t="s">
        <v>9</v>
      </c>
      <c r="AG63" s="74" t="s">
        <v>9</v>
      </c>
      <c r="AH63" s="48" t="s">
        <v>9</v>
      </c>
      <c r="AI63" s="74" t="s">
        <v>9</v>
      </c>
      <c r="AJ63" s="48" t="s">
        <v>9</v>
      </c>
      <c r="AK63" s="74" t="s">
        <v>9</v>
      </c>
      <c r="AL63" s="48" t="s">
        <v>9</v>
      </c>
      <c r="AM63" s="74" t="s">
        <v>9</v>
      </c>
      <c r="AN63" s="48" t="s">
        <v>9</v>
      </c>
      <c r="AO63" s="39" t="s">
        <v>9</v>
      </c>
      <c r="AP63" s="48" t="s">
        <v>9</v>
      </c>
      <c r="AQ63" s="39" t="s">
        <v>9</v>
      </c>
      <c r="AR63" s="48" t="s">
        <v>9</v>
      </c>
      <c r="AS63" s="39" t="s">
        <v>9</v>
      </c>
      <c r="AT63" s="48" t="s">
        <v>9</v>
      </c>
      <c r="AU63" s="74" t="s">
        <v>9</v>
      </c>
      <c r="AV63" s="48" t="s">
        <v>9</v>
      </c>
      <c r="AW63" s="74" t="s">
        <v>9</v>
      </c>
    </row>
    <row r="64" spans="1:49" s="60" customFormat="1" ht="6.75" customHeight="1" x14ac:dyDescent="0.4">
      <c r="A64" s="66">
        <v>64</v>
      </c>
      <c r="B64" s="38" t="s">
        <v>410</v>
      </c>
      <c r="C64" s="1" t="s">
        <v>1580</v>
      </c>
      <c r="D64" s="49" t="s">
        <v>9</v>
      </c>
      <c r="E64" s="54" t="s">
        <v>9</v>
      </c>
      <c r="F64" s="49" t="s">
        <v>9</v>
      </c>
      <c r="G64" s="54" t="s">
        <v>9</v>
      </c>
      <c r="H64" s="49" t="s">
        <v>9</v>
      </c>
      <c r="I64" s="54" t="s">
        <v>9</v>
      </c>
      <c r="J64" s="48" t="s">
        <v>75</v>
      </c>
      <c r="K64" s="39" t="s">
        <v>1493</v>
      </c>
      <c r="L64" s="48" t="s">
        <v>75</v>
      </c>
      <c r="M64" s="36" t="s">
        <v>411</v>
      </c>
      <c r="N64" s="48" t="s">
        <v>76</v>
      </c>
      <c r="O64" s="39">
        <v>11</v>
      </c>
      <c r="P64" s="48" t="s">
        <v>77</v>
      </c>
      <c r="Q64" s="34">
        <v>10</v>
      </c>
      <c r="R64" s="48" t="s">
        <v>78</v>
      </c>
      <c r="S64" s="74">
        <v>22</v>
      </c>
      <c r="T64" s="48" t="s">
        <v>9</v>
      </c>
      <c r="U64" s="74" t="s">
        <v>9</v>
      </c>
      <c r="V64" s="48" t="s">
        <v>9</v>
      </c>
      <c r="W64" s="39" t="s">
        <v>9</v>
      </c>
      <c r="X64" s="48" t="s">
        <v>1516</v>
      </c>
      <c r="Y64" s="39" t="s">
        <v>407</v>
      </c>
      <c r="Z64" s="48" t="s">
        <v>9</v>
      </c>
      <c r="AA64" s="74" t="s">
        <v>9</v>
      </c>
      <c r="AB64" s="48" t="s">
        <v>9</v>
      </c>
      <c r="AC64" s="74" t="s">
        <v>9</v>
      </c>
      <c r="AD64" s="48" t="s">
        <v>9</v>
      </c>
      <c r="AE64" s="74" t="s">
        <v>9</v>
      </c>
      <c r="AF64" s="48" t="s">
        <v>9</v>
      </c>
      <c r="AG64" s="74" t="s">
        <v>9</v>
      </c>
      <c r="AH64" s="48" t="s">
        <v>9</v>
      </c>
      <c r="AI64" s="74" t="s">
        <v>9</v>
      </c>
      <c r="AJ64" s="48" t="s">
        <v>9</v>
      </c>
      <c r="AK64" s="74" t="s">
        <v>9</v>
      </c>
      <c r="AL64" s="48" t="s">
        <v>9</v>
      </c>
      <c r="AM64" s="74" t="s">
        <v>9</v>
      </c>
      <c r="AN64" s="48" t="s">
        <v>9</v>
      </c>
      <c r="AO64" s="39" t="s">
        <v>9</v>
      </c>
      <c r="AP64" s="48" t="s">
        <v>9</v>
      </c>
      <c r="AQ64" s="39" t="s">
        <v>9</v>
      </c>
      <c r="AR64" s="48" t="s">
        <v>9</v>
      </c>
      <c r="AS64" s="39" t="s">
        <v>9</v>
      </c>
      <c r="AT64" s="48" t="s">
        <v>9</v>
      </c>
      <c r="AU64" s="74" t="s">
        <v>9</v>
      </c>
      <c r="AV64" s="48" t="s">
        <v>9</v>
      </c>
      <c r="AW64" s="74" t="s">
        <v>9</v>
      </c>
    </row>
    <row r="65" spans="1:49" s="60" customFormat="1" ht="6.75" customHeight="1" x14ac:dyDescent="0.4">
      <c r="A65" s="66">
        <v>65</v>
      </c>
      <c r="B65" s="38" t="s">
        <v>412</v>
      </c>
      <c r="C65" s="1" t="s">
        <v>1580</v>
      </c>
      <c r="D65" s="49" t="s">
        <v>9</v>
      </c>
      <c r="E65" s="54" t="s">
        <v>9</v>
      </c>
      <c r="F65" s="49" t="s">
        <v>9</v>
      </c>
      <c r="G65" s="54" t="s">
        <v>9</v>
      </c>
      <c r="H65" s="49" t="s">
        <v>9</v>
      </c>
      <c r="I65" s="54" t="s">
        <v>9</v>
      </c>
      <c r="J65" s="48" t="s">
        <v>75</v>
      </c>
      <c r="K65" s="39" t="s">
        <v>1493</v>
      </c>
      <c r="L65" s="48" t="s">
        <v>75</v>
      </c>
      <c r="M65" s="36" t="s">
        <v>411</v>
      </c>
      <c r="N65" s="48" t="s">
        <v>76</v>
      </c>
      <c r="O65" s="39">
        <v>11</v>
      </c>
      <c r="P65" s="48" t="s">
        <v>77</v>
      </c>
      <c r="Q65" s="34">
        <v>10</v>
      </c>
      <c r="R65" s="48" t="s">
        <v>78</v>
      </c>
      <c r="S65" s="74">
        <v>22</v>
      </c>
      <c r="T65" s="48" t="s">
        <v>9</v>
      </c>
      <c r="U65" s="74" t="s">
        <v>9</v>
      </c>
      <c r="V65" s="48" t="s">
        <v>9</v>
      </c>
      <c r="W65" s="39" t="s">
        <v>9</v>
      </c>
      <c r="X65" s="48" t="s">
        <v>1516</v>
      </c>
      <c r="Y65" s="39" t="s">
        <v>407</v>
      </c>
      <c r="Z65" s="48" t="s">
        <v>9</v>
      </c>
      <c r="AA65" s="74" t="s">
        <v>9</v>
      </c>
      <c r="AB65" s="48" t="s">
        <v>9</v>
      </c>
      <c r="AC65" s="74" t="s">
        <v>9</v>
      </c>
      <c r="AD65" s="48" t="s">
        <v>9</v>
      </c>
      <c r="AE65" s="74" t="s">
        <v>9</v>
      </c>
      <c r="AF65" s="48" t="s">
        <v>9</v>
      </c>
      <c r="AG65" s="74" t="s">
        <v>9</v>
      </c>
      <c r="AH65" s="48" t="s">
        <v>9</v>
      </c>
      <c r="AI65" s="74" t="s">
        <v>9</v>
      </c>
      <c r="AJ65" s="48" t="s">
        <v>9</v>
      </c>
      <c r="AK65" s="74" t="s">
        <v>9</v>
      </c>
      <c r="AL65" s="48" t="s">
        <v>9</v>
      </c>
      <c r="AM65" s="74" t="s">
        <v>9</v>
      </c>
      <c r="AN65" s="48" t="s">
        <v>9</v>
      </c>
      <c r="AO65" s="39" t="s">
        <v>9</v>
      </c>
      <c r="AP65" s="48" t="s">
        <v>9</v>
      </c>
      <c r="AQ65" s="39" t="s">
        <v>9</v>
      </c>
      <c r="AR65" s="48" t="s">
        <v>9</v>
      </c>
      <c r="AS65" s="39" t="s">
        <v>9</v>
      </c>
      <c r="AT65" s="48" t="s">
        <v>9</v>
      </c>
      <c r="AU65" s="74" t="s">
        <v>9</v>
      </c>
      <c r="AV65" s="48" t="s">
        <v>9</v>
      </c>
      <c r="AW65" s="74" t="s">
        <v>9</v>
      </c>
    </row>
    <row r="66" spans="1:49" s="60" customFormat="1" ht="6.75" customHeight="1" x14ac:dyDescent="0.4">
      <c r="A66" s="66">
        <v>66</v>
      </c>
      <c r="B66" s="38" t="s">
        <v>413</v>
      </c>
      <c r="C66" s="1" t="s">
        <v>1580</v>
      </c>
      <c r="D66" s="49" t="s">
        <v>9</v>
      </c>
      <c r="E66" s="54" t="s">
        <v>9</v>
      </c>
      <c r="F66" s="49" t="s">
        <v>9</v>
      </c>
      <c r="G66" s="54" t="s">
        <v>9</v>
      </c>
      <c r="H66" s="49" t="s">
        <v>9</v>
      </c>
      <c r="I66" s="54" t="s">
        <v>9</v>
      </c>
      <c r="J66" s="48" t="s">
        <v>75</v>
      </c>
      <c r="K66" s="39" t="s">
        <v>1493</v>
      </c>
      <c r="L66" s="48" t="s">
        <v>75</v>
      </c>
      <c r="M66" s="36" t="s">
        <v>414</v>
      </c>
      <c r="N66" s="48" t="s">
        <v>76</v>
      </c>
      <c r="O66" s="39">
        <v>11</v>
      </c>
      <c r="P66" s="48" t="s">
        <v>77</v>
      </c>
      <c r="Q66" s="34">
        <v>10</v>
      </c>
      <c r="R66" s="48" t="s">
        <v>78</v>
      </c>
      <c r="S66" s="74">
        <v>22</v>
      </c>
      <c r="T66" s="48" t="s">
        <v>9</v>
      </c>
      <c r="U66" s="74" t="s">
        <v>9</v>
      </c>
      <c r="V66" s="48" t="s">
        <v>9</v>
      </c>
      <c r="W66" s="39" t="s">
        <v>9</v>
      </c>
      <c r="X66" s="48" t="s">
        <v>1516</v>
      </c>
      <c r="Y66" s="39" t="s">
        <v>407</v>
      </c>
      <c r="Z66" s="48" t="s">
        <v>9</v>
      </c>
      <c r="AA66" s="74" t="s">
        <v>9</v>
      </c>
      <c r="AB66" s="48" t="s">
        <v>9</v>
      </c>
      <c r="AC66" s="74" t="s">
        <v>9</v>
      </c>
      <c r="AD66" s="48" t="s">
        <v>9</v>
      </c>
      <c r="AE66" s="74" t="s">
        <v>9</v>
      </c>
      <c r="AF66" s="48" t="s">
        <v>9</v>
      </c>
      <c r="AG66" s="74" t="s">
        <v>9</v>
      </c>
      <c r="AH66" s="48" t="s">
        <v>9</v>
      </c>
      <c r="AI66" s="74" t="s">
        <v>9</v>
      </c>
      <c r="AJ66" s="48" t="s">
        <v>9</v>
      </c>
      <c r="AK66" s="74" t="s">
        <v>9</v>
      </c>
      <c r="AL66" s="48" t="s">
        <v>9</v>
      </c>
      <c r="AM66" s="74" t="s">
        <v>9</v>
      </c>
      <c r="AN66" s="48" t="s">
        <v>9</v>
      </c>
      <c r="AO66" s="39" t="s">
        <v>9</v>
      </c>
      <c r="AP66" s="48" t="s">
        <v>9</v>
      </c>
      <c r="AQ66" s="39" t="s">
        <v>9</v>
      </c>
      <c r="AR66" s="48" t="s">
        <v>9</v>
      </c>
      <c r="AS66" s="39" t="s">
        <v>9</v>
      </c>
      <c r="AT66" s="48" t="s">
        <v>9</v>
      </c>
      <c r="AU66" s="74" t="s">
        <v>9</v>
      </c>
      <c r="AV66" s="48" t="s">
        <v>9</v>
      </c>
      <c r="AW66" s="74" t="s">
        <v>9</v>
      </c>
    </row>
    <row r="67" spans="1:49" ht="6.75" customHeight="1" x14ac:dyDescent="0.4">
      <c r="A67" s="66">
        <v>67</v>
      </c>
      <c r="B67" s="63" t="s">
        <v>377</v>
      </c>
      <c r="C67" s="1" t="s">
        <v>218</v>
      </c>
      <c r="D67" s="49" t="s">
        <v>9</v>
      </c>
      <c r="E67" s="54" t="s">
        <v>9</v>
      </c>
      <c r="F67" s="49" t="s">
        <v>9</v>
      </c>
      <c r="G67" s="54" t="s">
        <v>9</v>
      </c>
      <c r="H67" s="49" t="s">
        <v>9</v>
      </c>
      <c r="I67" s="54" t="s">
        <v>9</v>
      </c>
      <c r="J67" s="48" t="s">
        <v>75</v>
      </c>
      <c r="K67" s="39" t="s">
        <v>1493</v>
      </c>
      <c r="L67" s="48" t="s">
        <v>75</v>
      </c>
      <c r="M67" s="36" t="s">
        <v>378</v>
      </c>
      <c r="N67" s="48" t="s">
        <v>76</v>
      </c>
      <c r="O67" s="39">
        <v>9</v>
      </c>
      <c r="P67" s="48" t="s">
        <v>77</v>
      </c>
      <c r="Q67" s="34">
        <v>19</v>
      </c>
      <c r="R67" s="48" t="s">
        <v>78</v>
      </c>
      <c r="S67" s="74">
        <v>29</v>
      </c>
      <c r="T67" s="48" t="s">
        <v>344</v>
      </c>
      <c r="U67" s="75">
        <v>3.5</v>
      </c>
      <c r="V67" s="50" t="s">
        <v>84</v>
      </c>
      <c r="W67" s="51" t="s">
        <v>336</v>
      </c>
      <c r="X67" s="48" t="s">
        <v>1516</v>
      </c>
      <c r="Y67" s="51" t="s">
        <v>346</v>
      </c>
      <c r="Z67" s="48" t="s">
        <v>9</v>
      </c>
      <c r="AA67" s="75" t="s">
        <v>9</v>
      </c>
      <c r="AB67" s="48" t="s">
        <v>9</v>
      </c>
      <c r="AC67" s="75" t="s">
        <v>9</v>
      </c>
      <c r="AD67" s="48" t="s">
        <v>9</v>
      </c>
      <c r="AE67" s="75" t="s">
        <v>9</v>
      </c>
      <c r="AF67" s="48" t="s">
        <v>9</v>
      </c>
      <c r="AG67" s="75" t="s">
        <v>9</v>
      </c>
      <c r="AH67" s="48" t="s">
        <v>9</v>
      </c>
      <c r="AI67" s="75" t="s">
        <v>9</v>
      </c>
      <c r="AJ67" s="48" t="s">
        <v>9</v>
      </c>
      <c r="AK67" s="75" t="s">
        <v>9</v>
      </c>
      <c r="AL67" s="48" t="s">
        <v>9</v>
      </c>
      <c r="AM67" s="75" t="s">
        <v>9</v>
      </c>
      <c r="AN67" s="48" t="s">
        <v>9</v>
      </c>
      <c r="AO67" s="51" t="s">
        <v>9</v>
      </c>
      <c r="AP67" s="48" t="s">
        <v>9</v>
      </c>
      <c r="AQ67" s="39" t="s">
        <v>9</v>
      </c>
      <c r="AR67" s="48" t="s">
        <v>9</v>
      </c>
      <c r="AS67" s="39" t="s">
        <v>9</v>
      </c>
      <c r="AT67" s="48" t="s">
        <v>9</v>
      </c>
      <c r="AU67" s="74" t="s">
        <v>9</v>
      </c>
      <c r="AV67" s="48" t="s">
        <v>9</v>
      </c>
      <c r="AW67" s="74" t="s">
        <v>9</v>
      </c>
    </row>
    <row r="68" spans="1:49" ht="6.75" customHeight="1" x14ac:dyDescent="0.4">
      <c r="A68" s="66">
        <v>68</v>
      </c>
      <c r="B68" s="63" t="s">
        <v>379</v>
      </c>
      <c r="C68" s="1" t="s">
        <v>218</v>
      </c>
      <c r="D68" s="49" t="s">
        <v>9</v>
      </c>
      <c r="E68" s="54" t="s">
        <v>9</v>
      </c>
      <c r="F68" s="49" t="s">
        <v>9</v>
      </c>
      <c r="G68" s="54" t="s">
        <v>9</v>
      </c>
      <c r="H68" s="49" t="s">
        <v>9</v>
      </c>
      <c r="I68" s="54" t="s">
        <v>9</v>
      </c>
      <c r="J68" s="48" t="s">
        <v>75</v>
      </c>
      <c r="K68" s="39" t="s">
        <v>1493</v>
      </c>
      <c r="L68" s="48" t="s">
        <v>75</v>
      </c>
      <c r="M68" s="36" t="s">
        <v>380</v>
      </c>
      <c r="N68" s="48" t="s">
        <v>76</v>
      </c>
      <c r="O68" s="39">
        <v>11.5</v>
      </c>
      <c r="P68" s="48" t="s">
        <v>77</v>
      </c>
      <c r="Q68" s="34">
        <v>19</v>
      </c>
      <c r="R68" s="48" t="s">
        <v>78</v>
      </c>
      <c r="S68" s="74">
        <v>29</v>
      </c>
      <c r="T68" s="48" t="s">
        <v>344</v>
      </c>
      <c r="U68" s="75">
        <v>3.8</v>
      </c>
      <c r="V68" s="50" t="s">
        <v>84</v>
      </c>
      <c r="W68" s="51" t="s">
        <v>336</v>
      </c>
      <c r="X68" s="48" t="s">
        <v>1516</v>
      </c>
      <c r="Y68" s="51" t="s">
        <v>346</v>
      </c>
      <c r="Z68" s="48" t="s">
        <v>9</v>
      </c>
      <c r="AA68" s="75" t="s">
        <v>9</v>
      </c>
      <c r="AB68" s="48" t="s">
        <v>9</v>
      </c>
      <c r="AC68" s="75" t="s">
        <v>9</v>
      </c>
      <c r="AD68" s="48" t="s">
        <v>9</v>
      </c>
      <c r="AE68" s="75" t="s">
        <v>9</v>
      </c>
      <c r="AF68" s="48" t="s">
        <v>9</v>
      </c>
      <c r="AG68" s="75" t="s">
        <v>9</v>
      </c>
      <c r="AH68" s="48" t="s">
        <v>9</v>
      </c>
      <c r="AI68" s="75" t="s">
        <v>9</v>
      </c>
      <c r="AJ68" s="48" t="s">
        <v>9</v>
      </c>
      <c r="AK68" s="75" t="s">
        <v>9</v>
      </c>
      <c r="AL68" s="48" t="s">
        <v>9</v>
      </c>
      <c r="AM68" s="75" t="s">
        <v>9</v>
      </c>
      <c r="AN68" s="48" t="s">
        <v>9</v>
      </c>
      <c r="AO68" s="51" t="s">
        <v>9</v>
      </c>
      <c r="AP68" s="48" t="s">
        <v>9</v>
      </c>
      <c r="AQ68" s="39" t="s">
        <v>9</v>
      </c>
      <c r="AR68" s="48" t="s">
        <v>9</v>
      </c>
      <c r="AS68" s="39" t="s">
        <v>9</v>
      </c>
      <c r="AT68" s="48" t="s">
        <v>9</v>
      </c>
      <c r="AU68" s="74" t="s">
        <v>9</v>
      </c>
      <c r="AV68" s="48" t="s">
        <v>9</v>
      </c>
      <c r="AW68" s="74" t="s">
        <v>9</v>
      </c>
    </row>
    <row r="69" spans="1:49" ht="6.75" customHeight="1" x14ac:dyDescent="0.4">
      <c r="A69" s="66">
        <v>69</v>
      </c>
      <c r="B69" s="63" t="s">
        <v>381</v>
      </c>
      <c r="C69" s="1" t="s">
        <v>218</v>
      </c>
      <c r="D69" s="49" t="s">
        <v>9</v>
      </c>
      <c r="E69" s="54" t="s">
        <v>9</v>
      </c>
      <c r="F69" s="49" t="s">
        <v>9</v>
      </c>
      <c r="G69" s="54" t="s">
        <v>9</v>
      </c>
      <c r="H69" s="49" t="s">
        <v>9</v>
      </c>
      <c r="I69" s="54" t="s">
        <v>9</v>
      </c>
      <c r="J69" s="48" t="s">
        <v>75</v>
      </c>
      <c r="K69" s="39" t="s">
        <v>1493</v>
      </c>
      <c r="L69" s="48" t="s">
        <v>75</v>
      </c>
      <c r="M69" s="36" t="s">
        <v>382</v>
      </c>
      <c r="N69" s="48" t="s">
        <v>76</v>
      </c>
      <c r="O69" s="39">
        <v>14</v>
      </c>
      <c r="P69" s="48" t="s">
        <v>77</v>
      </c>
      <c r="Q69" s="34">
        <v>19</v>
      </c>
      <c r="R69" s="48" t="s">
        <v>78</v>
      </c>
      <c r="S69" s="74">
        <v>29</v>
      </c>
      <c r="T69" s="48" t="s">
        <v>344</v>
      </c>
      <c r="U69" s="75">
        <v>4.5</v>
      </c>
      <c r="V69" s="50" t="s">
        <v>84</v>
      </c>
      <c r="W69" s="51" t="s">
        <v>336</v>
      </c>
      <c r="X69" s="48" t="s">
        <v>1516</v>
      </c>
      <c r="Y69" s="51" t="s">
        <v>346</v>
      </c>
      <c r="Z69" s="48" t="s">
        <v>9</v>
      </c>
      <c r="AA69" s="75" t="s">
        <v>9</v>
      </c>
      <c r="AB69" s="48" t="s">
        <v>9</v>
      </c>
      <c r="AC69" s="75" t="s">
        <v>9</v>
      </c>
      <c r="AD69" s="48" t="s">
        <v>9</v>
      </c>
      <c r="AE69" s="75" t="s">
        <v>9</v>
      </c>
      <c r="AF69" s="48" t="s">
        <v>9</v>
      </c>
      <c r="AG69" s="75" t="s">
        <v>9</v>
      </c>
      <c r="AH69" s="48" t="s">
        <v>9</v>
      </c>
      <c r="AI69" s="75" t="s">
        <v>9</v>
      </c>
      <c r="AJ69" s="48" t="s">
        <v>9</v>
      </c>
      <c r="AK69" s="75" t="s">
        <v>9</v>
      </c>
      <c r="AL69" s="48" t="s">
        <v>9</v>
      </c>
      <c r="AM69" s="75" t="s">
        <v>9</v>
      </c>
      <c r="AN69" s="48" t="s">
        <v>9</v>
      </c>
      <c r="AO69" s="51" t="s">
        <v>9</v>
      </c>
      <c r="AP69" s="48" t="s">
        <v>9</v>
      </c>
      <c r="AQ69" s="39" t="s">
        <v>9</v>
      </c>
      <c r="AR69" s="48" t="s">
        <v>9</v>
      </c>
      <c r="AS69" s="39" t="s">
        <v>9</v>
      </c>
      <c r="AT69" s="48" t="s">
        <v>9</v>
      </c>
      <c r="AU69" s="74" t="s">
        <v>9</v>
      </c>
      <c r="AV69" s="48" t="s">
        <v>9</v>
      </c>
      <c r="AW69" s="74" t="s">
        <v>9</v>
      </c>
    </row>
    <row r="70" spans="1:49" ht="6.75" customHeight="1" x14ac:dyDescent="0.4">
      <c r="A70" s="66">
        <v>70</v>
      </c>
      <c r="B70" s="63" t="s">
        <v>383</v>
      </c>
      <c r="C70" s="1" t="s">
        <v>218</v>
      </c>
      <c r="D70" s="49" t="s">
        <v>9</v>
      </c>
      <c r="E70" s="54" t="s">
        <v>9</v>
      </c>
      <c r="F70" s="49" t="s">
        <v>9</v>
      </c>
      <c r="G70" s="54" t="s">
        <v>9</v>
      </c>
      <c r="H70" s="49" t="s">
        <v>9</v>
      </c>
      <c r="I70" s="54" t="s">
        <v>9</v>
      </c>
      <c r="J70" s="48" t="s">
        <v>75</v>
      </c>
      <c r="K70" s="39" t="s">
        <v>1493</v>
      </c>
      <c r="L70" s="48" t="s">
        <v>75</v>
      </c>
      <c r="M70" s="36" t="s">
        <v>384</v>
      </c>
      <c r="N70" s="48" t="s">
        <v>76</v>
      </c>
      <c r="O70" s="39">
        <v>19</v>
      </c>
      <c r="P70" s="48" t="s">
        <v>77</v>
      </c>
      <c r="Q70" s="34">
        <v>19</v>
      </c>
      <c r="R70" s="48" t="s">
        <v>78</v>
      </c>
      <c r="S70" s="74">
        <v>29</v>
      </c>
      <c r="T70" s="48" t="s">
        <v>344</v>
      </c>
      <c r="U70" s="75">
        <v>5</v>
      </c>
      <c r="V70" s="50" t="s">
        <v>84</v>
      </c>
      <c r="W70" s="51" t="s">
        <v>336</v>
      </c>
      <c r="X70" s="48" t="s">
        <v>1516</v>
      </c>
      <c r="Y70" s="51" t="s">
        <v>346</v>
      </c>
      <c r="Z70" s="48" t="s">
        <v>9</v>
      </c>
      <c r="AA70" s="75" t="s">
        <v>9</v>
      </c>
      <c r="AB70" s="48" t="s">
        <v>9</v>
      </c>
      <c r="AC70" s="75" t="s">
        <v>9</v>
      </c>
      <c r="AD70" s="48" t="s">
        <v>9</v>
      </c>
      <c r="AE70" s="75" t="s">
        <v>9</v>
      </c>
      <c r="AF70" s="48" t="s">
        <v>9</v>
      </c>
      <c r="AG70" s="75" t="s">
        <v>9</v>
      </c>
      <c r="AH70" s="48" t="s">
        <v>9</v>
      </c>
      <c r="AI70" s="75" t="s">
        <v>9</v>
      </c>
      <c r="AJ70" s="48" t="s">
        <v>9</v>
      </c>
      <c r="AK70" s="75" t="s">
        <v>9</v>
      </c>
      <c r="AL70" s="48" t="s">
        <v>9</v>
      </c>
      <c r="AM70" s="75" t="s">
        <v>9</v>
      </c>
      <c r="AN70" s="48" t="s">
        <v>9</v>
      </c>
      <c r="AO70" s="51" t="s">
        <v>9</v>
      </c>
      <c r="AP70" s="48" t="s">
        <v>9</v>
      </c>
      <c r="AQ70" s="39" t="s">
        <v>9</v>
      </c>
      <c r="AR70" s="48" t="s">
        <v>9</v>
      </c>
      <c r="AS70" s="39" t="s">
        <v>9</v>
      </c>
      <c r="AT70" s="48" t="s">
        <v>9</v>
      </c>
      <c r="AU70" s="74" t="s">
        <v>9</v>
      </c>
      <c r="AV70" s="48" t="s">
        <v>9</v>
      </c>
      <c r="AW70" s="74" t="s">
        <v>9</v>
      </c>
    </row>
    <row r="71" spans="1:49" ht="6.75" customHeight="1" x14ac:dyDescent="0.4">
      <c r="A71" s="66">
        <v>71</v>
      </c>
      <c r="B71" s="63" t="s">
        <v>385</v>
      </c>
      <c r="C71" s="1" t="s">
        <v>215</v>
      </c>
      <c r="D71" s="49" t="s">
        <v>9</v>
      </c>
      <c r="E71" s="54" t="s">
        <v>9</v>
      </c>
      <c r="F71" s="49" t="s">
        <v>9</v>
      </c>
      <c r="G71" s="54" t="s">
        <v>9</v>
      </c>
      <c r="H71" s="49" t="s">
        <v>9</v>
      </c>
      <c r="I71" s="54" t="s">
        <v>9</v>
      </c>
      <c r="J71" s="48" t="s">
        <v>75</v>
      </c>
      <c r="K71" s="39" t="s">
        <v>1493</v>
      </c>
      <c r="L71" s="48" t="s">
        <v>75</v>
      </c>
      <c r="M71" s="36" t="s">
        <v>386</v>
      </c>
      <c r="N71" s="48" t="s">
        <v>76</v>
      </c>
      <c r="O71" s="39">
        <v>9</v>
      </c>
      <c r="P71" s="48" t="s">
        <v>77</v>
      </c>
      <c r="Q71" s="34">
        <v>19</v>
      </c>
      <c r="R71" s="48" t="s">
        <v>78</v>
      </c>
      <c r="S71" s="74">
        <v>29</v>
      </c>
      <c r="T71" s="48" t="s">
        <v>344</v>
      </c>
      <c r="U71" s="75">
        <v>3.5</v>
      </c>
      <c r="V71" s="50" t="s">
        <v>84</v>
      </c>
      <c r="W71" s="51" t="s">
        <v>336</v>
      </c>
      <c r="X71" s="48" t="s">
        <v>1516</v>
      </c>
      <c r="Y71" s="51" t="s">
        <v>346</v>
      </c>
      <c r="Z71" s="48" t="s">
        <v>9</v>
      </c>
      <c r="AA71" s="75" t="s">
        <v>9</v>
      </c>
      <c r="AB71" s="48" t="s">
        <v>9</v>
      </c>
      <c r="AC71" s="75" t="s">
        <v>9</v>
      </c>
      <c r="AD71" s="48" t="s">
        <v>9</v>
      </c>
      <c r="AE71" s="75" t="s">
        <v>9</v>
      </c>
      <c r="AF71" s="48" t="s">
        <v>9</v>
      </c>
      <c r="AG71" s="75" t="s">
        <v>9</v>
      </c>
      <c r="AH71" s="48" t="s">
        <v>9</v>
      </c>
      <c r="AI71" s="75" t="s">
        <v>9</v>
      </c>
      <c r="AJ71" s="48" t="s">
        <v>9</v>
      </c>
      <c r="AK71" s="75" t="s">
        <v>9</v>
      </c>
      <c r="AL71" s="48" t="s">
        <v>9</v>
      </c>
      <c r="AM71" s="75" t="s">
        <v>9</v>
      </c>
      <c r="AN71" s="48" t="s">
        <v>9</v>
      </c>
      <c r="AO71" s="51" t="s">
        <v>9</v>
      </c>
      <c r="AP71" s="48" t="s">
        <v>9</v>
      </c>
      <c r="AQ71" s="39" t="s">
        <v>9</v>
      </c>
      <c r="AR71" s="48" t="s">
        <v>9</v>
      </c>
      <c r="AS71" s="39" t="s">
        <v>9</v>
      </c>
      <c r="AT71" s="48" t="s">
        <v>9</v>
      </c>
      <c r="AU71" s="74" t="s">
        <v>9</v>
      </c>
      <c r="AV71" s="48" t="s">
        <v>9</v>
      </c>
      <c r="AW71" s="74" t="s">
        <v>9</v>
      </c>
    </row>
    <row r="72" spans="1:49" ht="6.75" customHeight="1" x14ac:dyDescent="0.4">
      <c r="A72" s="66">
        <v>72</v>
      </c>
      <c r="B72" s="63" t="s">
        <v>387</v>
      </c>
      <c r="C72" s="1" t="s">
        <v>215</v>
      </c>
      <c r="D72" s="49" t="s">
        <v>9</v>
      </c>
      <c r="E72" s="54" t="s">
        <v>9</v>
      </c>
      <c r="F72" s="49" t="s">
        <v>9</v>
      </c>
      <c r="G72" s="54" t="s">
        <v>9</v>
      </c>
      <c r="H72" s="49" t="s">
        <v>9</v>
      </c>
      <c r="I72" s="54" t="s">
        <v>9</v>
      </c>
      <c r="J72" s="48" t="s">
        <v>75</v>
      </c>
      <c r="K72" s="39" t="s">
        <v>1493</v>
      </c>
      <c r="L72" s="48" t="s">
        <v>75</v>
      </c>
      <c r="M72" s="36" t="s">
        <v>388</v>
      </c>
      <c r="N72" s="48" t="s">
        <v>76</v>
      </c>
      <c r="O72" s="39">
        <v>11.5</v>
      </c>
      <c r="P72" s="48" t="s">
        <v>77</v>
      </c>
      <c r="Q72" s="34">
        <v>19</v>
      </c>
      <c r="R72" s="48" t="s">
        <v>78</v>
      </c>
      <c r="S72" s="74">
        <v>29</v>
      </c>
      <c r="T72" s="48" t="s">
        <v>344</v>
      </c>
      <c r="U72" s="75">
        <v>3.8</v>
      </c>
      <c r="V72" s="50" t="s">
        <v>84</v>
      </c>
      <c r="W72" s="51" t="s">
        <v>336</v>
      </c>
      <c r="X72" s="48" t="s">
        <v>1516</v>
      </c>
      <c r="Y72" s="51" t="s">
        <v>346</v>
      </c>
      <c r="Z72" s="48" t="s">
        <v>9</v>
      </c>
      <c r="AA72" s="75" t="s">
        <v>9</v>
      </c>
      <c r="AB72" s="48" t="s">
        <v>9</v>
      </c>
      <c r="AC72" s="75" t="s">
        <v>9</v>
      </c>
      <c r="AD72" s="48" t="s">
        <v>9</v>
      </c>
      <c r="AE72" s="75" t="s">
        <v>9</v>
      </c>
      <c r="AF72" s="48" t="s">
        <v>9</v>
      </c>
      <c r="AG72" s="75" t="s">
        <v>9</v>
      </c>
      <c r="AH72" s="48" t="s">
        <v>9</v>
      </c>
      <c r="AI72" s="75" t="s">
        <v>9</v>
      </c>
      <c r="AJ72" s="48" t="s">
        <v>9</v>
      </c>
      <c r="AK72" s="75" t="s">
        <v>9</v>
      </c>
      <c r="AL72" s="48" t="s">
        <v>9</v>
      </c>
      <c r="AM72" s="75" t="s">
        <v>9</v>
      </c>
      <c r="AN72" s="48" t="s">
        <v>9</v>
      </c>
      <c r="AO72" s="51" t="s">
        <v>9</v>
      </c>
      <c r="AP72" s="48" t="s">
        <v>9</v>
      </c>
      <c r="AQ72" s="39" t="s">
        <v>9</v>
      </c>
      <c r="AR72" s="48" t="s">
        <v>9</v>
      </c>
      <c r="AS72" s="39" t="s">
        <v>9</v>
      </c>
      <c r="AT72" s="48" t="s">
        <v>9</v>
      </c>
      <c r="AU72" s="74" t="s">
        <v>9</v>
      </c>
      <c r="AV72" s="48" t="s">
        <v>9</v>
      </c>
      <c r="AW72" s="74" t="s">
        <v>9</v>
      </c>
    </row>
    <row r="73" spans="1:49" ht="6.75" customHeight="1" x14ac:dyDescent="0.4">
      <c r="A73" s="66">
        <v>73</v>
      </c>
      <c r="B73" s="63" t="s">
        <v>389</v>
      </c>
      <c r="C73" s="1" t="s">
        <v>215</v>
      </c>
      <c r="D73" s="49" t="s">
        <v>9</v>
      </c>
      <c r="E73" s="54" t="s">
        <v>9</v>
      </c>
      <c r="F73" s="49" t="s">
        <v>9</v>
      </c>
      <c r="G73" s="54" t="s">
        <v>9</v>
      </c>
      <c r="H73" s="49" t="s">
        <v>9</v>
      </c>
      <c r="I73" s="54" t="s">
        <v>9</v>
      </c>
      <c r="J73" s="48" t="s">
        <v>75</v>
      </c>
      <c r="K73" s="39" t="s">
        <v>1493</v>
      </c>
      <c r="L73" s="48" t="s">
        <v>75</v>
      </c>
      <c r="M73" s="36" t="s">
        <v>390</v>
      </c>
      <c r="N73" s="48" t="s">
        <v>76</v>
      </c>
      <c r="O73" s="39">
        <v>14</v>
      </c>
      <c r="P73" s="48" t="s">
        <v>77</v>
      </c>
      <c r="Q73" s="34">
        <v>19</v>
      </c>
      <c r="R73" s="48" t="s">
        <v>78</v>
      </c>
      <c r="S73" s="74">
        <v>29</v>
      </c>
      <c r="T73" s="48" t="s">
        <v>344</v>
      </c>
      <c r="U73" s="75">
        <v>4.5</v>
      </c>
      <c r="V73" s="50" t="s">
        <v>84</v>
      </c>
      <c r="W73" s="51" t="s">
        <v>336</v>
      </c>
      <c r="X73" s="48" t="s">
        <v>1516</v>
      </c>
      <c r="Y73" s="51" t="s">
        <v>346</v>
      </c>
      <c r="Z73" s="48" t="s">
        <v>9</v>
      </c>
      <c r="AA73" s="75" t="s">
        <v>9</v>
      </c>
      <c r="AB73" s="48" t="s">
        <v>9</v>
      </c>
      <c r="AC73" s="75" t="s">
        <v>9</v>
      </c>
      <c r="AD73" s="48" t="s">
        <v>9</v>
      </c>
      <c r="AE73" s="75" t="s">
        <v>9</v>
      </c>
      <c r="AF73" s="48" t="s">
        <v>9</v>
      </c>
      <c r="AG73" s="75" t="s">
        <v>9</v>
      </c>
      <c r="AH73" s="48" t="s">
        <v>9</v>
      </c>
      <c r="AI73" s="75" t="s">
        <v>9</v>
      </c>
      <c r="AJ73" s="48" t="s">
        <v>9</v>
      </c>
      <c r="AK73" s="75" t="s">
        <v>9</v>
      </c>
      <c r="AL73" s="48" t="s">
        <v>9</v>
      </c>
      <c r="AM73" s="75" t="s">
        <v>9</v>
      </c>
      <c r="AN73" s="48" t="s">
        <v>9</v>
      </c>
      <c r="AO73" s="51" t="s">
        <v>9</v>
      </c>
      <c r="AP73" s="48" t="s">
        <v>9</v>
      </c>
      <c r="AQ73" s="39" t="s">
        <v>9</v>
      </c>
      <c r="AR73" s="48" t="s">
        <v>9</v>
      </c>
      <c r="AS73" s="39" t="s">
        <v>9</v>
      </c>
      <c r="AT73" s="48" t="s">
        <v>9</v>
      </c>
      <c r="AU73" s="74" t="s">
        <v>9</v>
      </c>
      <c r="AV73" s="48" t="s">
        <v>9</v>
      </c>
      <c r="AW73" s="74" t="s">
        <v>9</v>
      </c>
    </row>
    <row r="74" spans="1:49" ht="6.75" customHeight="1" x14ac:dyDescent="0.4">
      <c r="A74" s="66">
        <v>74</v>
      </c>
      <c r="B74" s="63" t="s">
        <v>391</v>
      </c>
      <c r="C74" s="1" t="s">
        <v>215</v>
      </c>
      <c r="D74" s="49" t="s">
        <v>9</v>
      </c>
      <c r="E74" s="54" t="s">
        <v>9</v>
      </c>
      <c r="F74" s="49" t="s">
        <v>9</v>
      </c>
      <c r="G74" s="54" t="s">
        <v>9</v>
      </c>
      <c r="H74" s="49" t="s">
        <v>9</v>
      </c>
      <c r="I74" s="54" t="s">
        <v>9</v>
      </c>
      <c r="J74" s="48" t="s">
        <v>75</v>
      </c>
      <c r="K74" s="39" t="s">
        <v>1493</v>
      </c>
      <c r="L74" s="48" t="s">
        <v>75</v>
      </c>
      <c r="M74" s="36" t="s">
        <v>392</v>
      </c>
      <c r="N74" s="48" t="s">
        <v>76</v>
      </c>
      <c r="O74" s="39">
        <v>19</v>
      </c>
      <c r="P74" s="48" t="s">
        <v>77</v>
      </c>
      <c r="Q74" s="34">
        <v>19</v>
      </c>
      <c r="R74" s="48" t="s">
        <v>78</v>
      </c>
      <c r="S74" s="74">
        <v>29</v>
      </c>
      <c r="T74" s="48" t="s">
        <v>344</v>
      </c>
      <c r="U74" s="75">
        <v>5</v>
      </c>
      <c r="V74" s="50" t="s">
        <v>84</v>
      </c>
      <c r="W74" s="51" t="s">
        <v>336</v>
      </c>
      <c r="X74" s="48" t="s">
        <v>1516</v>
      </c>
      <c r="Y74" s="51" t="s">
        <v>346</v>
      </c>
      <c r="Z74" s="48" t="s">
        <v>9</v>
      </c>
      <c r="AA74" s="75" t="s">
        <v>9</v>
      </c>
      <c r="AB74" s="48" t="s">
        <v>9</v>
      </c>
      <c r="AC74" s="75" t="s">
        <v>9</v>
      </c>
      <c r="AD74" s="48" t="s">
        <v>9</v>
      </c>
      <c r="AE74" s="75" t="s">
        <v>9</v>
      </c>
      <c r="AF74" s="48" t="s">
        <v>9</v>
      </c>
      <c r="AG74" s="75" t="s">
        <v>9</v>
      </c>
      <c r="AH74" s="48" t="s">
        <v>9</v>
      </c>
      <c r="AI74" s="75" t="s">
        <v>9</v>
      </c>
      <c r="AJ74" s="48" t="s">
        <v>9</v>
      </c>
      <c r="AK74" s="75" t="s">
        <v>9</v>
      </c>
      <c r="AL74" s="48" t="s">
        <v>9</v>
      </c>
      <c r="AM74" s="75" t="s">
        <v>9</v>
      </c>
      <c r="AN74" s="48" t="s">
        <v>9</v>
      </c>
      <c r="AO74" s="51" t="s">
        <v>9</v>
      </c>
      <c r="AP74" s="48" t="s">
        <v>9</v>
      </c>
      <c r="AQ74" s="39" t="s">
        <v>9</v>
      </c>
      <c r="AR74" s="48" t="s">
        <v>9</v>
      </c>
      <c r="AS74" s="39" t="s">
        <v>9</v>
      </c>
      <c r="AT74" s="48" t="s">
        <v>9</v>
      </c>
      <c r="AU74" s="74" t="s">
        <v>9</v>
      </c>
      <c r="AV74" s="48" t="s">
        <v>9</v>
      </c>
      <c r="AW74" s="74" t="s">
        <v>9</v>
      </c>
    </row>
    <row r="75" spans="1:49" ht="6.75" customHeight="1" x14ac:dyDescent="0.4">
      <c r="A75" s="66">
        <v>75</v>
      </c>
      <c r="B75" s="62" t="s">
        <v>149</v>
      </c>
      <c r="C75" s="23" t="s">
        <v>144</v>
      </c>
      <c r="D75" s="49" t="s">
        <v>9</v>
      </c>
      <c r="E75" s="54" t="s">
        <v>9</v>
      </c>
      <c r="F75" s="49" t="s">
        <v>9</v>
      </c>
      <c r="G75" s="54" t="s">
        <v>9</v>
      </c>
      <c r="H75" s="49" t="s">
        <v>9</v>
      </c>
      <c r="I75" s="54" t="s">
        <v>9</v>
      </c>
      <c r="J75" s="48" t="s">
        <v>75</v>
      </c>
      <c r="K75" s="39" t="s">
        <v>1493</v>
      </c>
      <c r="L75" s="48" t="s">
        <v>75</v>
      </c>
      <c r="M75" s="36" t="s">
        <v>150</v>
      </c>
      <c r="N75" s="48" t="s">
        <v>76</v>
      </c>
      <c r="O75" s="39">
        <v>3.5</v>
      </c>
      <c r="P75" s="48" t="s">
        <v>151</v>
      </c>
      <c r="Q75" s="58">
        <v>62.5</v>
      </c>
      <c r="R75" s="48" t="s">
        <v>78</v>
      </c>
      <c r="S75" s="76">
        <v>125</v>
      </c>
      <c r="T75" s="48" t="s">
        <v>9</v>
      </c>
      <c r="U75" s="74" t="s">
        <v>9</v>
      </c>
      <c r="V75" s="50" t="s">
        <v>84</v>
      </c>
      <c r="W75" s="51" t="s">
        <v>152</v>
      </c>
      <c r="X75" s="48" t="s">
        <v>1516</v>
      </c>
      <c r="Y75" s="39" t="s">
        <v>153</v>
      </c>
      <c r="Z75" s="48" t="s">
        <v>154</v>
      </c>
      <c r="AA75" s="74">
        <v>0.15</v>
      </c>
      <c r="AB75" s="48" t="s">
        <v>155</v>
      </c>
      <c r="AC75" s="74">
        <v>0.48</v>
      </c>
      <c r="AD75" s="48" t="s">
        <v>156</v>
      </c>
      <c r="AE75" s="74">
        <v>0.76</v>
      </c>
      <c r="AF75" s="48" t="s">
        <v>157</v>
      </c>
      <c r="AG75" s="74">
        <v>0.86</v>
      </c>
      <c r="AH75" s="48" t="s">
        <v>158</v>
      </c>
      <c r="AI75" s="74">
        <v>1.08</v>
      </c>
      <c r="AJ75" s="48" t="s">
        <v>159</v>
      </c>
      <c r="AK75" s="74">
        <v>1.03</v>
      </c>
      <c r="AL75" s="48" t="s">
        <v>160</v>
      </c>
      <c r="AM75" s="74">
        <v>0.8</v>
      </c>
      <c r="AN75" s="48" t="s">
        <v>9</v>
      </c>
      <c r="AO75" s="39" t="s">
        <v>9</v>
      </c>
      <c r="AP75" s="48" t="s">
        <v>9</v>
      </c>
      <c r="AQ75" s="39" t="s">
        <v>9</v>
      </c>
      <c r="AR75" s="48" t="s">
        <v>9</v>
      </c>
      <c r="AS75" s="39" t="s">
        <v>9</v>
      </c>
      <c r="AT75" s="48" t="s">
        <v>9</v>
      </c>
      <c r="AU75" s="74" t="s">
        <v>9</v>
      </c>
      <c r="AV75" s="48" t="s">
        <v>9</v>
      </c>
      <c r="AW75" s="74" t="s">
        <v>9</v>
      </c>
    </row>
    <row r="76" spans="1:49" ht="6.75" customHeight="1" x14ac:dyDescent="0.4">
      <c r="A76" s="66">
        <v>76</v>
      </c>
      <c r="B76" s="62" t="s">
        <v>161</v>
      </c>
      <c r="C76" s="23" t="s">
        <v>144</v>
      </c>
      <c r="D76" s="49" t="s">
        <v>9</v>
      </c>
      <c r="E76" s="54" t="s">
        <v>9</v>
      </c>
      <c r="F76" s="49" t="s">
        <v>9</v>
      </c>
      <c r="G76" s="54" t="s">
        <v>9</v>
      </c>
      <c r="H76" s="49" t="s">
        <v>9</v>
      </c>
      <c r="I76" s="54" t="s">
        <v>9</v>
      </c>
      <c r="J76" s="48" t="s">
        <v>75</v>
      </c>
      <c r="K76" s="39" t="s">
        <v>1493</v>
      </c>
      <c r="L76" s="48" t="s">
        <v>75</v>
      </c>
      <c r="M76" s="36" t="s">
        <v>150</v>
      </c>
      <c r="N76" s="48" t="s">
        <v>76</v>
      </c>
      <c r="O76" s="39">
        <v>3.5</v>
      </c>
      <c r="P76" s="48" t="s">
        <v>151</v>
      </c>
      <c r="Q76" s="58">
        <v>31.2</v>
      </c>
      <c r="R76" s="48" t="s">
        <v>78</v>
      </c>
      <c r="S76" s="76">
        <v>125</v>
      </c>
      <c r="T76" s="48" t="s">
        <v>9</v>
      </c>
      <c r="U76" s="74" t="s">
        <v>9</v>
      </c>
      <c r="V76" s="50" t="s">
        <v>84</v>
      </c>
      <c r="W76" s="51" t="s">
        <v>152</v>
      </c>
      <c r="X76" s="48" t="s">
        <v>1516</v>
      </c>
      <c r="Y76" s="39" t="s">
        <v>153</v>
      </c>
      <c r="Z76" s="48" t="s">
        <v>154</v>
      </c>
      <c r="AA76" s="74">
        <v>0.15</v>
      </c>
      <c r="AB76" s="48" t="s">
        <v>155</v>
      </c>
      <c r="AC76" s="74">
        <v>0.48</v>
      </c>
      <c r="AD76" s="48" t="s">
        <v>156</v>
      </c>
      <c r="AE76" s="74">
        <v>0.76</v>
      </c>
      <c r="AF76" s="48" t="s">
        <v>157</v>
      </c>
      <c r="AG76" s="74">
        <v>0.86</v>
      </c>
      <c r="AH76" s="48" t="s">
        <v>158</v>
      </c>
      <c r="AI76" s="74">
        <v>1.08</v>
      </c>
      <c r="AJ76" s="48" t="s">
        <v>159</v>
      </c>
      <c r="AK76" s="74">
        <v>1.03</v>
      </c>
      <c r="AL76" s="48" t="s">
        <v>160</v>
      </c>
      <c r="AM76" s="74">
        <v>0.8</v>
      </c>
      <c r="AN76" s="48" t="s">
        <v>9</v>
      </c>
      <c r="AO76" s="39" t="s">
        <v>9</v>
      </c>
      <c r="AP76" s="48" t="s">
        <v>9</v>
      </c>
      <c r="AQ76" s="39" t="s">
        <v>9</v>
      </c>
      <c r="AR76" s="48" t="s">
        <v>9</v>
      </c>
      <c r="AS76" s="39" t="s">
        <v>9</v>
      </c>
      <c r="AT76" s="48" t="s">
        <v>9</v>
      </c>
      <c r="AU76" s="74" t="s">
        <v>9</v>
      </c>
      <c r="AV76" s="48" t="s">
        <v>9</v>
      </c>
      <c r="AW76" s="74" t="s">
        <v>9</v>
      </c>
    </row>
    <row r="77" spans="1:49" ht="6.75" customHeight="1" x14ac:dyDescent="0.4">
      <c r="A77" s="66">
        <v>77</v>
      </c>
      <c r="B77" s="62" t="s">
        <v>162</v>
      </c>
      <c r="C77" s="23" t="s">
        <v>144</v>
      </c>
      <c r="D77" s="49" t="s">
        <v>9</v>
      </c>
      <c r="E77" s="54" t="s">
        <v>9</v>
      </c>
      <c r="F77" s="49" t="s">
        <v>9</v>
      </c>
      <c r="G77" s="54" t="s">
        <v>9</v>
      </c>
      <c r="H77" s="49" t="s">
        <v>9</v>
      </c>
      <c r="I77" s="54" t="s">
        <v>9</v>
      </c>
      <c r="J77" s="48" t="s">
        <v>75</v>
      </c>
      <c r="K77" s="39" t="s">
        <v>1493</v>
      </c>
      <c r="L77" s="48" t="s">
        <v>75</v>
      </c>
      <c r="M77" s="36" t="s">
        <v>150</v>
      </c>
      <c r="N77" s="48" t="s">
        <v>76</v>
      </c>
      <c r="O77" s="39">
        <v>3.5</v>
      </c>
      <c r="P77" s="48" t="s">
        <v>151</v>
      </c>
      <c r="Q77" s="58">
        <v>15.6</v>
      </c>
      <c r="R77" s="48" t="s">
        <v>78</v>
      </c>
      <c r="S77" s="76">
        <v>125</v>
      </c>
      <c r="T77" s="48" t="s">
        <v>9</v>
      </c>
      <c r="U77" s="74" t="s">
        <v>9</v>
      </c>
      <c r="V77" s="50" t="s">
        <v>84</v>
      </c>
      <c r="W77" s="51" t="s">
        <v>152</v>
      </c>
      <c r="X77" s="48" t="s">
        <v>1516</v>
      </c>
      <c r="Y77" s="39" t="s">
        <v>153</v>
      </c>
      <c r="Z77" s="48" t="s">
        <v>154</v>
      </c>
      <c r="AA77" s="74">
        <v>0.15</v>
      </c>
      <c r="AB77" s="48" t="s">
        <v>155</v>
      </c>
      <c r="AC77" s="74">
        <v>0.48</v>
      </c>
      <c r="AD77" s="48" t="s">
        <v>156</v>
      </c>
      <c r="AE77" s="74">
        <v>0.76</v>
      </c>
      <c r="AF77" s="48" t="s">
        <v>157</v>
      </c>
      <c r="AG77" s="74">
        <v>0.86</v>
      </c>
      <c r="AH77" s="48" t="s">
        <v>158</v>
      </c>
      <c r="AI77" s="74">
        <v>1.08</v>
      </c>
      <c r="AJ77" s="48" t="s">
        <v>159</v>
      </c>
      <c r="AK77" s="74">
        <v>1.03</v>
      </c>
      <c r="AL77" s="48" t="s">
        <v>160</v>
      </c>
      <c r="AM77" s="74">
        <v>0.8</v>
      </c>
      <c r="AN77" s="48" t="s">
        <v>9</v>
      </c>
      <c r="AO77" s="39" t="s">
        <v>9</v>
      </c>
      <c r="AP77" s="48" t="s">
        <v>9</v>
      </c>
      <c r="AQ77" s="39" t="s">
        <v>9</v>
      </c>
      <c r="AR77" s="48" t="s">
        <v>9</v>
      </c>
      <c r="AS77" s="39" t="s">
        <v>9</v>
      </c>
      <c r="AT77" s="48" t="s">
        <v>9</v>
      </c>
      <c r="AU77" s="74" t="s">
        <v>9</v>
      </c>
      <c r="AV77" s="48" t="s">
        <v>9</v>
      </c>
      <c r="AW77" s="74" t="s">
        <v>9</v>
      </c>
    </row>
    <row r="78" spans="1:49" ht="6.75" customHeight="1" x14ac:dyDescent="0.4">
      <c r="A78" s="66">
        <v>78</v>
      </c>
      <c r="B78" s="62" t="s">
        <v>163</v>
      </c>
      <c r="C78" s="23" t="s">
        <v>144</v>
      </c>
      <c r="D78" s="49" t="s">
        <v>9</v>
      </c>
      <c r="E78" s="54" t="s">
        <v>9</v>
      </c>
      <c r="F78" s="49" t="s">
        <v>9</v>
      </c>
      <c r="G78" s="54" t="s">
        <v>9</v>
      </c>
      <c r="H78" s="49" t="s">
        <v>9</v>
      </c>
      <c r="I78" s="54" t="s">
        <v>9</v>
      </c>
      <c r="J78" s="48" t="s">
        <v>75</v>
      </c>
      <c r="K78" s="39" t="s">
        <v>1493</v>
      </c>
      <c r="L78" s="48" t="s">
        <v>75</v>
      </c>
      <c r="M78" s="36" t="s">
        <v>164</v>
      </c>
      <c r="N78" s="48" t="s">
        <v>76</v>
      </c>
      <c r="O78" s="39">
        <v>4</v>
      </c>
      <c r="P78" s="48" t="s">
        <v>151</v>
      </c>
      <c r="Q78" s="58">
        <v>20</v>
      </c>
      <c r="R78" s="48" t="s">
        <v>78</v>
      </c>
      <c r="S78" s="76">
        <v>80</v>
      </c>
      <c r="T78" s="48" t="s">
        <v>9</v>
      </c>
      <c r="U78" s="74" t="s">
        <v>9</v>
      </c>
      <c r="V78" s="50" t="s">
        <v>84</v>
      </c>
      <c r="W78" s="51" t="s">
        <v>152</v>
      </c>
      <c r="X78" s="48" t="s">
        <v>1516</v>
      </c>
      <c r="Y78" s="39" t="s">
        <v>165</v>
      </c>
      <c r="Z78" s="48" t="s">
        <v>154</v>
      </c>
      <c r="AA78" s="74">
        <v>0.71</v>
      </c>
      <c r="AB78" s="48" t="s">
        <v>155</v>
      </c>
      <c r="AC78" s="74">
        <v>1.1100000000000001</v>
      </c>
      <c r="AD78" s="48" t="s">
        <v>156</v>
      </c>
      <c r="AE78" s="74">
        <v>1.45</v>
      </c>
      <c r="AF78" s="48" t="s">
        <v>157</v>
      </c>
      <c r="AG78" s="74">
        <v>2.0299999999999998</v>
      </c>
      <c r="AH78" s="48" t="s">
        <v>158</v>
      </c>
      <c r="AI78" s="74">
        <v>2.08</v>
      </c>
      <c r="AJ78" s="48" t="s">
        <v>159</v>
      </c>
      <c r="AK78" s="74">
        <v>1.96</v>
      </c>
      <c r="AL78" s="48" t="s">
        <v>9</v>
      </c>
      <c r="AM78" s="74" t="s">
        <v>9</v>
      </c>
      <c r="AN78" s="48" t="s">
        <v>9</v>
      </c>
      <c r="AO78" s="39" t="s">
        <v>9</v>
      </c>
      <c r="AP78" s="48" t="s">
        <v>9</v>
      </c>
      <c r="AQ78" s="39" t="s">
        <v>9</v>
      </c>
      <c r="AR78" s="48" t="s">
        <v>9</v>
      </c>
      <c r="AS78" s="39" t="s">
        <v>9</v>
      </c>
      <c r="AT78" s="48" t="s">
        <v>9</v>
      </c>
      <c r="AU78" s="74" t="s">
        <v>9</v>
      </c>
      <c r="AV78" s="48" t="s">
        <v>9</v>
      </c>
      <c r="AW78" s="74" t="s">
        <v>9</v>
      </c>
    </row>
    <row r="79" spans="1:49" ht="6.75" customHeight="1" x14ac:dyDescent="0.4">
      <c r="A79" s="66">
        <v>79</v>
      </c>
      <c r="B79" s="62" t="s">
        <v>166</v>
      </c>
      <c r="C79" s="23" t="s">
        <v>144</v>
      </c>
      <c r="D79" s="49" t="s">
        <v>9</v>
      </c>
      <c r="E79" s="54" t="s">
        <v>9</v>
      </c>
      <c r="F79" s="49" t="s">
        <v>9</v>
      </c>
      <c r="G79" s="54" t="s">
        <v>9</v>
      </c>
      <c r="H79" s="49" t="s">
        <v>9</v>
      </c>
      <c r="I79" s="54" t="s">
        <v>9</v>
      </c>
      <c r="J79" s="48" t="s">
        <v>75</v>
      </c>
      <c r="K79" s="39" t="s">
        <v>1493</v>
      </c>
      <c r="L79" s="48" t="s">
        <v>75</v>
      </c>
      <c r="M79" s="36" t="s">
        <v>164</v>
      </c>
      <c r="N79" s="48" t="s">
        <v>76</v>
      </c>
      <c r="O79" s="39">
        <v>4</v>
      </c>
      <c r="P79" s="48" t="s">
        <v>151</v>
      </c>
      <c r="Q79" s="58">
        <v>20</v>
      </c>
      <c r="R79" s="48" t="s">
        <v>78</v>
      </c>
      <c r="S79" s="76">
        <v>120</v>
      </c>
      <c r="T79" s="48" t="s">
        <v>9</v>
      </c>
      <c r="U79" s="74" t="s">
        <v>9</v>
      </c>
      <c r="V79" s="50" t="s">
        <v>84</v>
      </c>
      <c r="W79" s="51" t="s">
        <v>152</v>
      </c>
      <c r="X79" s="48" t="s">
        <v>1516</v>
      </c>
      <c r="Y79" s="39" t="s">
        <v>165</v>
      </c>
      <c r="Z79" s="48" t="s">
        <v>154</v>
      </c>
      <c r="AA79" s="74">
        <v>0.71</v>
      </c>
      <c r="AB79" s="48" t="s">
        <v>155</v>
      </c>
      <c r="AC79" s="74">
        <v>1.1100000000000001</v>
      </c>
      <c r="AD79" s="48" t="s">
        <v>156</v>
      </c>
      <c r="AE79" s="74">
        <v>1.45</v>
      </c>
      <c r="AF79" s="48" t="s">
        <v>157</v>
      </c>
      <c r="AG79" s="74">
        <v>2.0299999999999998</v>
      </c>
      <c r="AH79" s="48" t="s">
        <v>158</v>
      </c>
      <c r="AI79" s="74">
        <v>2.08</v>
      </c>
      <c r="AJ79" s="48" t="s">
        <v>159</v>
      </c>
      <c r="AK79" s="74">
        <v>1.96</v>
      </c>
      <c r="AL79" s="48" t="s">
        <v>9</v>
      </c>
      <c r="AM79" s="74" t="s">
        <v>9</v>
      </c>
      <c r="AN79" s="48" t="s">
        <v>9</v>
      </c>
      <c r="AO79" s="39" t="s">
        <v>9</v>
      </c>
      <c r="AP79" s="48" t="s">
        <v>9</v>
      </c>
      <c r="AQ79" s="39" t="s">
        <v>9</v>
      </c>
      <c r="AR79" s="48" t="s">
        <v>9</v>
      </c>
      <c r="AS79" s="39" t="s">
        <v>9</v>
      </c>
      <c r="AT79" s="48" t="s">
        <v>9</v>
      </c>
      <c r="AU79" s="74" t="s">
        <v>9</v>
      </c>
      <c r="AV79" s="48" t="s">
        <v>9</v>
      </c>
      <c r="AW79" s="74" t="s">
        <v>9</v>
      </c>
    </row>
    <row r="80" spans="1:49" ht="6.75" customHeight="1" x14ac:dyDescent="0.4">
      <c r="A80" s="66">
        <v>80</v>
      </c>
      <c r="B80" s="62" t="s">
        <v>167</v>
      </c>
      <c r="C80" s="23" t="s">
        <v>144</v>
      </c>
      <c r="D80" s="49" t="s">
        <v>9</v>
      </c>
      <c r="E80" s="54" t="s">
        <v>9</v>
      </c>
      <c r="F80" s="49" t="s">
        <v>9</v>
      </c>
      <c r="G80" s="54" t="s">
        <v>9</v>
      </c>
      <c r="H80" s="49" t="s">
        <v>9</v>
      </c>
      <c r="I80" s="54" t="s">
        <v>9</v>
      </c>
      <c r="J80" s="48" t="s">
        <v>75</v>
      </c>
      <c r="K80" s="39" t="s">
        <v>1493</v>
      </c>
      <c r="L80" s="48" t="s">
        <v>75</v>
      </c>
      <c r="M80" s="36" t="s">
        <v>164</v>
      </c>
      <c r="N80" s="48" t="s">
        <v>76</v>
      </c>
      <c r="O80" s="39">
        <v>4</v>
      </c>
      <c r="P80" s="48" t="s">
        <v>151</v>
      </c>
      <c r="Q80" s="58">
        <v>20</v>
      </c>
      <c r="R80" s="48" t="s">
        <v>78</v>
      </c>
      <c r="S80" s="76">
        <v>120</v>
      </c>
      <c r="T80" s="48" t="s">
        <v>9</v>
      </c>
      <c r="U80" s="74" t="s">
        <v>9</v>
      </c>
      <c r="V80" s="50" t="s">
        <v>84</v>
      </c>
      <c r="W80" s="51" t="s">
        <v>152</v>
      </c>
      <c r="X80" s="48" t="s">
        <v>1516</v>
      </c>
      <c r="Y80" s="39" t="s">
        <v>165</v>
      </c>
      <c r="Z80" s="48" t="s">
        <v>154</v>
      </c>
      <c r="AA80" s="74">
        <v>0.71</v>
      </c>
      <c r="AB80" s="48" t="s">
        <v>155</v>
      </c>
      <c r="AC80" s="74">
        <v>1.1100000000000001</v>
      </c>
      <c r="AD80" s="48" t="s">
        <v>156</v>
      </c>
      <c r="AE80" s="74">
        <v>1.45</v>
      </c>
      <c r="AF80" s="48" t="s">
        <v>157</v>
      </c>
      <c r="AG80" s="74">
        <v>2.0299999999999998</v>
      </c>
      <c r="AH80" s="48" t="s">
        <v>158</v>
      </c>
      <c r="AI80" s="74">
        <v>2.08</v>
      </c>
      <c r="AJ80" s="48" t="s">
        <v>159</v>
      </c>
      <c r="AK80" s="74">
        <v>1.96</v>
      </c>
      <c r="AL80" s="48" t="s">
        <v>9</v>
      </c>
      <c r="AM80" s="74" t="s">
        <v>9</v>
      </c>
      <c r="AN80" s="48" t="s">
        <v>9</v>
      </c>
      <c r="AO80" s="39" t="s">
        <v>9</v>
      </c>
      <c r="AP80" s="48" t="s">
        <v>9</v>
      </c>
      <c r="AQ80" s="39" t="s">
        <v>9</v>
      </c>
      <c r="AR80" s="48" t="s">
        <v>9</v>
      </c>
      <c r="AS80" s="39" t="s">
        <v>9</v>
      </c>
      <c r="AT80" s="48" t="s">
        <v>9</v>
      </c>
      <c r="AU80" s="74" t="s">
        <v>9</v>
      </c>
      <c r="AV80" s="48" t="s">
        <v>9</v>
      </c>
      <c r="AW80" s="74" t="s">
        <v>9</v>
      </c>
    </row>
    <row r="81" spans="1:49" ht="6.75" customHeight="1" x14ac:dyDescent="0.4">
      <c r="A81" s="66">
        <v>81</v>
      </c>
      <c r="B81" s="62" t="s">
        <v>168</v>
      </c>
      <c r="C81" s="23" t="s">
        <v>144</v>
      </c>
      <c r="D81" s="49" t="s">
        <v>9</v>
      </c>
      <c r="E81" s="54" t="s">
        <v>9</v>
      </c>
      <c r="F81" s="49" t="s">
        <v>9</v>
      </c>
      <c r="G81" s="54" t="s">
        <v>9</v>
      </c>
      <c r="H81" s="49" t="s">
        <v>9</v>
      </c>
      <c r="I81" s="54" t="s">
        <v>9</v>
      </c>
      <c r="J81" s="48" t="s">
        <v>75</v>
      </c>
      <c r="K81" s="39" t="s">
        <v>1493</v>
      </c>
      <c r="L81" s="48" t="s">
        <v>75</v>
      </c>
      <c r="M81" s="36" t="s">
        <v>164</v>
      </c>
      <c r="N81" s="48" t="s">
        <v>76</v>
      </c>
      <c r="O81" s="39">
        <v>4</v>
      </c>
      <c r="P81" s="48" t="s">
        <v>151</v>
      </c>
      <c r="Q81" s="58">
        <v>40</v>
      </c>
      <c r="R81" s="48" t="s">
        <v>78</v>
      </c>
      <c r="S81" s="76">
        <v>120</v>
      </c>
      <c r="T81" s="48" t="s">
        <v>9</v>
      </c>
      <c r="U81" s="74" t="s">
        <v>9</v>
      </c>
      <c r="V81" s="50" t="s">
        <v>84</v>
      </c>
      <c r="W81" s="51" t="s">
        <v>152</v>
      </c>
      <c r="X81" s="48" t="s">
        <v>1516</v>
      </c>
      <c r="Y81" s="39" t="s">
        <v>165</v>
      </c>
      <c r="Z81" s="48" t="s">
        <v>154</v>
      </c>
      <c r="AA81" s="74">
        <v>0.71</v>
      </c>
      <c r="AB81" s="48" t="s">
        <v>155</v>
      </c>
      <c r="AC81" s="74">
        <v>1.1100000000000001</v>
      </c>
      <c r="AD81" s="48" t="s">
        <v>156</v>
      </c>
      <c r="AE81" s="74">
        <v>1.45</v>
      </c>
      <c r="AF81" s="48" t="s">
        <v>157</v>
      </c>
      <c r="AG81" s="74">
        <v>2.0299999999999998</v>
      </c>
      <c r="AH81" s="48" t="s">
        <v>158</v>
      </c>
      <c r="AI81" s="74">
        <v>2.08</v>
      </c>
      <c r="AJ81" s="48" t="s">
        <v>159</v>
      </c>
      <c r="AK81" s="74">
        <v>1.96</v>
      </c>
      <c r="AL81" s="48" t="s">
        <v>9</v>
      </c>
      <c r="AM81" s="74" t="s">
        <v>9</v>
      </c>
      <c r="AN81" s="48" t="s">
        <v>9</v>
      </c>
      <c r="AO81" s="39" t="s">
        <v>9</v>
      </c>
      <c r="AP81" s="48" t="s">
        <v>9</v>
      </c>
      <c r="AQ81" s="39" t="s">
        <v>9</v>
      </c>
      <c r="AR81" s="48" t="s">
        <v>9</v>
      </c>
      <c r="AS81" s="39" t="s">
        <v>9</v>
      </c>
      <c r="AT81" s="48" t="s">
        <v>9</v>
      </c>
      <c r="AU81" s="74" t="s">
        <v>9</v>
      </c>
      <c r="AV81" s="48" t="s">
        <v>9</v>
      </c>
      <c r="AW81" s="74" t="s">
        <v>9</v>
      </c>
    </row>
    <row r="82" spans="1:49" ht="6.75" customHeight="1" x14ac:dyDescent="0.4">
      <c r="A82" s="66">
        <v>82</v>
      </c>
      <c r="B82" s="62" t="s">
        <v>169</v>
      </c>
      <c r="C82" s="23" t="s">
        <v>144</v>
      </c>
      <c r="D82" s="49" t="s">
        <v>9</v>
      </c>
      <c r="E82" s="54" t="s">
        <v>9</v>
      </c>
      <c r="F82" s="49" t="s">
        <v>9</v>
      </c>
      <c r="G82" s="54" t="s">
        <v>9</v>
      </c>
      <c r="H82" s="49" t="s">
        <v>9</v>
      </c>
      <c r="I82" s="54" t="s">
        <v>9</v>
      </c>
      <c r="J82" s="48" t="s">
        <v>75</v>
      </c>
      <c r="K82" s="39" t="s">
        <v>1493</v>
      </c>
      <c r="L82" s="48" t="s">
        <v>75</v>
      </c>
      <c r="M82" s="36" t="s">
        <v>164</v>
      </c>
      <c r="N82" s="48" t="s">
        <v>76</v>
      </c>
      <c r="O82" s="39">
        <v>4</v>
      </c>
      <c r="P82" s="48" t="s">
        <v>151</v>
      </c>
      <c r="Q82" s="58">
        <v>40</v>
      </c>
      <c r="R82" s="48" t="s">
        <v>78</v>
      </c>
      <c r="S82" s="76">
        <v>180</v>
      </c>
      <c r="T82" s="48" t="s">
        <v>9</v>
      </c>
      <c r="U82" s="74" t="s">
        <v>9</v>
      </c>
      <c r="V82" s="50" t="s">
        <v>84</v>
      </c>
      <c r="W82" s="51" t="s">
        <v>152</v>
      </c>
      <c r="X82" s="48" t="s">
        <v>1516</v>
      </c>
      <c r="Y82" s="39" t="s">
        <v>165</v>
      </c>
      <c r="Z82" s="48" t="s">
        <v>154</v>
      </c>
      <c r="AA82" s="74">
        <v>0.71</v>
      </c>
      <c r="AB82" s="48" t="s">
        <v>155</v>
      </c>
      <c r="AC82" s="74">
        <v>1.1100000000000001</v>
      </c>
      <c r="AD82" s="48" t="s">
        <v>156</v>
      </c>
      <c r="AE82" s="74">
        <v>1.45</v>
      </c>
      <c r="AF82" s="48" t="s">
        <v>157</v>
      </c>
      <c r="AG82" s="74">
        <v>2.0299999999999998</v>
      </c>
      <c r="AH82" s="48" t="s">
        <v>158</v>
      </c>
      <c r="AI82" s="74">
        <v>2.08</v>
      </c>
      <c r="AJ82" s="48" t="s">
        <v>159</v>
      </c>
      <c r="AK82" s="74">
        <v>1.96</v>
      </c>
      <c r="AL82" s="48" t="s">
        <v>9</v>
      </c>
      <c r="AM82" s="74" t="s">
        <v>9</v>
      </c>
      <c r="AN82" s="48" t="s">
        <v>9</v>
      </c>
      <c r="AO82" s="39" t="s">
        <v>9</v>
      </c>
      <c r="AP82" s="48" t="s">
        <v>9</v>
      </c>
      <c r="AQ82" s="39" t="s">
        <v>9</v>
      </c>
      <c r="AR82" s="48" t="s">
        <v>9</v>
      </c>
      <c r="AS82" s="39" t="s">
        <v>9</v>
      </c>
      <c r="AT82" s="48" t="s">
        <v>9</v>
      </c>
      <c r="AU82" s="74" t="s">
        <v>9</v>
      </c>
      <c r="AV82" s="48" t="s">
        <v>9</v>
      </c>
      <c r="AW82" s="74" t="s">
        <v>9</v>
      </c>
    </row>
    <row r="83" spans="1:49" ht="6.75" customHeight="1" x14ac:dyDescent="0.4">
      <c r="A83" s="66">
        <v>83</v>
      </c>
      <c r="B83" s="62" t="s">
        <v>170</v>
      </c>
      <c r="C83" s="23" t="s">
        <v>134</v>
      </c>
      <c r="D83" s="49" t="s">
        <v>9</v>
      </c>
      <c r="E83" s="54" t="s">
        <v>9</v>
      </c>
      <c r="F83" s="49" t="s">
        <v>9</v>
      </c>
      <c r="G83" s="54" t="s">
        <v>9</v>
      </c>
      <c r="H83" s="49" t="s">
        <v>9</v>
      </c>
      <c r="I83" s="54" t="s">
        <v>9</v>
      </c>
      <c r="J83" s="48" t="s">
        <v>75</v>
      </c>
      <c r="K83" s="39" t="s">
        <v>1493</v>
      </c>
      <c r="L83" s="48" t="s">
        <v>75</v>
      </c>
      <c r="M83" s="36" t="s">
        <v>171</v>
      </c>
      <c r="N83" s="48" t="s">
        <v>76</v>
      </c>
      <c r="O83" s="39">
        <v>2.5</v>
      </c>
      <c r="P83" s="48" t="s">
        <v>77</v>
      </c>
      <c r="Q83" s="58">
        <v>62.5</v>
      </c>
      <c r="R83" s="48" t="s">
        <v>78</v>
      </c>
      <c r="S83" s="76">
        <v>125</v>
      </c>
      <c r="T83" s="48" t="s">
        <v>9</v>
      </c>
      <c r="U83" s="74" t="s">
        <v>9</v>
      </c>
      <c r="V83" s="50" t="s">
        <v>84</v>
      </c>
      <c r="W83" s="51" t="s">
        <v>178</v>
      </c>
      <c r="X83" s="48" t="s">
        <v>1516</v>
      </c>
      <c r="Y83" s="39" t="s">
        <v>172</v>
      </c>
      <c r="Z83" s="48" t="s">
        <v>9</v>
      </c>
      <c r="AA83" s="74" t="s">
        <v>9</v>
      </c>
      <c r="AB83" s="48" t="s">
        <v>9</v>
      </c>
      <c r="AC83" s="74" t="s">
        <v>9</v>
      </c>
      <c r="AD83" s="48" t="s">
        <v>9</v>
      </c>
      <c r="AE83" s="74" t="s">
        <v>9</v>
      </c>
      <c r="AF83" s="48" t="s">
        <v>9</v>
      </c>
      <c r="AG83" s="74" t="s">
        <v>9</v>
      </c>
      <c r="AH83" s="48" t="s">
        <v>9</v>
      </c>
      <c r="AI83" s="74" t="s">
        <v>9</v>
      </c>
      <c r="AJ83" s="48" t="s">
        <v>9</v>
      </c>
      <c r="AK83" s="74" t="s">
        <v>9</v>
      </c>
      <c r="AL83" s="48" t="s">
        <v>160</v>
      </c>
      <c r="AM83" s="74">
        <v>0.85</v>
      </c>
      <c r="AN83" s="48" t="s">
        <v>9</v>
      </c>
      <c r="AO83" s="39" t="s">
        <v>9</v>
      </c>
      <c r="AP83" s="48" t="s">
        <v>9</v>
      </c>
      <c r="AQ83" s="39" t="s">
        <v>9</v>
      </c>
      <c r="AR83" s="48" t="s">
        <v>9</v>
      </c>
      <c r="AS83" s="39" t="s">
        <v>9</v>
      </c>
      <c r="AT83" s="48" t="s">
        <v>9</v>
      </c>
      <c r="AU83" s="74" t="s">
        <v>9</v>
      </c>
      <c r="AV83" s="48" t="s">
        <v>9</v>
      </c>
      <c r="AW83" s="74" t="s">
        <v>9</v>
      </c>
    </row>
    <row r="84" spans="1:49" ht="6.75" customHeight="1" x14ac:dyDescent="0.4">
      <c r="A84" s="66">
        <v>84</v>
      </c>
      <c r="B84" s="62" t="s">
        <v>1613</v>
      </c>
      <c r="C84" s="23" t="s">
        <v>145</v>
      </c>
      <c r="D84" s="49" t="s">
        <v>9</v>
      </c>
      <c r="E84" s="54" t="s">
        <v>9</v>
      </c>
      <c r="F84" s="49" t="s">
        <v>9</v>
      </c>
      <c r="G84" s="54" t="s">
        <v>9</v>
      </c>
      <c r="H84" s="49" t="s">
        <v>9</v>
      </c>
      <c r="I84" s="54" t="s">
        <v>9</v>
      </c>
      <c r="J84" s="48" t="s">
        <v>75</v>
      </c>
      <c r="K84" s="39" t="s">
        <v>1493</v>
      </c>
      <c r="L84" s="48" t="s">
        <v>75</v>
      </c>
      <c r="M84" s="36" t="s">
        <v>173</v>
      </c>
      <c r="N84" s="48" t="s">
        <v>76</v>
      </c>
      <c r="O84" s="39">
        <v>4</v>
      </c>
      <c r="P84" s="48" t="s">
        <v>77</v>
      </c>
      <c r="Q84" s="58">
        <v>120</v>
      </c>
      <c r="R84" s="48" t="s">
        <v>78</v>
      </c>
      <c r="S84" s="76">
        <v>120</v>
      </c>
      <c r="T84" s="48" t="s">
        <v>9</v>
      </c>
      <c r="U84" s="74" t="s">
        <v>9</v>
      </c>
      <c r="V84" s="50" t="s">
        <v>84</v>
      </c>
      <c r="W84" s="51" t="s">
        <v>152</v>
      </c>
      <c r="X84" s="48" t="s">
        <v>1516</v>
      </c>
      <c r="Y84" s="39" t="s">
        <v>165</v>
      </c>
      <c r="Z84" s="48" t="s">
        <v>154</v>
      </c>
      <c r="AA84" s="74">
        <v>0.71</v>
      </c>
      <c r="AB84" s="48" t="s">
        <v>155</v>
      </c>
      <c r="AC84" s="74">
        <v>1.1100000000000001</v>
      </c>
      <c r="AD84" s="48" t="s">
        <v>156</v>
      </c>
      <c r="AE84" s="74">
        <v>1.45</v>
      </c>
      <c r="AF84" s="48" t="s">
        <v>157</v>
      </c>
      <c r="AG84" s="74">
        <v>2.0299999999999998</v>
      </c>
      <c r="AH84" s="48" t="s">
        <v>158</v>
      </c>
      <c r="AI84" s="74">
        <v>2.08</v>
      </c>
      <c r="AJ84" s="48" t="s">
        <v>159</v>
      </c>
      <c r="AK84" s="74">
        <v>1.96</v>
      </c>
      <c r="AL84" s="48" t="s">
        <v>9</v>
      </c>
      <c r="AM84" s="74" t="s">
        <v>9</v>
      </c>
      <c r="AN84" s="48" t="s">
        <v>9</v>
      </c>
      <c r="AO84" s="39" t="s">
        <v>9</v>
      </c>
      <c r="AP84" s="48" t="s">
        <v>9</v>
      </c>
      <c r="AQ84" s="39" t="s">
        <v>9</v>
      </c>
      <c r="AR84" s="48" t="s">
        <v>9</v>
      </c>
      <c r="AS84" s="39" t="s">
        <v>9</v>
      </c>
      <c r="AT84" s="48" t="s">
        <v>9</v>
      </c>
      <c r="AU84" s="74" t="s">
        <v>9</v>
      </c>
      <c r="AV84" s="48" t="s">
        <v>9</v>
      </c>
      <c r="AW84" s="74" t="s">
        <v>9</v>
      </c>
    </row>
    <row r="85" spans="1:49" ht="6.75" customHeight="1" x14ac:dyDescent="0.4">
      <c r="A85" s="66">
        <v>85</v>
      </c>
      <c r="B85" s="62" t="s">
        <v>174</v>
      </c>
      <c r="C85" s="23" t="s">
        <v>146</v>
      </c>
      <c r="D85" s="49" t="s">
        <v>9</v>
      </c>
      <c r="E85" s="54" t="s">
        <v>9</v>
      </c>
      <c r="F85" s="49" t="s">
        <v>9</v>
      </c>
      <c r="G85" s="54" t="s">
        <v>9</v>
      </c>
      <c r="H85" s="49" t="s">
        <v>9</v>
      </c>
      <c r="I85" s="54" t="s">
        <v>9</v>
      </c>
      <c r="J85" s="48" t="s">
        <v>75</v>
      </c>
      <c r="K85" s="39" t="s">
        <v>1493</v>
      </c>
      <c r="L85" s="48" t="s">
        <v>75</v>
      </c>
      <c r="M85" s="36" t="s">
        <v>175</v>
      </c>
      <c r="N85" s="48" t="s">
        <v>76</v>
      </c>
      <c r="O85" s="39">
        <v>4</v>
      </c>
      <c r="P85" s="48" t="s">
        <v>9</v>
      </c>
      <c r="Q85" s="34" t="s">
        <v>9</v>
      </c>
      <c r="R85" s="48" t="s">
        <v>1483</v>
      </c>
      <c r="S85" s="76">
        <v>120</v>
      </c>
      <c r="T85" s="48" t="s">
        <v>9</v>
      </c>
      <c r="U85" s="74" t="s">
        <v>9</v>
      </c>
      <c r="V85" s="50" t="s">
        <v>84</v>
      </c>
      <c r="W85" s="51" t="s">
        <v>152</v>
      </c>
      <c r="X85" s="48" t="s">
        <v>1516</v>
      </c>
      <c r="Y85" s="39" t="s">
        <v>165</v>
      </c>
      <c r="Z85" s="48" t="s">
        <v>154</v>
      </c>
      <c r="AA85" s="74">
        <v>0.71</v>
      </c>
      <c r="AB85" s="48" t="s">
        <v>155</v>
      </c>
      <c r="AC85" s="74">
        <v>1.1100000000000001</v>
      </c>
      <c r="AD85" s="48" t="s">
        <v>156</v>
      </c>
      <c r="AE85" s="74">
        <v>1.45</v>
      </c>
      <c r="AF85" s="48" t="s">
        <v>157</v>
      </c>
      <c r="AG85" s="74">
        <v>2.0299999999999998</v>
      </c>
      <c r="AH85" s="48" t="s">
        <v>158</v>
      </c>
      <c r="AI85" s="74">
        <v>2.08</v>
      </c>
      <c r="AJ85" s="48" t="s">
        <v>159</v>
      </c>
      <c r="AK85" s="74">
        <v>1.96</v>
      </c>
      <c r="AL85" s="48" t="s">
        <v>9</v>
      </c>
      <c r="AM85" s="74" t="s">
        <v>9</v>
      </c>
      <c r="AN85" s="48" t="s">
        <v>9</v>
      </c>
      <c r="AO85" s="39" t="s">
        <v>9</v>
      </c>
      <c r="AP85" s="48" t="s">
        <v>9</v>
      </c>
      <c r="AQ85" s="39" t="s">
        <v>9</v>
      </c>
      <c r="AR85" s="48" t="s">
        <v>9</v>
      </c>
      <c r="AS85" s="39" t="s">
        <v>9</v>
      </c>
      <c r="AT85" s="48" t="s">
        <v>9</v>
      </c>
      <c r="AU85" s="74" t="s">
        <v>9</v>
      </c>
      <c r="AV85" s="48" t="s">
        <v>9</v>
      </c>
      <c r="AW85" s="74" t="s">
        <v>9</v>
      </c>
    </row>
    <row r="86" spans="1:49" ht="6.75" customHeight="1" x14ac:dyDescent="0.4">
      <c r="A86" s="66">
        <v>86</v>
      </c>
      <c r="B86" s="62" t="s">
        <v>176</v>
      </c>
      <c r="C86" s="1" t="s">
        <v>1590</v>
      </c>
      <c r="D86" s="49" t="s">
        <v>9</v>
      </c>
      <c r="E86" s="54" t="s">
        <v>9</v>
      </c>
      <c r="F86" s="52" t="s">
        <v>179</v>
      </c>
      <c r="G86" s="54" t="s">
        <v>170</v>
      </c>
      <c r="H86" s="49" t="s">
        <v>9</v>
      </c>
      <c r="I86" s="54" t="s">
        <v>9</v>
      </c>
      <c r="J86" s="48" t="s">
        <v>75</v>
      </c>
      <c r="K86" s="39" t="s">
        <v>1493</v>
      </c>
      <c r="L86" s="48" t="s">
        <v>75</v>
      </c>
      <c r="M86" s="36" t="s">
        <v>177</v>
      </c>
      <c r="N86" s="48" t="s">
        <v>9</v>
      </c>
      <c r="O86" s="39" t="s">
        <v>9</v>
      </c>
      <c r="P86" s="48" t="s">
        <v>9</v>
      </c>
      <c r="Q86" s="34" t="s">
        <v>9</v>
      </c>
      <c r="R86" s="48" t="s">
        <v>9</v>
      </c>
      <c r="S86" s="74" t="s">
        <v>9</v>
      </c>
      <c r="T86" s="48" t="s">
        <v>9</v>
      </c>
      <c r="U86" s="74" t="s">
        <v>9</v>
      </c>
      <c r="V86" s="50" t="s">
        <v>84</v>
      </c>
      <c r="W86" s="51" t="s">
        <v>178</v>
      </c>
      <c r="X86" s="48" t="s">
        <v>1516</v>
      </c>
      <c r="Y86" s="39" t="s">
        <v>165</v>
      </c>
      <c r="Z86" s="48" t="s">
        <v>9</v>
      </c>
      <c r="AA86" s="74" t="s">
        <v>9</v>
      </c>
      <c r="AB86" s="48" t="s">
        <v>9</v>
      </c>
      <c r="AC86" s="74" t="s">
        <v>9</v>
      </c>
      <c r="AD86" s="48" t="s">
        <v>9</v>
      </c>
      <c r="AE86" s="74" t="s">
        <v>9</v>
      </c>
      <c r="AF86" s="48" t="s">
        <v>9</v>
      </c>
      <c r="AG86" s="74" t="s">
        <v>9</v>
      </c>
      <c r="AH86" s="48" t="s">
        <v>9</v>
      </c>
      <c r="AI86" s="74" t="s">
        <v>9</v>
      </c>
      <c r="AJ86" s="48" t="s">
        <v>9</v>
      </c>
      <c r="AK86" s="74" t="s">
        <v>9</v>
      </c>
      <c r="AL86" s="48" t="s">
        <v>160</v>
      </c>
      <c r="AM86" s="74">
        <v>0.85</v>
      </c>
      <c r="AN86" s="48" t="s">
        <v>9</v>
      </c>
      <c r="AO86" s="39" t="s">
        <v>9</v>
      </c>
      <c r="AP86" s="48" t="s">
        <v>9</v>
      </c>
      <c r="AQ86" s="39" t="s">
        <v>9</v>
      </c>
      <c r="AR86" s="48" t="s">
        <v>9</v>
      </c>
      <c r="AS86" s="39" t="s">
        <v>9</v>
      </c>
      <c r="AT86" s="48" t="s">
        <v>9</v>
      </c>
      <c r="AU86" s="74" t="s">
        <v>9</v>
      </c>
      <c r="AV86" s="48" t="s">
        <v>9</v>
      </c>
      <c r="AW86" s="74" t="s">
        <v>9</v>
      </c>
    </row>
    <row r="87" spans="1:49" s="60" customFormat="1" ht="6.75" customHeight="1" x14ac:dyDescent="0.4">
      <c r="A87" s="66">
        <v>87</v>
      </c>
      <c r="B87" s="38" t="s">
        <v>415</v>
      </c>
      <c r="C87" s="1" t="s">
        <v>1178</v>
      </c>
      <c r="D87" s="49" t="s">
        <v>439</v>
      </c>
      <c r="E87" s="54" t="s">
        <v>440</v>
      </c>
      <c r="F87" s="49" t="s">
        <v>9</v>
      </c>
      <c r="G87" s="54" t="s">
        <v>9</v>
      </c>
      <c r="H87" s="49" t="s">
        <v>9</v>
      </c>
      <c r="I87" s="54" t="s">
        <v>9</v>
      </c>
      <c r="J87" s="48" t="s">
        <v>75</v>
      </c>
      <c r="K87" s="39" t="s">
        <v>1493</v>
      </c>
      <c r="L87" s="48" t="s">
        <v>75</v>
      </c>
      <c r="M87" s="39" t="s">
        <v>416</v>
      </c>
      <c r="N87" s="48" t="s">
        <v>76</v>
      </c>
      <c r="O87" s="39">
        <v>8</v>
      </c>
      <c r="P87" s="48" t="s">
        <v>77</v>
      </c>
      <c r="Q87" s="34">
        <v>1.2</v>
      </c>
      <c r="R87" s="48" t="s">
        <v>78</v>
      </c>
      <c r="S87" s="74">
        <v>2.4</v>
      </c>
      <c r="T87" s="48" t="s">
        <v>344</v>
      </c>
      <c r="U87" s="74">
        <v>31.68</v>
      </c>
      <c r="V87" s="48" t="s">
        <v>9</v>
      </c>
      <c r="W87" s="39" t="s">
        <v>9</v>
      </c>
      <c r="X87" s="48" t="s">
        <v>1516</v>
      </c>
      <c r="Y87" s="39" t="s">
        <v>417</v>
      </c>
      <c r="Z87" s="48" t="s">
        <v>9</v>
      </c>
      <c r="AA87" s="74" t="s">
        <v>9</v>
      </c>
      <c r="AB87" s="48" t="s">
        <v>9</v>
      </c>
      <c r="AC87" s="74" t="s">
        <v>9</v>
      </c>
      <c r="AD87" s="48" t="s">
        <v>9</v>
      </c>
      <c r="AE87" s="74" t="s">
        <v>9</v>
      </c>
      <c r="AF87" s="48" t="s">
        <v>9</v>
      </c>
      <c r="AG87" s="74" t="s">
        <v>9</v>
      </c>
      <c r="AH87" s="48" t="s">
        <v>9</v>
      </c>
      <c r="AI87" s="74" t="s">
        <v>9</v>
      </c>
      <c r="AJ87" s="48" t="s">
        <v>9</v>
      </c>
      <c r="AK87" s="74" t="s">
        <v>9</v>
      </c>
      <c r="AL87" s="48" t="s">
        <v>9</v>
      </c>
      <c r="AM87" s="74" t="s">
        <v>9</v>
      </c>
      <c r="AN87" s="48" t="s">
        <v>9</v>
      </c>
      <c r="AO87" s="39" t="s">
        <v>9</v>
      </c>
      <c r="AP87" s="48" t="s">
        <v>9</v>
      </c>
      <c r="AQ87" s="39" t="s">
        <v>9</v>
      </c>
      <c r="AR87" s="48" t="s">
        <v>9</v>
      </c>
      <c r="AS87" s="39" t="s">
        <v>9</v>
      </c>
      <c r="AT87" s="48" t="s">
        <v>9</v>
      </c>
      <c r="AU87" s="74" t="s">
        <v>9</v>
      </c>
      <c r="AV87" s="48" t="s">
        <v>9</v>
      </c>
      <c r="AW87" s="74" t="s">
        <v>9</v>
      </c>
    </row>
    <row r="88" spans="1:49" s="60" customFormat="1" ht="6.75" customHeight="1" x14ac:dyDescent="0.4">
      <c r="A88" s="66">
        <v>88</v>
      </c>
      <c r="B88" s="38" t="s">
        <v>418</v>
      </c>
      <c r="C88" s="1" t="s">
        <v>1183</v>
      </c>
      <c r="D88" s="49" t="s">
        <v>439</v>
      </c>
      <c r="E88" s="54" t="s">
        <v>442</v>
      </c>
      <c r="F88" s="49" t="s">
        <v>9</v>
      </c>
      <c r="G88" s="54" t="s">
        <v>9</v>
      </c>
      <c r="H88" s="49" t="s">
        <v>9</v>
      </c>
      <c r="I88" s="54" t="s">
        <v>9</v>
      </c>
      <c r="J88" s="48" t="s">
        <v>75</v>
      </c>
      <c r="K88" s="39" t="s">
        <v>1493</v>
      </c>
      <c r="L88" s="48" t="s">
        <v>75</v>
      </c>
      <c r="M88" s="39" t="s">
        <v>419</v>
      </c>
      <c r="N88" s="48" t="s">
        <v>76</v>
      </c>
      <c r="O88" s="39">
        <v>12.5</v>
      </c>
      <c r="P88" s="48" t="s">
        <v>77</v>
      </c>
      <c r="Q88" s="34">
        <v>1.2</v>
      </c>
      <c r="R88" s="48" t="s">
        <v>78</v>
      </c>
      <c r="S88" s="74">
        <v>2.4</v>
      </c>
      <c r="T88" s="48" t="s">
        <v>344</v>
      </c>
      <c r="U88" s="74">
        <v>34.56</v>
      </c>
      <c r="V88" s="48" t="s">
        <v>9</v>
      </c>
      <c r="W88" s="39" t="s">
        <v>9</v>
      </c>
      <c r="X88" s="48" t="s">
        <v>1516</v>
      </c>
      <c r="Y88" s="39" t="s">
        <v>417</v>
      </c>
      <c r="Z88" s="48" t="s">
        <v>9</v>
      </c>
      <c r="AA88" s="74" t="s">
        <v>9</v>
      </c>
      <c r="AB88" s="48" t="s">
        <v>9</v>
      </c>
      <c r="AC88" s="74" t="s">
        <v>9</v>
      </c>
      <c r="AD88" s="48" t="s">
        <v>9</v>
      </c>
      <c r="AE88" s="74" t="s">
        <v>9</v>
      </c>
      <c r="AF88" s="48" t="s">
        <v>9</v>
      </c>
      <c r="AG88" s="74" t="s">
        <v>9</v>
      </c>
      <c r="AH88" s="48" t="s">
        <v>9</v>
      </c>
      <c r="AI88" s="74" t="s">
        <v>9</v>
      </c>
      <c r="AJ88" s="48" t="s">
        <v>9</v>
      </c>
      <c r="AK88" s="74" t="s">
        <v>9</v>
      </c>
      <c r="AL88" s="48" t="s">
        <v>9</v>
      </c>
      <c r="AM88" s="74" t="s">
        <v>9</v>
      </c>
      <c r="AN88" s="48" t="s">
        <v>9</v>
      </c>
      <c r="AO88" s="39" t="s">
        <v>9</v>
      </c>
      <c r="AP88" s="48" t="s">
        <v>9</v>
      </c>
      <c r="AQ88" s="39" t="s">
        <v>9</v>
      </c>
      <c r="AR88" s="48" t="s">
        <v>9</v>
      </c>
      <c r="AS88" s="39" t="s">
        <v>9</v>
      </c>
      <c r="AT88" s="48" t="s">
        <v>9</v>
      </c>
      <c r="AU88" s="74" t="s">
        <v>9</v>
      </c>
      <c r="AV88" s="48" t="s">
        <v>9</v>
      </c>
      <c r="AW88" s="74" t="s">
        <v>9</v>
      </c>
    </row>
    <row r="89" spans="1:49" s="60" customFormat="1" ht="6.75" customHeight="1" x14ac:dyDescent="0.4">
      <c r="A89" s="66">
        <v>89</v>
      </c>
      <c r="B89" s="38" t="s">
        <v>420</v>
      </c>
      <c r="C89" s="1" t="s">
        <v>1180</v>
      </c>
      <c r="D89" s="49" t="s">
        <v>439</v>
      </c>
      <c r="E89" s="54" t="s">
        <v>444</v>
      </c>
      <c r="F89" s="49" t="s">
        <v>9</v>
      </c>
      <c r="G89" s="54" t="s">
        <v>9</v>
      </c>
      <c r="H89" s="49" t="s">
        <v>9</v>
      </c>
      <c r="I89" s="54" t="s">
        <v>9</v>
      </c>
      <c r="J89" s="48" t="s">
        <v>75</v>
      </c>
      <c r="K89" s="39" t="s">
        <v>1493</v>
      </c>
      <c r="L89" s="48" t="s">
        <v>75</v>
      </c>
      <c r="M89" s="39" t="s">
        <v>689</v>
      </c>
      <c r="N89" s="48" t="s">
        <v>76</v>
      </c>
      <c r="O89" s="39">
        <v>35</v>
      </c>
      <c r="P89" s="48" t="s">
        <v>77</v>
      </c>
      <c r="Q89" s="34">
        <v>1.2</v>
      </c>
      <c r="R89" s="48" t="s">
        <v>78</v>
      </c>
      <c r="S89" s="74">
        <v>2.11</v>
      </c>
      <c r="T89" s="48" t="s">
        <v>344</v>
      </c>
      <c r="U89" s="74">
        <v>22</v>
      </c>
      <c r="V89" s="48" t="s">
        <v>9</v>
      </c>
      <c r="W89" s="39" t="s">
        <v>9</v>
      </c>
      <c r="X89" s="48" t="s">
        <v>1516</v>
      </c>
      <c r="Y89" s="39" t="s">
        <v>421</v>
      </c>
      <c r="Z89" s="48" t="s">
        <v>9</v>
      </c>
      <c r="AA89" s="74" t="s">
        <v>9</v>
      </c>
      <c r="AB89" s="48" t="s">
        <v>9</v>
      </c>
      <c r="AC89" s="74" t="s">
        <v>9</v>
      </c>
      <c r="AD89" s="48" t="s">
        <v>9</v>
      </c>
      <c r="AE89" s="74" t="s">
        <v>9</v>
      </c>
      <c r="AF89" s="48" t="s">
        <v>9</v>
      </c>
      <c r="AG89" s="74" t="s">
        <v>9</v>
      </c>
      <c r="AH89" s="48" t="s">
        <v>9</v>
      </c>
      <c r="AI89" s="74" t="s">
        <v>9</v>
      </c>
      <c r="AJ89" s="48" t="s">
        <v>9</v>
      </c>
      <c r="AK89" s="74" t="s">
        <v>9</v>
      </c>
      <c r="AL89" s="48" t="s">
        <v>9</v>
      </c>
      <c r="AM89" s="74" t="s">
        <v>9</v>
      </c>
      <c r="AN89" s="48" t="s">
        <v>9</v>
      </c>
      <c r="AO89" s="39" t="s">
        <v>9</v>
      </c>
      <c r="AP89" s="48" t="s">
        <v>9</v>
      </c>
      <c r="AQ89" s="39" t="s">
        <v>9</v>
      </c>
      <c r="AR89" s="48" t="s">
        <v>9</v>
      </c>
      <c r="AS89" s="39" t="s">
        <v>9</v>
      </c>
      <c r="AT89" s="48" t="s">
        <v>9</v>
      </c>
      <c r="AU89" s="74" t="s">
        <v>9</v>
      </c>
      <c r="AV89" s="48" t="s">
        <v>9</v>
      </c>
      <c r="AW89" s="74" t="s">
        <v>9</v>
      </c>
    </row>
    <row r="90" spans="1:49" s="60" customFormat="1" ht="6.75" customHeight="1" x14ac:dyDescent="0.4">
      <c r="A90" s="66">
        <v>90</v>
      </c>
      <c r="B90" s="38" t="s">
        <v>422</v>
      </c>
      <c r="C90" s="1" t="s">
        <v>279</v>
      </c>
      <c r="D90" s="49" t="s">
        <v>9</v>
      </c>
      <c r="E90" s="54" t="s">
        <v>9</v>
      </c>
      <c r="F90" s="49" t="s">
        <v>9</v>
      </c>
      <c r="G90" s="54" t="s">
        <v>9</v>
      </c>
      <c r="H90" s="49" t="s">
        <v>9</v>
      </c>
      <c r="I90" s="54" t="s">
        <v>9</v>
      </c>
      <c r="J90" s="48" t="s">
        <v>75</v>
      </c>
      <c r="K90" s="39" t="s">
        <v>1493</v>
      </c>
      <c r="L90" s="48" t="s">
        <v>75</v>
      </c>
      <c r="M90" s="39" t="s">
        <v>423</v>
      </c>
      <c r="N90" s="48" t="s">
        <v>76</v>
      </c>
      <c r="O90" s="39">
        <v>1.2</v>
      </c>
      <c r="P90" s="48" t="s">
        <v>9</v>
      </c>
      <c r="Q90" s="34" t="s">
        <v>9</v>
      </c>
      <c r="R90" s="48" t="s">
        <v>9</v>
      </c>
      <c r="S90" s="74" t="s">
        <v>9</v>
      </c>
      <c r="T90" s="48" t="s">
        <v>9</v>
      </c>
      <c r="U90" s="74" t="s">
        <v>9</v>
      </c>
      <c r="V90" s="48" t="s">
        <v>9</v>
      </c>
      <c r="W90" s="39" t="s">
        <v>9</v>
      </c>
      <c r="X90" s="48" t="s">
        <v>1516</v>
      </c>
      <c r="Y90" s="39" t="s">
        <v>424</v>
      </c>
      <c r="Z90" s="48" t="s">
        <v>9</v>
      </c>
      <c r="AA90" s="74" t="s">
        <v>9</v>
      </c>
      <c r="AB90" s="48" t="s">
        <v>9</v>
      </c>
      <c r="AC90" s="74" t="s">
        <v>9</v>
      </c>
      <c r="AD90" s="48" t="s">
        <v>9</v>
      </c>
      <c r="AE90" s="74" t="s">
        <v>9</v>
      </c>
      <c r="AF90" s="48" t="s">
        <v>9</v>
      </c>
      <c r="AG90" s="74" t="s">
        <v>9</v>
      </c>
      <c r="AH90" s="48" t="s">
        <v>9</v>
      </c>
      <c r="AI90" s="74" t="s">
        <v>9</v>
      </c>
      <c r="AJ90" s="48" t="s">
        <v>9</v>
      </c>
      <c r="AK90" s="74" t="s">
        <v>9</v>
      </c>
      <c r="AL90" s="48" t="s">
        <v>9</v>
      </c>
      <c r="AM90" s="74" t="s">
        <v>9</v>
      </c>
      <c r="AN90" s="48" t="s">
        <v>9</v>
      </c>
      <c r="AO90" s="39" t="s">
        <v>9</v>
      </c>
      <c r="AP90" s="48" t="s">
        <v>9</v>
      </c>
      <c r="AQ90" s="39" t="s">
        <v>9</v>
      </c>
      <c r="AR90" s="48" t="s">
        <v>9</v>
      </c>
      <c r="AS90" s="39" t="s">
        <v>9</v>
      </c>
      <c r="AT90" s="48" t="s">
        <v>9</v>
      </c>
      <c r="AU90" s="74" t="s">
        <v>9</v>
      </c>
      <c r="AV90" s="48" t="s">
        <v>9</v>
      </c>
      <c r="AW90" s="74" t="s">
        <v>9</v>
      </c>
    </row>
    <row r="91" spans="1:49" s="60" customFormat="1" ht="6.75" customHeight="1" x14ac:dyDescent="0.4">
      <c r="A91" s="66">
        <v>91</v>
      </c>
      <c r="B91" s="38" t="s">
        <v>425</v>
      </c>
      <c r="C91" s="1" t="s">
        <v>291</v>
      </c>
      <c r="D91" s="49" t="s">
        <v>9</v>
      </c>
      <c r="E91" s="54" t="s">
        <v>9</v>
      </c>
      <c r="F91" s="49" t="s">
        <v>9</v>
      </c>
      <c r="G91" s="54" t="s">
        <v>9</v>
      </c>
      <c r="H91" s="49" t="s">
        <v>9</v>
      </c>
      <c r="I91" s="54" t="s">
        <v>9</v>
      </c>
      <c r="J91" s="48" t="s">
        <v>75</v>
      </c>
      <c r="K91" s="39" t="s">
        <v>1493</v>
      </c>
      <c r="L91" s="48" t="s">
        <v>75</v>
      </c>
      <c r="M91" s="39" t="s">
        <v>426</v>
      </c>
      <c r="N91" s="48" t="s">
        <v>76</v>
      </c>
      <c r="O91" s="39">
        <v>0.8</v>
      </c>
      <c r="P91" s="48" t="s">
        <v>77</v>
      </c>
      <c r="Q91" s="34">
        <v>1.2</v>
      </c>
      <c r="R91" s="48" t="s">
        <v>78</v>
      </c>
      <c r="S91" s="74">
        <v>1.2</v>
      </c>
      <c r="T91" s="48" t="s">
        <v>9</v>
      </c>
      <c r="U91" s="74" t="s">
        <v>9</v>
      </c>
      <c r="V91" s="50" t="s">
        <v>84</v>
      </c>
      <c r="W91" s="39" t="s">
        <v>427</v>
      </c>
      <c r="X91" s="48" t="s">
        <v>1516</v>
      </c>
      <c r="Y91" s="39" t="s">
        <v>428</v>
      </c>
      <c r="Z91" s="48" t="s">
        <v>429</v>
      </c>
      <c r="AA91" s="74">
        <v>2</v>
      </c>
      <c r="AB91" s="48" t="s">
        <v>9</v>
      </c>
      <c r="AC91" s="74" t="s">
        <v>9</v>
      </c>
      <c r="AD91" s="48" t="s">
        <v>9</v>
      </c>
      <c r="AE91" s="74" t="s">
        <v>9</v>
      </c>
      <c r="AF91" s="48" t="s">
        <v>9</v>
      </c>
      <c r="AG91" s="74" t="s">
        <v>9</v>
      </c>
      <c r="AH91" s="48" t="s">
        <v>9</v>
      </c>
      <c r="AI91" s="74" t="s">
        <v>9</v>
      </c>
      <c r="AJ91" s="48" t="s">
        <v>9</v>
      </c>
      <c r="AK91" s="74" t="s">
        <v>9</v>
      </c>
      <c r="AL91" s="48" t="s">
        <v>9</v>
      </c>
      <c r="AM91" s="74" t="s">
        <v>9</v>
      </c>
      <c r="AN91" s="48" t="s">
        <v>9</v>
      </c>
      <c r="AO91" s="39" t="s">
        <v>9</v>
      </c>
      <c r="AP91" s="48" t="s">
        <v>9</v>
      </c>
      <c r="AQ91" s="39" t="s">
        <v>9</v>
      </c>
      <c r="AR91" s="48" t="s">
        <v>9</v>
      </c>
      <c r="AS91" s="39" t="s">
        <v>9</v>
      </c>
      <c r="AT91" s="48" t="s">
        <v>9</v>
      </c>
      <c r="AU91" s="74" t="s">
        <v>9</v>
      </c>
      <c r="AV91" s="48" t="s">
        <v>9</v>
      </c>
      <c r="AW91" s="74" t="s">
        <v>9</v>
      </c>
    </row>
    <row r="92" spans="1:49" s="60" customFormat="1" ht="6.75" customHeight="1" x14ac:dyDescent="0.4">
      <c r="A92" s="66">
        <v>92</v>
      </c>
      <c r="B92" s="38" t="s">
        <v>430</v>
      </c>
      <c r="C92" s="1" t="s">
        <v>1182</v>
      </c>
      <c r="D92" s="49" t="s">
        <v>9</v>
      </c>
      <c r="E92" s="54" t="s">
        <v>9</v>
      </c>
      <c r="F92" s="49" t="s">
        <v>9</v>
      </c>
      <c r="G92" s="54" t="s">
        <v>9</v>
      </c>
      <c r="H92" s="49" t="s">
        <v>9</v>
      </c>
      <c r="I92" s="54" t="s">
        <v>9</v>
      </c>
      <c r="J92" s="48" t="s">
        <v>75</v>
      </c>
      <c r="K92" s="39" t="s">
        <v>1493</v>
      </c>
      <c r="L92" s="48" t="s">
        <v>75</v>
      </c>
      <c r="M92" s="39" t="s">
        <v>688</v>
      </c>
      <c r="N92" s="48" t="s">
        <v>9</v>
      </c>
      <c r="O92" s="39" t="s">
        <v>9</v>
      </c>
      <c r="P92" s="48" t="s">
        <v>9</v>
      </c>
      <c r="Q92" s="34" t="s">
        <v>9</v>
      </c>
      <c r="R92" s="48" t="s">
        <v>9</v>
      </c>
      <c r="S92" s="74" t="s">
        <v>9</v>
      </c>
      <c r="T92" s="48" t="s">
        <v>9</v>
      </c>
      <c r="U92" s="74" t="s">
        <v>9</v>
      </c>
      <c r="V92" s="48" t="s">
        <v>9</v>
      </c>
      <c r="W92" s="39" t="s">
        <v>9</v>
      </c>
      <c r="X92" s="48" t="s">
        <v>1516</v>
      </c>
      <c r="Y92" s="39" t="s">
        <v>424</v>
      </c>
      <c r="Z92" s="48" t="s">
        <v>9</v>
      </c>
      <c r="AA92" s="74" t="s">
        <v>9</v>
      </c>
      <c r="AB92" s="48" t="s">
        <v>9</v>
      </c>
      <c r="AC92" s="74" t="s">
        <v>9</v>
      </c>
      <c r="AD92" s="48" t="s">
        <v>9</v>
      </c>
      <c r="AE92" s="74" t="s">
        <v>9</v>
      </c>
      <c r="AF92" s="48" t="s">
        <v>9</v>
      </c>
      <c r="AG92" s="74" t="s">
        <v>9</v>
      </c>
      <c r="AH92" s="48" t="s">
        <v>9</v>
      </c>
      <c r="AI92" s="74" t="s">
        <v>9</v>
      </c>
      <c r="AJ92" s="48" t="s">
        <v>9</v>
      </c>
      <c r="AK92" s="74" t="s">
        <v>9</v>
      </c>
      <c r="AL92" s="48" t="s">
        <v>9</v>
      </c>
      <c r="AM92" s="74" t="s">
        <v>9</v>
      </c>
      <c r="AN92" s="48" t="s">
        <v>9</v>
      </c>
      <c r="AO92" s="39" t="s">
        <v>9</v>
      </c>
      <c r="AP92" s="48" t="s">
        <v>9</v>
      </c>
      <c r="AQ92" s="39" t="s">
        <v>9</v>
      </c>
      <c r="AR92" s="48" t="s">
        <v>9</v>
      </c>
      <c r="AS92" s="39" t="s">
        <v>9</v>
      </c>
      <c r="AT92" s="48" t="s">
        <v>9</v>
      </c>
      <c r="AU92" s="74" t="s">
        <v>9</v>
      </c>
      <c r="AV92" s="48" t="s">
        <v>9</v>
      </c>
      <c r="AW92" s="74" t="s">
        <v>9</v>
      </c>
    </row>
    <row r="93" spans="1:49" ht="6.75" customHeight="1" x14ac:dyDescent="0.4">
      <c r="A93" s="66">
        <v>93</v>
      </c>
      <c r="B93" s="62" t="s">
        <v>633</v>
      </c>
      <c r="C93" s="1" t="s">
        <v>134</v>
      </c>
      <c r="D93" s="49" t="s">
        <v>9</v>
      </c>
      <c r="E93" s="54" t="s">
        <v>9</v>
      </c>
      <c r="F93" s="49" t="s">
        <v>9</v>
      </c>
      <c r="G93" s="54" t="s">
        <v>9</v>
      </c>
      <c r="H93" s="49" t="s">
        <v>9</v>
      </c>
      <c r="I93" s="54" t="s">
        <v>9</v>
      </c>
      <c r="J93" s="48" t="s">
        <v>75</v>
      </c>
      <c r="K93" s="39" t="s">
        <v>1493</v>
      </c>
      <c r="L93" s="48" t="s">
        <v>75</v>
      </c>
      <c r="M93" s="36" t="s">
        <v>436</v>
      </c>
      <c r="N93" s="48" t="s">
        <v>76</v>
      </c>
      <c r="O93" s="39">
        <v>1.6</v>
      </c>
      <c r="P93" s="48" t="s">
        <v>77</v>
      </c>
      <c r="Q93" s="58">
        <v>16</v>
      </c>
      <c r="R93" s="48" t="s">
        <v>78</v>
      </c>
      <c r="S93" s="76">
        <v>243</v>
      </c>
      <c r="T93" s="48" t="s">
        <v>344</v>
      </c>
      <c r="U93" s="74">
        <v>11</v>
      </c>
      <c r="V93" s="50" t="s">
        <v>84</v>
      </c>
      <c r="W93" s="51" t="s">
        <v>437</v>
      </c>
      <c r="X93" s="48" t="s">
        <v>1516</v>
      </c>
      <c r="Y93" s="39" t="s">
        <v>153</v>
      </c>
      <c r="Z93" s="48" t="s">
        <v>154</v>
      </c>
      <c r="AA93" s="74">
        <v>0.41</v>
      </c>
      <c r="AB93" s="48" t="s">
        <v>155</v>
      </c>
      <c r="AC93" s="74">
        <v>1.02</v>
      </c>
      <c r="AD93" s="48" t="s">
        <v>156</v>
      </c>
      <c r="AE93" s="74">
        <v>0.9</v>
      </c>
      <c r="AF93" s="48" t="s">
        <v>157</v>
      </c>
      <c r="AG93" s="74">
        <v>0.7</v>
      </c>
      <c r="AH93" s="48" t="s">
        <v>158</v>
      </c>
      <c r="AI93" s="74">
        <v>0.47</v>
      </c>
      <c r="AJ93" s="48" t="s">
        <v>159</v>
      </c>
      <c r="AK93" s="74">
        <v>0.44</v>
      </c>
      <c r="AL93" s="48" t="s">
        <v>160</v>
      </c>
      <c r="AM93" s="74">
        <v>0.8</v>
      </c>
      <c r="AN93" s="48" t="s">
        <v>9</v>
      </c>
      <c r="AO93" s="39" t="s">
        <v>9</v>
      </c>
      <c r="AP93" s="48" t="s">
        <v>9</v>
      </c>
      <c r="AQ93" s="39" t="s">
        <v>9</v>
      </c>
      <c r="AR93" s="48" t="s">
        <v>9</v>
      </c>
      <c r="AS93" s="39" t="s">
        <v>9</v>
      </c>
      <c r="AT93" s="48" t="s">
        <v>9</v>
      </c>
      <c r="AU93" s="74" t="s">
        <v>9</v>
      </c>
      <c r="AV93" s="48" t="s">
        <v>9</v>
      </c>
      <c r="AW93" s="74" t="s">
        <v>9</v>
      </c>
    </row>
    <row r="94" spans="1:49" ht="6.75" customHeight="1" x14ac:dyDescent="0.4">
      <c r="A94" s="66">
        <v>94</v>
      </c>
      <c r="B94" s="62" t="s">
        <v>634</v>
      </c>
      <c r="C94" s="1" t="s">
        <v>134</v>
      </c>
      <c r="D94" s="49" t="s">
        <v>9</v>
      </c>
      <c r="E94" s="54" t="s">
        <v>9</v>
      </c>
      <c r="F94" s="49" t="s">
        <v>9</v>
      </c>
      <c r="G94" s="54" t="s">
        <v>9</v>
      </c>
      <c r="H94" s="49" t="s">
        <v>9</v>
      </c>
      <c r="I94" s="54" t="s">
        <v>9</v>
      </c>
      <c r="J94" s="48" t="s">
        <v>75</v>
      </c>
      <c r="K94" s="39" t="s">
        <v>1493</v>
      </c>
      <c r="L94" s="48" t="s">
        <v>75</v>
      </c>
      <c r="M94" s="36" t="s">
        <v>438</v>
      </c>
      <c r="N94" s="48" t="s">
        <v>76</v>
      </c>
      <c r="O94" s="39">
        <v>1.6</v>
      </c>
      <c r="P94" s="48" t="s">
        <v>77</v>
      </c>
      <c r="Q94" s="58">
        <v>16</v>
      </c>
      <c r="R94" s="48" t="s">
        <v>78</v>
      </c>
      <c r="S94" s="76">
        <v>274</v>
      </c>
      <c r="T94" s="48" t="s">
        <v>344</v>
      </c>
      <c r="U94" s="74">
        <v>11</v>
      </c>
      <c r="V94" s="50" t="s">
        <v>84</v>
      </c>
      <c r="W94" s="51" t="s">
        <v>437</v>
      </c>
      <c r="X94" s="48" t="s">
        <v>1516</v>
      </c>
      <c r="Y94" s="39" t="s">
        <v>153</v>
      </c>
      <c r="Z94" s="48" t="s">
        <v>154</v>
      </c>
      <c r="AA94" s="74">
        <v>0.45</v>
      </c>
      <c r="AB94" s="48" t="s">
        <v>155</v>
      </c>
      <c r="AC94" s="74">
        <v>0.96</v>
      </c>
      <c r="AD94" s="48" t="s">
        <v>156</v>
      </c>
      <c r="AE94" s="74">
        <v>0.92</v>
      </c>
      <c r="AF94" s="48" t="s">
        <v>157</v>
      </c>
      <c r="AG94" s="74">
        <v>0.62</v>
      </c>
      <c r="AH94" s="48" t="s">
        <v>158</v>
      </c>
      <c r="AI94" s="74">
        <v>0.41</v>
      </c>
      <c r="AJ94" s="48" t="s">
        <v>159</v>
      </c>
      <c r="AK94" s="74">
        <v>0.41</v>
      </c>
      <c r="AL94" s="48" t="s">
        <v>160</v>
      </c>
      <c r="AM94" s="74">
        <v>0.75</v>
      </c>
      <c r="AN94" s="48" t="s">
        <v>9</v>
      </c>
      <c r="AO94" s="39" t="s">
        <v>9</v>
      </c>
      <c r="AP94" s="48" t="s">
        <v>9</v>
      </c>
      <c r="AQ94" s="39" t="s">
        <v>9</v>
      </c>
      <c r="AR94" s="48" t="s">
        <v>9</v>
      </c>
      <c r="AS94" s="39" t="s">
        <v>9</v>
      </c>
      <c r="AT94" s="48" t="s">
        <v>9</v>
      </c>
      <c r="AU94" s="74" t="s">
        <v>9</v>
      </c>
      <c r="AV94" s="48" t="s">
        <v>9</v>
      </c>
      <c r="AW94" s="74" t="s">
        <v>9</v>
      </c>
    </row>
    <row r="95" spans="1:49" s="60" customFormat="1" ht="6.75" customHeight="1" x14ac:dyDescent="0.4">
      <c r="A95" s="66">
        <v>95</v>
      </c>
      <c r="B95" s="38" t="s">
        <v>440</v>
      </c>
      <c r="C95" s="1" t="s">
        <v>628</v>
      </c>
      <c r="D95" s="49" t="s">
        <v>1484</v>
      </c>
      <c r="E95" s="55" t="s">
        <v>418</v>
      </c>
      <c r="F95" s="49" t="s">
        <v>9</v>
      </c>
      <c r="G95" s="54" t="s">
        <v>9</v>
      </c>
      <c r="H95" s="49" t="s">
        <v>9</v>
      </c>
      <c r="I95" s="54" t="s">
        <v>9</v>
      </c>
      <c r="J95" s="48" t="s">
        <v>75</v>
      </c>
      <c r="K95" s="39" t="s">
        <v>1493</v>
      </c>
      <c r="L95" s="48" t="s">
        <v>75</v>
      </c>
      <c r="M95" s="39" t="s">
        <v>441</v>
      </c>
      <c r="N95" s="48" t="s">
        <v>9</v>
      </c>
      <c r="O95" s="39" t="s">
        <v>9</v>
      </c>
      <c r="P95" s="48" t="s">
        <v>9</v>
      </c>
      <c r="Q95" s="34" t="s">
        <v>9</v>
      </c>
      <c r="R95" s="48" t="s">
        <v>9</v>
      </c>
      <c r="S95" s="74" t="s">
        <v>9</v>
      </c>
      <c r="T95" s="48" t="s">
        <v>9</v>
      </c>
      <c r="U95" s="74" t="s">
        <v>9</v>
      </c>
      <c r="V95" s="48" t="s">
        <v>9</v>
      </c>
      <c r="W95" s="39" t="s">
        <v>9</v>
      </c>
      <c r="X95" s="48" t="s">
        <v>1516</v>
      </c>
      <c r="Y95" s="39" t="s">
        <v>407</v>
      </c>
      <c r="Z95" s="48" t="s">
        <v>9</v>
      </c>
      <c r="AA95" s="74" t="s">
        <v>9</v>
      </c>
      <c r="AB95" s="48" t="s">
        <v>9</v>
      </c>
      <c r="AC95" s="74" t="s">
        <v>9</v>
      </c>
      <c r="AD95" s="48" t="s">
        <v>9</v>
      </c>
      <c r="AE95" s="74" t="s">
        <v>9</v>
      </c>
      <c r="AF95" s="48" t="s">
        <v>9</v>
      </c>
      <c r="AG95" s="74" t="s">
        <v>9</v>
      </c>
      <c r="AH95" s="48" t="s">
        <v>9</v>
      </c>
      <c r="AI95" s="74" t="s">
        <v>9</v>
      </c>
      <c r="AJ95" s="48" t="s">
        <v>9</v>
      </c>
      <c r="AK95" s="74" t="s">
        <v>9</v>
      </c>
      <c r="AL95" s="48" t="s">
        <v>9</v>
      </c>
      <c r="AM95" s="74" t="s">
        <v>9</v>
      </c>
      <c r="AN95" s="48" t="s">
        <v>9</v>
      </c>
      <c r="AO95" s="39" t="s">
        <v>9</v>
      </c>
      <c r="AP95" s="48" t="s">
        <v>120</v>
      </c>
      <c r="AQ95" s="39" t="s">
        <v>1496</v>
      </c>
      <c r="AR95" s="48" t="s">
        <v>121</v>
      </c>
      <c r="AS95" s="39" t="s">
        <v>1499</v>
      </c>
      <c r="AT95" s="48" t="s">
        <v>9</v>
      </c>
      <c r="AU95" s="74" t="s">
        <v>9</v>
      </c>
      <c r="AV95" s="48" t="s">
        <v>9</v>
      </c>
      <c r="AW95" s="74" t="s">
        <v>9</v>
      </c>
    </row>
    <row r="96" spans="1:49" s="60" customFormat="1" ht="6.75" customHeight="1" x14ac:dyDescent="0.4">
      <c r="A96" s="66">
        <v>96</v>
      </c>
      <c r="B96" s="38" t="s">
        <v>442</v>
      </c>
      <c r="C96" s="1" t="s">
        <v>629</v>
      </c>
      <c r="D96" s="49" t="s">
        <v>1484</v>
      </c>
      <c r="E96" s="55" t="s">
        <v>418</v>
      </c>
      <c r="F96" s="49" t="s">
        <v>9</v>
      </c>
      <c r="G96" s="54" t="s">
        <v>9</v>
      </c>
      <c r="H96" s="49" t="s">
        <v>9</v>
      </c>
      <c r="I96" s="54" t="s">
        <v>9</v>
      </c>
      <c r="J96" s="48" t="s">
        <v>75</v>
      </c>
      <c r="K96" s="39" t="s">
        <v>1493</v>
      </c>
      <c r="L96" s="48" t="s">
        <v>75</v>
      </c>
      <c r="M96" s="39" t="s">
        <v>443</v>
      </c>
      <c r="N96" s="48" t="s">
        <v>9</v>
      </c>
      <c r="O96" s="39" t="s">
        <v>9</v>
      </c>
      <c r="P96" s="48" t="s">
        <v>9</v>
      </c>
      <c r="Q96" s="34" t="s">
        <v>9</v>
      </c>
      <c r="R96" s="48" t="s">
        <v>9</v>
      </c>
      <c r="S96" s="74" t="s">
        <v>9</v>
      </c>
      <c r="T96" s="48" t="s">
        <v>9</v>
      </c>
      <c r="U96" s="74" t="s">
        <v>9</v>
      </c>
      <c r="V96" s="48" t="s">
        <v>9</v>
      </c>
      <c r="W96" s="39" t="s">
        <v>9</v>
      </c>
      <c r="X96" s="48" t="s">
        <v>1516</v>
      </c>
      <c r="Y96" s="39" t="s">
        <v>407</v>
      </c>
      <c r="Z96" s="48" t="s">
        <v>9</v>
      </c>
      <c r="AA96" s="74" t="s">
        <v>9</v>
      </c>
      <c r="AB96" s="48" t="s">
        <v>9</v>
      </c>
      <c r="AC96" s="74" t="s">
        <v>9</v>
      </c>
      <c r="AD96" s="48" t="s">
        <v>9</v>
      </c>
      <c r="AE96" s="74" t="s">
        <v>9</v>
      </c>
      <c r="AF96" s="48" t="s">
        <v>9</v>
      </c>
      <c r="AG96" s="74" t="s">
        <v>9</v>
      </c>
      <c r="AH96" s="48" t="s">
        <v>9</v>
      </c>
      <c r="AI96" s="74" t="s">
        <v>9</v>
      </c>
      <c r="AJ96" s="48" t="s">
        <v>9</v>
      </c>
      <c r="AK96" s="74" t="s">
        <v>9</v>
      </c>
      <c r="AL96" s="48" t="s">
        <v>9</v>
      </c>
      <c r="AM96" s="74" t="s">
        <v>9</v>
      </c>
      <c r="AN96" s="48" t="s">
        <v>9</v>
      </c>
      <c r="AO96" s="39" t="s">
        <v>9</v>
      </c>
      <c r="AP96" s="48" t="s">
        <v>120</v>
      </c>
      <c r="AQ96" s="39" t="s">
        <v>1496</v>
      </c>
      <c r="AR96" s="48" t="s">
        <v>121</v>
      </c>
      <c r="AS96" s="39" t="s">
        <v>1499</v>
      </c>
      <c r="AT96" s="48" t="s">
        <v>9</v>
      </c>
      <c r="AU96" s="74" t="s">
        <v>9</v>
      </c>
      <c r="AV96" s="48" t="s">
        <v>9</v>
      </c>
      <c r="AW96" s="74" t="s">
        <v>9</v>
      </c>
    </row>
    <row r="97" spans="1:49" s="60" customFormat="1" ht="6.75" customHeight="1" x14ac:dyDescent="0.4">
      <c r="A97" s="66">
        <v>97</v>
      </c>
      <c r="B97" s="38" t="s">
        <v>444</v>
      </c>
      <c r="C97" s="1" t="s">
        <v>679</v>
      </c>
      <c r="D97" s="49" t="s">
        <v>1484</v>
      </c>
      <c r="E97" s="55" t="s">
        <v>420</v>
      </c>
      <c r="F97" s="49" t="s">
        <v>9</v>
      </c>
      <c r="G97" s="54" t="s">
        <v>9</v>
      </c>
      <c r="H97" s="49" t="s">
        <v>9</v>
      </c>
      <c r="I97" s="54" t="s">
        <v>9</v>
      </c>
      <c r="J97" s="48" t="s">
        <v>75</v>
      </c>
      <c r="K97" s="39" t="s">
        <v>1493</v>
      </c>
      <c r="L97" s="48" t="s">
        <v>75</v>
      </c>
      <c r="M97" s="39" t="s">
        <v>445</v>
      </c>
      <c r="N97" s="48" t="s">
        <v>9</v>
      </c>
      <c r="O97" s="39" t="s">
        <v>9</v>
      </c>
      <c r="P97" s="48" t="s">
        <v>9</v>
      </c>
      <c r="Q97" s="34" t="s">
        <v>9</v>
      </c>
      <c r="R97" s="48" t="s">
        <v>9</v>
      </c>
      <c r="S97" s="74" t="s">
        <v>9</v>
      </c>
      <c r="T97" s="48" t="s">
        <v>9</v>
      </c>
      <c r="U97" s="74" t="s">
        <v>9</v>
      </c>
      <c r="V97" s="48" t="s">
        <v>9</v>
      </c>
      <c r="W97" s="39" t="s">
        <v>9</v>
      </c>
      <c r="X97" s="48" t="s">
        <v>1516</v>
      </c>
      <c r="Y97" s="39" t="s">
        <v>407</v>
      </c>
      <c r="Z97" s="48" t="s">
        <v>9</v>
      </c>
      <c r="AA97" s="74" t="s">
        <v>9</v>
      </c>
      <c r="AB97" s="48" t="s">
        <v>9</v>
      </c>
      <c r="AC97" s="74" t="s">
        <v>9</v>
      </c>
      <c r="AD97" s="48" t="s">
        <v>9</v>
      </c>
      <c r="AE97" s="74" t="s">
        <v>9</v>
      </c>
      <c r="AF97" s="48" t="s">
        <v>9</v>
      </c>
      <c r="AG97" s="74" t="s">
        <v>9</v>
      </c>
      <c r="AH97" s="48" t="s">
        <v>9</v>
      </c>
      <c r="AI97" s="74" t="s">
        <v>9</v>
      </c>
      <c r="AJ97" s="48" t="s">
        <v>9</v>
      </c>
      <c r="AK97" s="74" t="s">
        <v>9</v>
      </c>
      <c r="AL97" s="48" t="s">
        <v>9</v>
      </c>
      <c r="AM97" s="74" t="s">
        <v>9</v>
      </c>
      <c r="AN97" s="48" t="s">
        <v>9</v>
      </c>
      <c r="AO97" s="39" t="s">
        <v>9</v>
      </c>
      <c r="AP97" s="48" t="s">
        <v>120</v>
      </c>
      <c r="AQ97" s="39" t="s">
        <v>1496</v>
      </c>
      <c r="AR97" s="48" t="s">
        <v>121</v>
      </c>
      <c r="AS97" s="39" t="s">
        <v>1499</v>
      </c>
      <c r="AT97" s="48" t="s">
        <v>9</v>
      </c>
      <c r="AU97" s="74" t="s">
        <v>9</v>
      </c>
      <c r="AV97" s="48" t="s">
        <v>9</v>
      </c>
      <c r="AW97" s="74" t="s">
        <v>9</v>
      </c>
    </row>
    <row r="98" spans="1:49" s="60" customFormat="1" ht="6.75" customHeight="1" x14ac:dyDescent="0.4">
      <c r="A98" s="66">
        <v>98</v>
      </c>
      <c r="B98" s="38" t="s">
        <v>446</v>
      </c>
      <c r="C98" s="1" t="s">
        <v>632</v>
      </c>
      <c r="D98" s="49" t="s">
        <v>439</v>
      </c>
      <c r="E98" s="55" t="s">
        <v>422</v>
      </c>
      <c r="F98" s="49" t="s">
        <v>9</v>
      </c>
      <c r="G98" s="54" t="s">
        <v>9</v>
      </c>
      <c r="H98" s="49" t="s">
        <v>9</v>
      </c>
      <c r="I98" s="54" t="s">
        <v>9</v>
      </c>
      <c r="J98" s="48" t="s">
        <v>75</v>
      </c>
      <c r="K98" s="39" t="s">
        <v>1493</v>
      </c>
      <c r="L98" s="48" t="s">
        <v>75</v>
      </c>
      <c r="M98" s="39" t="s">
        <v>447</v>
      </c>
      <c r="N98" s="48" t="s">
        <v>9</v>
      </c>
      <c r="O98" s="39" t="s">
        <v>9</v>
      </c>
      <c r="P98" s="48" t="s">
        <v>9</v>
      </c>
      <c r="Q98" s="34" t="s">
        <v>9</v>
      </c>
      <c r="R98" s="48" t="s">
        <v>9</v>
      </c>
      <c r="S98" s="74" t="s">
        <v>9</v>
      </c>
      <c r="T98" s="48" t="s">
        <v>9</v>
      </c>
      <c r="U98" s="74" t="s">
        <v>9</v>
      </c>
      <c r="V98" s="48" t="s">
        <v>9</v>
      </c>
      <c r="W98" s="39" t="s">
        <v>9</v>
      </c>
      <c r="X98" s="48" t="s">
        <v>1516</v>
      </c>
      <c r="Y98" s="39" t="s">
        <v>407</v>
      </c>
      <c r="Z98" s="48" t="s">
        <v>9</v>
      </c>
      <c r="AA98" s="74" t="s">
        <v>9</v>
      </c>
      <c r="AB98" s="48" t="s">
        <v>9</v>
      </c>
      <c r="AC98" s="74" t="s">
        <v>9</v>
      </c>
      <c r="AD98" s="48" t="s">
        <v>9</v>
      </c>
      <c r="AE98" s="74" t="s">
        <v>9</v>
      </c>
      <c r="AF98" s="48" t="s">
        <v>9</v>
      </c>
      <c r="AG98" s="74" t="s">
        <v>9</v>
      </c>
      <c r="AH98" s="48" t="s">
        <v>9</v>
      </c>
      <c r="AI98" s="74" t="s">
        <v>9</v>
      </c>
      <c r="AJ98" s="48" t="s">
        <v>9</v>
      </c>
      <c r="AK98" s="74" t="s">
        <v>9</v>
      </c>
      <c r="AL98" s="48" t="s">
        <v>9</v>
      </c>
      <c r="AM98" s="74" t="s">
        <v>9</v>
      </c>
      <c r="AN98" s="48" t="s">
        <v>9</v>
      </c>
      <c r="AO98" s="39" t="s">
        <v>9</v>
      </c>
      <c r="AP98" s="48" t="s">
        <v>120</v>
      </c>
      <c r="AQ98" s="39" t="s">
        <v>1496</v>
      </c>
      <c r="AR98" s="48" t="s">
        <v>121</v>
      </c>
      <c r="AS98" s="39" t="s">
        <v>1499</v>
      </c>
      <c r="AT98" s="48" t="s">
        <v>9</v>
      </c>
      <c r="AU98" s="74" t="s">
        <v>9</v>
      </c>
      <c r="AV98" s="48" t="s">
        <v>9</v>
      </c>
      <c r="AW98" s="74" t="s">
        <v>9</v>
      </c>
    </row>
    <row r="99" spans="1:49" s="60" customFormat="1" ht="6.75" customHeight="1" x14ac:dyDescent="0.4">
      <c r="A99" s="66">
        <v>99</v>
      </c>
      <c r="B99" s="38" t="s">
        <v>448</v>
      </c>
      <c r="C99" s="1" t="s">
        <v>630</v>
      </c>
      <c r="D99" s="49" t="s">
        <v>439</v>
      </c>
      <c r="E99" s="55" t="s">
        <v>430</v>
      </c>
      <c r="F99" s="49" t="s">
        <v>9</v>
      </c>
      <c r="G99" s="54" t="s">
        <v>9</v>
      </c>
      <c r="H99" s="49" t="s">
        <v>9</v>
      </c>
      <c r="I99" s="54" t="s">
        <v>9</v>
      </c>
      <c r="J99" s="48" t="s">
        <v>75</v>
      </c>
      <c r="K99" s="39" t="s">
        <v>1493</v>
      </c>
      <c r="L99" s="48" t="s">
        <v>75</v>
      </c>
      <c r="M99" s="39" t="s">
        <v>687</v>
      </c>
      <c r="N99" s="48" t="s">
        <v>9</v>
      </c>
      <c r="O99" s="39" t="s">
        <v>9</v>
      </c>
      <c r="P99" s="48" t="s">
        <v>9</v>
      </c>
      <c r="Q99" s="34" t="s">
        <v>9</v>
      </c>
      <c r="R99" s="48" t="s">
        <v>9</v>
      </c>
      <c r="S99" s="74" t="s">
        <v>9</v>
      </c>
      <c r="T99" s="48" t="s">
        <v>9</v>
      </c>
      <c r="U99" s="74" t="s">
        <v>9</v>
      </c>
      <c r="V99" s="48" t="s">
        <v>9</v>
      </c>
      <c r="W99" s="39" t="s">
        <v>9</v>
      </c>
      <c r="X99" s="48" t="s">
        <v>1516</v>
      </c>
      <c r="Y99" s="39" t="s">
        <v>407</v>
      </c>
      <c r="Z99" s="48" t="s">
        <v>9</v>
      </c>
      <c r="AA99" s="74" t="s">
        <v>9</v>
      </c>
      <c r="AB99" s="48" t="s">
        <v>9</v>
      </c>
      <c r="AC99" s="74" t="s">
        <v>9</v>
      </c>
      <c r="AD99" s="48" t="s">
        <v>9</v>
      </c>
      <c r="AE99" s="74" t="s">
        <v>9</v>
      </c>
      <c r="AF99" s="48" t="s">
        <v>9</v>
      </c>
      <c r="AG99" s="74" t="s">
        <v>9</v>
      </c>
      <c r="AH99" s="48" t="s">
        <v>9</v>
      </c>
      <c r="AI99" s="74" t="s">
        <v>9</v>
      </c>
      <c r="AJ99" s="48" t="s">
        <v>9</v>
      </c>
      <c r="AK99" s="74" t="s">
        <v>9</v>
      </c>
      <c r="AL99" s="48" t="s">
        <v>9</v>
      </c>
      <c r="AM99" s="74" t="s">
        <v>9</v>
      </c>
      <c r="AN99" s="48" t="s">
        <v>9</v>
      </c>
      <c r="AO99" s="39" t="s">
        <v>9</v>
      </c>
      <c r="AP99" s="48" t="s">
        <v>120</v>
      </c>
      <c r="AQ99" s="39" t="s">
        <v>1496</v>
      </c>
      <c r="AR99" s="48" t="s">
        <v>121</v>
      </c>
      <c r="AS99" s="39" t="s">
        <v>1499</v>
      </c>
      <c r="AT99" s="48" t="s">
        <v>9</v>
      </c>
      <c r="AU99" s="74" t="s">
        <v>9</v>
      </c>
      <c r="AV99" s="48" t="s">
        <v>9</v>
      </c>
      <c r="AW99" s="74" t="s">
        <v>9</v>
      </c>
    </row>
    <row r="100" spans="1:49" s="60" customFormat="1" ht="6.75" customHeight="1" x14ac:dyDescent="0.4">
      <c r="A100" s="66">
        <v>100</v>
      </c>
      <c r="B100" s="38" t="s">
        <v>449</v>
      </c>
      <c r="C100" s="1" t="s">
        <v>624</v>
      </c>
      <c r="D100" s="49" t="s">
        <v>451</v>
      </c>
      <c r="E100" s="55" t="s">
        <v>402</v>
      </c>
      <c r="F100" s="49" t="s">
        <v>452</v>
      </c>
      <c r="G100" s="55" t="s">
        <v>402</v>
      </c>
      <c r="H100" s="49" t="s">
        <v>453</v>
      </c>
      <c r="I100" s="54" t="s">
        <v>91</v>
      </c>
      <c r="J100" s="48" t="s">
        <v>75</v>
      </c>
      <c r="K100" s="39" t="s">
        <v>1493</v>
      </c>
      <c r="L100" s="48" t="s">
        <v>75</v>
      </c>
      <c r="M100" s="39" t="s">
        <v>450</v>
      </c>
      <c r="N100" s="48" t="s">
        <v>9</v>
      </c>
      <c r="O100" s="39" t="s">
        <v>9</v>
      </c>
      <c r="P100" s="48" t="s">
        <v>9</v>
      </c>
      <c r="Q100" s="34" t="s">
        <v>9</v>
      </c>
      <c r="R100" s="48" t="s">
        <v>9</v>
      </c>
      <c r="S100" s="74" t="s">
        <v>9</v>
      </c>
      <c r="T100" s="48" t="s">
        <v>9</v>
      </c>
      <c r="U100" s="74" t="s">
        <v>9</v>
      </c>
      <c r="V100" s="48" t="s">
        <v>454</v>
      </c>
      <c r="W100" s="39">
        <v>60</v>
      </c>
      <c r="X100" s="48" t="s">
        <v>1516</v>
      </c>
      <c r="Y100" s="39" t="s">
        <v>407</v>
      </c>
      <c r="Z100" s="48" t="s">
        <v>9</v>
      </c>
      <c r="AA100" s="74" t="s">
        <v>9</v>
      </c>
      <c r="AB100" s="48" t="s">
        <v>9</v>
      </c>
      <c r="AC100" s="74" t="s">
        <v>9</v>
      </c>
      <c r="AD100" s="48" t="s">
        <v>9</v>
      </c>
      <c r="AE100" s="74" t="s">
        <v>9</v>
      </c>
      <c r="AF100" s="48" t="s">
        <v>9</v>
      </c>
      <c r="AG100" s="74" t="s">
        <v>9</v>
      </c>
      <c r="AH100" s="48" t="s">
        <v>9</v>
      </c>
      <c r="AI100" s="74" t="s">
        <v>9</v>
      </c>
      <c r="AJ100" s="48" t="s">
        <v>9</v>
      </c>
      <c r="AK100" s="74" t="s">
        <v>9</v>
      </c>
      <c r="AL100" s="48" t="s">
        <v>9</v>
      </c>
      <c r="AM100" s="74" t="s">
        <v>9</v>
      </c>
      <c r="AN100" s="48" t="s">
        <v>9</v>
      </c>
      <c r="AO100" s="39" t="s">
        <v>9</v>
      </c>
      <c r="AP100" s="48" t="s">
        <v>120</v>
      </c>
      <c r="AQ100" s="39" t="s">
        <v>1496</v>
      </c>
      <c r="AR100" s="48" t="s">
        <v>121</v>
      </c>
      <c r="AS100" s="39" t="s">
        <v>1499</v>
      </c>
      <c r="AT100" s="48" t="s">
        <v>9</v>
      </c>
      <c r="AU100" s="74" t="s">
        <v>9</v>
      </c>
      <c r="AV100" s="48" t="s">
        <v>9</v>
      </c>
      <c r="AW100" s="74" t="s">
        <v>9</v>
      </c>
    </row>
    <row r="101" spans="1:49" s="60" customFormat="1" ht="6.75" customHeight="1" x14ac:dyDescent="0.4">
      <c r="A101" s="66">
        <v>101</v>
      </c>
      <c r="B101" s="38" t="s">
        <v>455</v>
      </c>
      <c r="C101" s="1" t="s">
        <v>624</v>
      </c>
      <c r="D101" s="49" t="s">
        <v>451</v>
      </c>
      <c r="E101" s="55" t="s">
        <v>402</v>
      </c>
      <c r="F101" s="49" t="s">
        <v>457</v>
      </c>
      <c r="G101" s="55" t="s">
        <v>402</v>
      </c>
      <c r="H101" s="49" t="s">
        <v>453</v>
      </c>
      <c r="I101" s="54" t="s">
        <v>91</v>
      </c>
      <c r="J101" s="48" t="s">
        <v>75</v>
      </c>
      <c r="K101" s="39" t="s">
        <v>1493</v>
      </c>
      <c r="L101" s="48" t="s">
        <v>75</v>
      </c>
      <c r="M101" s="39" t="s">
        <v>456</v>
      </c>
      <c r="N101" s="48" t="s">
        <v>9</v>
      </c>
      <c r="O101" s="39" t="s">
        <v>9</v>
      </c>
      <c r="P101" s="48" t="s">
        <v>9</v>
      </c>
      <c r="Q101" s="34" t="s">
        <v>9</v>
      </c>
      <c r="R101" s="48" t="s">
        <v>9</v>
      </c>
      <c r="S101" s="74" t="s">
        <v>9</v>
      </c>
      <c r="T101" s="48" t="s">
        <v>9</v>
      </c>
      <c r="U101" s="74" t="s">
        <v>9</v>
      </c>
      <c r="V101" s="48" t="s">
        <v>454</v>
      </c>
      <c r="W101" s="39">
        <v>120</v>
      </c>
      <c r="X101" s="48" t="s">
        <v>1516</v>
      </c>
      <c r="Y101" s="39" t="s">
        <v>407</v>
      </c>
      <c r="Z101" s="48" t="s">
        <v>9</v>
      </c>
      <c r="AA101" s="74" t="s">
        <v>9</v>
      </c>
      <c r="AB101" s="48" t="s">
        <v>9</v>
      </c>
      <c r="AC101" s="74" t="s">
        <v>9</v>
      </c>
      <c r="AD101" s="48" t="s">
        <v>9</v>
      </c>
      <c r="AE101" s="74" t="s">
        <v>9</v>
      </c>
      <c r="AF101" s="48" t="s">
        <v>9</v>
      </c>
      <c r="AG101" s="74" t="s">
        <v>9</v>
      </c>
      <c r="AH101" s="48" t="s">
        <v>9</v>
      </c>
      <c r="AI101" s="74" t="s">
        <v>9</v>
      </c>
      <c r="AJ101" s="48" t="s">
        <v>9</v>
      </c>
      <c r="AK101" s="74" t="s">
        <v>9</v>
      </c>
      <c r="AL101" s="48" t="s">
        <v>9</v>
      </c>
      <c r="AM101" s="74" t="s">
        <v>9</v>
      </c>
      <c r="AN101" s="48" t="s">
        <v>9</v>
      </c>
      <c r="AO101" s="39" t="s">
        <v>9</v>
      </c>
      <c r="AP101" s="48" t="s">
        <v>120</v>
      </c>
      <c r="AQ101" s="39" t="s">
        <v>1496</v>
      </c>
      <c r="AR101" s="48" t="s">
        <v>121</v>
      </c>
      <c r="AS101" s="39" t="s">
        <v>1499</v>
      </c>
      <c r="AT101" s="48" t="s">
        <v>9</v>
      </c>
      <c r="AU101" s="74" t="s">
        <v>9</v>
      </c>
      <c r="AV101" s="48" t="s">
        <v>9</v>
      </c>
      <c r="AW101" s="74" t="s">
        <v>9</v>
      </c>
    </row>
    <row r="102" spans="1:49" s="60" customFormat="1" ht="6.75" customHeight="1" x14ac:dyDescent="0.4">
      <c r="A102" s="66">
        <v>102</v>
      </c>
      <c r="B102" s="38" t="s">
        <v>458</v>
      </c>
      <c r="C102" s="1" t="s">
        <v>624</v>
      </c>
      <c r="D102" s="49" t="s">
        <v>451</v>
      </c>
      <c r="E102" s="55" t="s">
        <v>399</v>
      </c>
      <c r="F102" s="49" t="s">
        <v>457</v>
      </c>
      <c r="G102" s="55" t="s">
        <v>399</v>
      </c>
      <c r="H102" s="49" t="s">
        <v>453</v>
      </c>
      <c r="I102" s="54" t="s">
        <v>91</v>
      </c>
      <c r="J102" s="48" t="s">
        <v>75</v>
      </c>
      <c r="K102" s="39" t="s">
        <v>1493</v>
      </c>
      <c r="L102" s="48" t="s">
        <v>75</v>
      </c>
      <c r="M102" s="39" t="s">
        <v>456</v>
      </c>
      <c r="N102" s="48" t="s">
        <v>9</v>
      </c>
      <c r="O102" s="39" t="s">
        <v>9</v>
      </c>
      <c r="P102" s="48" t="s">
        <v>9</v>
      </c>
      <c r="Q102" s="34" t="s">
        <v>9</v>
      </c>
      <c r="R102" s="48" t="s">
        <v>9</v>
      </c>
      <c r="S102" s="74" t="s">
        <v>9</v>
      </c>
      <c r="T102" s="48" t="s">
        <v>9</v>
      </c>
      <c r="U102" s="74" t="s">
        <v>9</v>
      </c>
      <c r="V102" s="48" t="s">
        <v>454</v>
      </c>
      <c r="W102" s="39">
        <v>120</v>
      </c>
      <c r="X102" s="48" t="s">
        <v>1516</v>
      </c>
      <c r="Y102" s="39" t="s">
        <v>407</v>
      </c>
      <c r="Z102" s="48" t="s">
        <v>9</v>
      </c>
      <c r="AA102" s="74" t="s">
        <v>9</v>
      </c>
      <c r="AB102" s="48" t="s">
        <v>9</v>
      </c>
      <c r="AC102" s="74" t="s">
        <v>9</v>
      </c>
      <c r="AD102" s="48" t="s">
        <v>9</v>
      </c>
      <c r="AE102" s="74" t="s">
        <v>9</v>
      </c>
      <c r="AF102" s="48" t="s">
        <v>9</v>
      </c>
      <c r="AG102" s="74" t="s">
        <v>9</v>
      </c>
      <c r="AH102" s="48" t="s">
        <v>9</v>
      </c>
      <c r="AI102" s="74" t="s">
        <v>9</v>
      </c>
      <c r="AJ102" s="48" t="s">
        <v>9</v>
      </c>
      <c r="AK102" s="74" t="s">
        <v>9</v>
      </c>
      <c r="AL102" s="48" t="s">
        <v>9</v>
      </c>
      <c r="AM102" s="74" t="s">
        <v>9</v>
      </c>
      <c r="AN102" s="48" t="s">
        <v>9</v>
      </c>
      <c r="AO102" s="39" t="s">
        <v>9</v>
      </c>
      <c r="AP102" s="48" t="s">
        <v>120</v>
      </c>
      <c r="AQ102" s="39" t="s">
        <v>1496</v>
      </c>
      <c r="AR102" s="48" t="s">
        <v>121</v>
      </c>
      <c r="AS102" s="39" t="s">
        <v>1499</v>
      </c>
      <c r="AT102" s="48" t="s">
        <v>9</v>
      </c>
      <c r="AU102" s="74" t="s">
        <v>9</v>
      </c>
      <c r="AV102" s="48" t="s">
        <v>9</v>
      </c>
      <c r="AW102" s="74" t="s">
        <v>9</v>
      </c>
    </row>
    <row r="103" spans="1:49" s="60" customFormat="1" ht="6.75" customHeight="1" x14ac:dyDescent="0.4">
      <c r="A103" s="66">
        <v>103</v>
      </c>
      <c r="B103" s="38" t="s">
        <v>459</v>
      </c>
      <c r="C103" s="1" t="s">
        <v>624</v>
      </c>
      <c r="D103" s="49" t="s">
        <v>451</v>
      </c>
      <c r="E103" s="56" t="s">
        <v>361</v>
      </c>
      <c r="F103" s="49" t="s">
        <v>452</v>
      </c>
      <c r="G103" s="56" t="s">
        <v>361</v>
      </c>
      <c r="H103" s="49" t="s">
        <v>9</v>
      </c>
      <c r="I103" s="54" t="s">
        <v>9</v>
      </c>
      <c r="J103" s="48" t="s">
        <v>75</v>
      </c>
      <c r="K103" s="39" t="s">
        <v>1493</v>
      </c>
      <c r="L103" s="48" t="s">
        <v>75</v>
      </c>
      <c r="M103" s="36" t="s">
        <v>460</v>
      </c>
      <c r="N103" s="48" t="s">
        <v>9</v>
      </c>
      <c r="O103" s="39" t="s">
        <v>9</v>
      </c>
      <c r="P103" s="48" t="s">
        <v>9</v>
      </c>
      <c r="Q103" s="34" t="s">
        <v>9</v>
      </c>
      <c r="R103" s="48" t="s">
        <v>9</v>
      </c>
      <c r="S103" s="74" t="s">
        <v>9</v>
      </c>
      <c r="T103" s="48" t="s">
        <v>9</v>
      </c>
      <c r="U103" s="74" t="s">
        <v>9</v>
      </c>
      <c r="V103" s="48" t="s">
        <v>9</v>
      </c>
      <c r="W103" s="39" t="s">
        <v>9</v>
      </c>
      <c r="X103" s="48" t="s">
        <v>1516</v>
      </c>
      <c r="Y103" s="39" t="s">
        <v>407</v>
      </c>
      <c r="Z103" s="48" t="s">
        <v>9</v>
      </c>
      <c r="AA103" s="74" t="s">
        <v>9</v>
      </c>
      <c r="AB103" s="48" t="s">
        <v>9</v>
      </c>
      <c r="AC103" s="74" t="s">
        <v>9</v>
      </c>
      <c r="AD103" s="48" t="s">
        <v>9</v>
      </c>
      <c r="AE103" s="74" t="s">
        <v>9</v>
      </c>
      <c r="AF103" s="48" t="s">
        <v>9</v>
      </c>
      <c r="AG103" s="74" t="s">
        <v>9</v>
      </c>
      <c r="AH103" s="48" t="s">
        <v>9</v>
      </c>
      <c r="AI103" s="74" t="s">
        <v>9</v>
      </c>
      <c r="AJ103" s="48" t="s">
        <v>9</v>
      </c>
      <c r="AK103" s="74" t="s">
        <v>9</v>
      </c>
      <c r="AL103" s="48" t="s">
        <v>9</v>
      </c>
      <c r="AM103" s="74" t="s">
        <v>9</v>
      </c>
      <c r="AN103" s="48" t="s">
        <v>9</v>
      </c>
      <c r="AO103" s="39" t="s">
        <v>9</v>
      </c>
      <c r="AP103" s="48" t="s">
        <v>120</v>
      </c>
      <c r="AQ103" s="39" t="s">
        <v>1496</v>
      </c>
      <c r="AR103" s="48" t="s">
        <v>121</v>
      </c>
      <c r="AS103" s="39" t="s">
        <v>1499</v>
      </c>
      <c r="AT103" s="48" t="s">
        <v>9</v>
      </c>
      <c r="AU103" s="74" t="s">
        <v>9</v>
      </c>
      <c r="AV103" s="48" t="s">
        <v>9</v>
      </c>
      <c r="AW103" s="74" t="s">
        <v>9</v>
      </c>
    </row>
    <row r="104" spans="1:49" s="60" customFormat="1" ht="6.75" customHeight="1" x14ac:dyDescent="0.4">
      <c r="A104" s="66">
        <v>104</v>
      </c>
      <c r="B104" s="38" t="s">
        <v>461</v>
      </c>
      <c r="C104" s="1" t="s">
        <v>624</v>
      </c>
      <c r="D104" s="49" t="s">
        <v>451</v>
      </c>
      <c r="E104" s="56" t="s">
        <v>361</v>
      </c>
      <c r="F104" s="49" t="s">
        <v>452</v>
      </c>
      <c r="G104" s="56" t="s">
        <v>361</v>
      </c>
      <c r="H104" s="49" t="s">
        <v>9</v>
      </c>
      <c r="I104" s="54" t="s">
        <v>9</v>
      </c>
      <c r="J104" s="48" t="s">
        <v>75</v>
      </c>
      <c r="K104" s="39" t="s">
        <v>1493</v>
      </c>
      <c r="L104" s="48" t="s">
        <v>75</v>
      </c>
      <c r="M104" s="36" t="s">
        <v>460</v>
      </c>
      <c r="N104" s="48" t="s">
        <v>9</v>
      </c>
      <c r="O104" s="39" t="s">
        <v>9</v>
      </c>
      <c r="P104" s="48" t="s">
        <v>9</v>
      </c>
      <c r="Q104" s="34" t="s">
        <v>9</v>
      </c>
      <c r="R104" s="48" t="s">
        <v>9</v>
      </c>
      <c r="S104" s="74" t="s">
        <v>9</v>
      </c>
      <c r="T104" s="48" t="s">
        <v>9</v>
      </c>
      <c r="U104" s="74" t="s">
        <v>9</v>
      </c>
      <c r="V104" s="48" t="s">
        <v>9</v>
      </c>
      <c r="W104" s="39" t="s">
        <v>9</v>
      </c>
      <c r="X104" s="48" t="s">
        <v>1516</v>
      </c>
      <c r="Y104" s="39" t="s">
        <v>407</v>
      </c>
      <c r="Z104" s="48" t="s">
        <v>9</v>
      </c>
      <c r="AA104" s="74" t="s">
        <v>9</v>
      </c>
      <c r="AB104" s="48" t="s">
        <v>9</v>
      </c>
      <c r="AC104" s="74" t="s">
        <v>9</v>
      </c>
      <c r="AD104" s="48" t="s">
        <v>9</v>
      </c>
      <c r="AE104" s="74" t="s">
        <v>9</v>
      </c>
      <c r="AF104" s="48" t="s">
        <v>9</v>
      </c>
      <c r="AG104" s="74" t="s">
        <v>9</v>
      </c>
      <c r="AH104" s="48" t="s">
        <v>9</v>
      </c>
      <c r="AI104" s="74" t="s">
        <v>9</v>
      </c>
      <c r="AJ104" s="48" t="s">
        <v>9</v>
      </c>
      <c r="AK104" s="74" t="s">
        <v>9</v>
      </c>
      <c r="AL104" s="48" t="s">
        <v>9</v>
      </c>
      <c r="AM104" s="74" t="s">
        <v>9</v>
      </c>
      <c r="AN104" s="48" t="s">
        <v>9</v>
      </c>
      <c r="AO104" s="39" t="s">
        <v>9</v>
      </c>
      <c r="AP104" s="48" t="s">
        <v>120</v>
      </c>
      <c r="AQ104" s="39" t="s">
        <v>1496</v>
      </c>
      <c r="AR104" s="48" t="s">
        <v>121</v>
      </c>
      <c r="AS104" s="39" t="s">
        <v>1499</v>
      </c>
      <c r="AT104" s="48" t="s">
        <v>9</v>
      </c>
      <c r="AU104" s="74" t="s">
        <v>9</v>
      </c>
      <c r="AV104" s="48" t="s">
        <v>9</v>
      </c>
      <c r="AW104" s="74" t="s">
        <v>9</v>
      </c>
    </row>
    <row r="105" spans="1:49" s="60" customFormat="1" ht="6.75" customHeight="1" x14ac:dyDescent="0.4">
      <c r="A105" s="66">
        <v>105</v>
      </c>
      <c r="B105" s="38" t="s">
        <v>462</v>
      </c>
      <c r="C105" s="1" t="s">
        <v>624</v>
      </c>
      <c r="D105" s="49" t="s">
        <v>451</v>
      </c>
      <c r="E105" s="56" t="s">
        <v>361</v>
      </c>
      <c r="F105" s="49" t="s">
        <v>452</v>
      </c>
      <c r="G105" s="56" t="s">
        <v>361</v>
      </c>
      <c r="H105" s="49" t="s">
        <v>9</v>
      </c>
      <c r="I105" s="54" t="s">
        <v>9</v>
      </c>
      <c r="J105" s="48" t="s">
        <v>75</v>
      </c>
      <c r="K105" s="39" t="s">
        <v>1493</v>
      </c>
      <c r="L105" s="48" t="s">
        <v>75</v>
      </c>
      <c r="M105" s="36" t="s">
        <v>460</v>
      </c>
      <c r="N105" s="48" t="s">
        <v>9</v>
      </c>
      <c r="O105" s="39" t="s">
        <v>9</v>
      </c>
      <c r="P105" s="48" t="s">
        <v>9</v>
      </c>
      <c r="Q105" s="34" t="s">
        <v>9</v>
      </c>
      <c r="R105" s="48" t="s">
        <v>9</v>
      </c>
      <c r="S105" s="74" t="s">
        <v>9</v>
      </c>
      <c r="T105" s="48" t="s">
        <v>9</v>
      </c>
      <c r="U105" s="74" t="s">
        <v>9</v>
      </c>
      <c r="V105" s="48" t="s">
        <v>9</v>
      </c>
      <c r="W105" s="39" t="s">
        <v>9</v>
      </c>
      <c r="X105" s="48" t="s">
        <v>1516</v>
      </c>
      <c r="Y105" s="39" t="s">
        <v>407</v>
      </c>
      <c r="Z105" s="48" t="s">
        <v>9</v>
      </c>
      <c r="AA105" s="74" t="s">
        <v>9</v>
      </c>
      <c r="AB105" s="48" t="s">
        <v>9</v>
      </c>
      <c r="AC105" s="74" t="s">
        <v>9</v>
      </c>
      <c r="AD105" s="48" t="s">
        <v>9</v>
      </c>
      <c r="AE105" s="74" t="s">
        <v>9</v>
      </c>
      <c r="AF105" s="48" t="s">
        <v>9</v>
      </c>
      <c r="AG105" s="74" t="s">
        <v>9</v>
      </c>
      <c r="AH105" s="48" t="s">
        <v>9</v>
      </c>
      <c r="AI105" s="74" t="s">
        <v>9</v>
      </c>
      <c r="AJ105" s="48" t="s">
        <v>9</v>
      </c>
      <c r="AK105" s="74" t="s">
        <v>9</v>
      </c>
      <c r="AL105" s="48" t="s">
        <v>9</v>
      </c>
      <c r="AM105" s="74" t="s">
        <v>9</v>
      </c>
      <c r="AN105" s="48" t="s">
        <v>9</v>
      </c>
      <c r="AO105" s="39" t="s">
        <v>9</v>
      </c>
      <c r="AP105" s="48" t="s">
        <v>120</v>
      </c>
      <c r="AQ105" s="39" t="s">
        <v>1496</v>
      </c>
      <c r="AR105" s="48" t="s">
        <v>121</v>
      </c>
      <c r="AS105" s="39" t="s">
        <v>1499</v>
      </c>
      <c r="AT105" s="48" t="s">
        <v>9</v>
      </c>
      <c r="AU105" s="74" t="s">
        <v>9</v>
      </c>
      <c r="AV105" s="48" t="s">
        <v>9</v>
      </c>
      <c r="AW105" s="74" t="s">
        <v>9</v>
      </c>
    </row>
    <row r="106" spans="1:49" s="60" customFormat="1" ht="6.75" customHeight="1" x14ac:dyDescent="0.4">
      <c r="A106" s="66">
        <v>106</v>
      </c>
      <c r="B106" s="38" t="s">
        <v>463</v>
      </c>
      <c r="C106" s="1" t="s">
        <v>624</v>
      </c>
      <c r="D106" s="49" t="s">
        <v>451</v>
      </c>
      <c r="E106" s="56" t="s">
        <v>361</v>
      </c>
      <c r="F106" s="49" t="s">
        <v>452</v>
      </c>
      <c r="G106" s="56" t="s">
        <v>361</v>
      </c>
      <c r="H106" s="49" t="s">
        <v>9</v>
      </c>
      <c r="I106" s="54" t="s">
        <v>9</v>
      </c>
      <c r="J106" s="48" t="s">
        <v>75</v>
      </c>
      <c r="K106" s="39" t="s">
        <v>1493</v>
      </c>
      <c r="L106" s="48" t="s">
        <v>75</v>
      </c>
      <c r="M106" s="36" t="s">
        <v>460</v>
      </c>
      <c r="N106" s="48" t="s">
        <v>9</v>
      </c>
      <c r="O106" s="39" t="s">
        <v>9</v>
      </c>
      <c r="P106" s="48" t="s">
        <v>9</v>
      </c>
      <c r="Q106" s="34" t="s">
        <v>9</v>
      </c>
      <c r="R106" s="48" t="s">
        <v>9</v>
      </c>
      <c r="S106" s="74" t="s">
        <v>9</v>
      </c>
      <c r="T106" s="48" t="s">
        <v>9</v>
      </c>
      <c r="U106" s="74" t="s">
        <v>9</v>
      </c>
      <c r="V106" s="48" t="s">
        <v>9</v>
      </c>
      <c r="W106" s="39" t="s">
        <v>9</v>
      </c>
      <c r="X106" s="48" t="s">
        <v>1516</v>
      </c>
      <c r="Y106" s="39" t="s">
        <v>407</v>
      </c>
      <c r="Z106" s="48" t="s">
        <v>9</v>
      </c>
      <c r="AA106" s="74" t="s">
        <v>9</v>
      </c>
      <c r="AB106" s="48" t="s">
        <v>9</v>
      </c>
      <c r="AC106" s="74" t="s">
        <v>9</v>
      </c>
      <c r="AD106" s="48" t="s">
        <v>9</v>
      </c>
      <c r="AE106" s="74" t="s">
        <v>9</v>
      </c>
      <c r="AF106" s="48" t="s">
        <v>9</v>
      </c>
      <c r="AG106" s="74" t="s">
        <v>9</v>
      </c>
      <c r="AH106" s="48" t="s">
        <v>9</v>
      </c>
      <c r="AI106" s="74" t="s">
        <v>9</v>
      </c>
      <c r="AJ106" s="48" t="s">
        <v>9</v>
      </c>
      <c r="AK106" s="74" t="s">
        <v>9</v>
      </c>
      <c r="AL106" s="48" t="s">
        <v>9</v>
      </c>
      <c r="AM106" s="74" t="s">
        <v>9</v>
      </c>
      <c r="AN106" s="48" t="s">
        <v>9</v>
      </c>
      <c r="AO106" s="39" t="s">
        <v>9</v>
      </c>
      <c r="AP106" s="48" t="s">
        <v>120</v>
      </c>
      <c r="AQ106" s="39" t="s">
        <v>1496</v>
      </c>
      <c r="AR106" s="48" t="s">
        <v>121</v>
      </c>
      <c r="AS106" s="39" t="s">
        <v>1499</v>
      </c>
      <c r="AT106" s="48" t="s">
        <v>9</v>
      </c>
      <c r="AU106" s="74" t="s">
        <v>9</v>
      </c>
      <c r="AV106" s="48" t="s">
        <v>9</v>
      </c>
      <c r="AW106" s="74" t="s">
        <v>9</v>
      </c>
    </row>
    <row r="107" spans="1:49" s="60" customFormat="1" ht="6.75" customHeight="1" x14ac:dyDescent="0.4">
      <c r="A107" s="66">
        <v>107</v>
      </c>
      <c r="B107" s="38" t="s">
        <v>464</v>
      </c>
      <c r="C107" s="1" t="s">
        <v>624</v>
      </c>
      <c r="D107" s="49" t="s">
        <v>451</v>
      </c>
      <c r="E107" s="56" t="s">
        <v>361</v>
      </c>
      <c r="F107" s="49" t="s">
        <v>452</v>
      </c>
      <c r="G107" s="56" t="s">
        <v>361</v>
      </c>
      <c r="H107" s="49" t="s">
        <v>9</v>
      </c>
      <c r="I107" s="54" t="s">
        <v>9</v>
      </c>
      <c r="J107" s="48" t="s">
        <v>75</v>
      </c>
      <c r="K107" s="39" t="s">
        <v>1493</v>
      </c>
      <c r="L107" s="48" t="s">
        <v>75</v>
      </c>
      <c r="M107" s="36" t="s">
        <v>465</v>
      </c>
      <c r="N107" s="48" t="s">
        <v>9</v>
      </c>
      <c r="O107" s="39" t="s">
        <v>9</v>
      </c>
      <c r="P107" s="48" t="s">
        <v>9</v>
      </c>
      <c r="Q107" s="34" t="s">
        <v>9</v>
      </c>
      <c r="R107" s="48" t="s">
        <v>9</v>
      </c>
      <c r="S107" s="74" t="s">
        <v>9</v>
      </c>
      <c r="T107" s="48" t="s">
        <v>9</v>
      </c>
      <c r="U107" s="74" t="s">
        <v>9</v>
      </c>
      <c r="V107" s="48" t="s">
        <v>9</v>
      </c>
      <c r="W107" s="39" t="s">
        <v>9</v>
      </c>
      <c r="X107" s="48" t="s">
        <v>1516</v>
      </c>
      <c r="Y107" s="39" t="s">
        <v>407</v>
      </c>
      <c r="Z107" s="48" t="s">
        <v>9</v>
      </c>
      <c r="AA107" s="74" t="s">
        <v>9</v>
      </c>
      <c r="AB107" s="48" t="s">
        <v>9</v>
      </c>
      <c r="AC107" s="74" t="s">
        <v>9</v>
      </c>
      <c r="AD107" s="48" t="s">
        <v>9</v>
      </c>
      <c r="AE107" s="74" t="s">
        <v>9</v>
      </c>
      <c r="AF107" s="48" t="s">
        <v>9</v>
      </c>
      <c r="AG107" s="74" t="s">
        <v>9</v>
      </c>
      <c r="AH107" s="48" t="s">
        <v>9</v>
      </c>
      <c r="AI107" s="74" t="s">
        <v>9</v>
      </c>
      <c r="AJ107" s="48" t="s">
        <v>9</v>
      </c>
      <c r="AK107" s="74" t="s">
        <v>9</v>
      </c>
      <c r="AL107" s="48" t="s">
        <v>9</v>
      </c>
      <c r="AM107" s="74" t="s">
        <v>9</v>
      </c>
      <c r="AN107" s="48" t="s">
        <v>9</v>
      </c>
      <c r="AO107" s="39" t="s">
        <v>9</v>
      </c>
      <c r="AP107" s="48" t="s">
        <v>120</v>
      </c>
      <c r="AQ107" s="39" t="s">
        <v>1496</v>
      </c>
      <c r="AR107" s="48" t="s">
        <v>121</v>
      </c>
      <c r="AS107" s="39" t="s">
        <v>1499</v>
      </c>
      <c r="AT107" s="48" t="s">
        <v>9</v>
      </c>
      <c r="AU107" s="74" t="s">
        <v>9</v>
      </c>
      <c r="AV107" s="48" t="s">
        <v>9</v>
      </c>
      <c r="AW107" s="74" t="s">
        <v>9</v>
      </c>
    </row>
    <row r="108" spans="1:49" s="60" customFormat="1" ht="6.75" customHeight="1" x14ac:dyDescent="0.4">
      <c r="A108" s="66">
        <v>108</v>
      </c>
      <c r="B108" s="38" t="s">
        <v>466</v>
      </c>
      <c r="C108" s="1" t="s">
        <v>624</v>
      </c>
      <c r="D108" s="49" t="s">
        <v>451</v>
      </c>
      <c r="E108" s="56" t="s">
        <v>361</v>
      </c>
      <c r="F108" s="49" t="s">
        <v>452</v>
      </c>
      <c r="G108" s="56" t="s">
        <v>361</v>
      </c>
      <c r="H108" s="49" t="s">
        <v>9</v>
      </c>
      <c r="I108" s="54" t="s">
        <v>9</v>
      </c>
      <c r="J108" s="48" t="s">
        <v>75</v>
      </c>
      <c r="K108" s="39" t="s">
        <v>1493</v>
      </c>
      <c r="L108" s="48" t="s">
        <v>75</v>
      </c>
      <c r="M108" s="36" t="s">
        <v>465</v>
      </c>
      <c r="N108" s="48" t="s">
        <v>9</v>
      </c>
      <c r="O108" s="39" t="s">
        <v>9</v>
      </c>
      <c r="P108" s="48" t="s">
        <v>9</v>
      </c>
      <c r="Q108" s="34" t="s">
        <v>9</v>
      </c>
      <c r="R108" s="48" t="s">
        <v>9</v>
      </c>
      <c r="S108" s="74" t="s">
        <v>9</v>
      </c>
      <c r="T108" s="48" t="s">
        <v>9</v>
      </c>
      <c r="U108" s="74" t="s">
        <v>9</v>
      </c>
      <c r="V108" s="48" t="s">
        <v>9</v>
      </c>
      <c r="W108" s="39" t="s">
        <v>9</v>
      </c>
      <c r="X108" s="48" t="s">
        <v>1516</v>
      </c>
      <c r="Y108" s="39" t="s">
        <v>407</v>
      </c>
      <c r="Z108" s="48" t="s">
        <v>9</v>
      </c>
      <c r="AA108" s="74" t="s">
        <v>9</v>
      </c>
      <c r="AB108" s="48" t="s">
        <v>9</v>
      </c>
      <c r="AC108" s="74" t="s">
        <v>9</v>
      </c>
      <c r="AD108" s="48" t="s">
        <v>9</v>
      </c>
      <c r="AE108" s="74" t="s">
        <v>9</v>
      </c>
      <c r="AF108" s="48" t="s">
        <v>9</v>
      </c>
      <c r="AG108" s="74" t="s">
        <v>9</v>
      </c>
      <c r="AH108" s="48" t="s">
        <v>9</v>
      </c>
      <c r="AI108" s="74" t="s">
        <v>9</v>
      </c>
      <c r="AJ108" s="48" t="s">
        <v>9</v>
      </c>
      <c r="AK108" s="74" t="s">
        <v>9</v>
      </c>
      <c r="AL108" s="48" t="s">
        <v>9</v>
      </c>
      <c r="AM108" s="74" t="s">
        <v>9</v>
      </c>
      <c r="AN108" s="48" t="s">
        <v>9</v>
      </c>
      <c r="AO108" s="39" t="s">
        <v>9</v>
      </c>
      <c r="AP108" s="48" t="s">
        <v>120</v>
      </c>
      <c r="AQ108" s="39" t="s">
        <v>1496</v>
      </c>
      <c r="AR108" s="48" t="s">
        <v>121</v>
      </c>
      <c r="AS108" s="39" t="s">
        <v>1499</v>
      </c>
      <c r="AT108" s="48" t="s">
        <v>9</v>
      </c>
      <c r="AU108" s="74" t="s">
        <v>9</v>
      </c>
      <c r="AV108" s="48" t="s">
        <v>9</v>
      </c>
      <c r="AW108" s="74" t="s">
        <v>9</v>
      </c>
    </row>
    <row r="109" spans="1:49" s="60" customFormat="1" ht="6.75" customHeight="1" x14ac:dyDescent="0.4">
      <c r="A109" s="66">
        <v>109</v>
      </c>
      <c r="B109" s="38" t="s">
        <v>467</v>
      </c>
      <c r="C109" s="1" t="s">
        <v>624</v>
      </c>
      <c r="D109" s="49" t="s">
        <v>451</v>
      </c>
      <c r="E109" s="56" t="s">
        <v>361</v>
      </c>
      <c r="F109" s="49" t="s">
        <v>452</v>
      </c>
      <c r="G109" s="56" t="s">
        <v>361</v>
      </c>
      <c r="H109" s="49" t="s">
        <v>9</v>
      </c>
      <c r="I109" s="54" t="s">
        <v>9</v>
      </c>
      <c r="J109" s="48" t="s">
        <v>75</v>
      </c>
      <c r="K109" s="39" t="s">
        <v>1493</v>
      </c>
      <c r="L109" s="48" t="s">
        <v>75</v>
      </c>
      <c r="M109" s="36" t="s">
        <v>465</v>
      </c>
      <c r="N109" s="48" t="s">
        <v>9</v>
      </c>
      <c r="O109" s="39" t="s">
        <v>9</v>
      </c>
      <c r="P109" s="48" t="s">
        <v>9</v>
      </c>
      <c r="Q109" s="34" t="s">
        <v>9</v>
      </c>
      <c r="R109" s="48" t="s">
        <v>9</v>
      </c>
      <c r="S109" s="74" t="s">
        <v>9</v>
      </c>
      <c r="T109" s="48" t="s">
        <v>9</v>
      </c>
      <c r="U109" s="74" t="s">
        <v>9</v>
      </c>
      <c r="V109" s="48" t="s">
        <v>9</v>
      </c>
      <c r="W109" s="39" t="s">
        <v>9</v>
      </c>
      <c r="X109" s="48" t="s">
        <v>1516</v>
      </c>
      <c r="Y109" s="39" t="s">
        <v>407</v>
      </c>
      <c r="Z109" s="48" t="s">
        <v>9</v>
      </c>
      <c r="AA109" s="74" t="s">
        <v>9</v>
      </c>
      <c r="AB109" s="48" t="s">
        <v>9</v>
      </c>
      <c r="AC109" s="74" t="s">
        <v>9</v>
      </c>
      <c r="AD109" s="48" t="s">
        <v>9</v>
      </c>
      <c r="AE109" s="74" t="s">
        <v>9</v>
      </c>
      <c r="AF109" s="48" t="s">
        <v>9</v>
      </c>
      <c r="AG109" s="74" t="s">
        <v>9</v>
      </c>
      <c r="AH109" s="48" t="s">
        <v>9</v>
      </c>
      <c r="AI109" s="74" t="s">
        <v>9</v>
      </c>
      <c r="AJ109" s="48" t="s">
        <v>9</v>
      </c>
      <c r="AK109" s="74" t="s">
        <v>9</v>
      </c>
      <c r="AL109" s="48" t="s">
        <v>9</v>
      </c>
      <c r="AM109" s="74" t="s">
        <v>9</v>
      </c>
      <c r="AN109" s="48" t="s">
        <v>9</v>
      </c>
      <c r="AO109" s="39" t="s">
        <v>9</v>
      </c>
      <c r="AP109" s="48" t="s">
        <v>120</v>
      </c>
      <c r="AQ109" s="39" t="s">
        <v>1496</v>
      </c>
      <c r="AR109" s="48" t="s">
        <v>121</v>
      </c>
      <c r="AS109" s="39" t="s">
        <v>1499</v>
      </c>
      <c r="AT109" s="48" t="s">
        <v>9</v>
      </c>
      <c r="AU109" s="74" t="s">
        <v>9</v>
      </c>
      <c r="AV109" s="48" t="s">
        <v>9</v>
      </c>
      <c r="AW109" s="74" t="s">
        <v>9</v>
      </c>
    </row>
    <row r="110" spans="1:49" s="60" customFormat="1" ht="6.75" customHeight="1" x14ac:dyDescent="0.4">
      <c r="A110" s="66">
        <v>110</v>
      </c>
      <c r="B110" s="38" t="s">
        <v>468</v>
      </c>
      <c r="C110" s="1" t="s">
        <v>624</v>
      </c>
      <c r="D110" s="49" t="s">
        <v>451</v>
      </c>
      <c r="E110" s="56" t="s">
        <v>361</v>
      </c>
      <c r="F110" s="49" t="s">
        <v>452</v>
      </c>
      <c r="G110" s="56" t="s">
        <v>361</v>
      </c>
      <c r="H110" s="49" t="s">
        <v>9</v>
      </c>
      <c r="I110" s="54" t="s">
        <v>9</v>
      </c>
      <c r="J110" s="48" t="s">
        <v>75</v>
      </c>
      <c r="K110" s="39" t="s">
        <v>1493</v>
      </c>
      <c r="L110" s="48" t="s">
        <v>75</v>
      </c>
      <c r="M110" s="36" t="s">
        <v>465</v>
      </c>
      <c r="N110" s="48" t="s">
        <v>9</v>
      </c>
      <c r="O110" s="39" t="s">
        <v>9</v>
      </c>
      <c r="P110" s="48" t="s">
        <v>9</v>
      </c>
      <c r="Q110" s="34" t="s">
        <v>9</v>
      </c>
      <c r="R110" s="48" t="s">
        <v>9</v>
      </c>
      <c r="S110" s="74" t="s">
        <v>9</v>
      </c>
      <c r="T110" s="48" t="s">
        <v>9</v>
      </c>
      <c r="U110" s="74" t="s">
        <v>9</v>
      </c>
      <c r="V110" s="48" t="s">
        <v>9</v>
      </c>
      <c r="W110" s="39" t="s">
        <v>9</v>
      </c>
      <c r="X110" s="48" t="s">
        <v>1516</v>
      </c>
      <c r="Y110" s="39" t="s">
        <v>407</v>
      </c>
      <c r="Z110" s="48" t="s">
        <v>9</v>
      </c>
      <c r="AA110" s="74" t="s">
        <v>9</v>
      </c>
      <c r="AB110" s="48" t="s">
        <v>9</v>
      </c>
      <c r="AC110" s="74" t="s">
        <v>9</v>
      </c>
      <c r="AD110" s="48" t="s">
        <v>9</v>
      </c>
      <c r="AE110" s="74" t="s">
        <v>9</v>
      </c>
      <c r="AF110" s="48" t="s">
        <v>9</v>
      </c>
      <c r="AG110" s="74" t="s">
        <v>9</v>
      </c>
      <c r="AH110" s="48" t="s">
        <v>9</v>
      </c>
      <c r="AI110" s="74" t="s">
        <v>9</v>
      </c>
      <c r="AJ110" s="48" t="s">
        <v>9</v>
      </c>
      <c r="AK110" s="74" t="s">
        <v>9</v>
      </c>
      <c r="AL110" s="48" t="s">
        <v>9</v>
      </c>
      <c r="AM110" s="74" t="s">
        <v>9</v>
      </c>
      <c r="AN110" s="48" t="s">
        <v>9</v>
      </c>
      <c r="AO110" s="39" t="s">
        <v>9</v>
      </c>
      <c r="AP110" s="48" t="s">
        <v>120</v>
      </c>
      <c r="AQ110" s="39" t="s">
        <v>1496</v>
      </c>
      <c r="AR110" s="48" t="s">
        <v>121</v>
      </c>
      <c r="AS110" s="39" t="s">
        <v>1499</v>
      </c>
      <c r="AT110" s="48" t="s">
        <v>9</v>
      </c>
      <c r="AU110" s="74" t="s">
        <v>9</v>
      </c>
      <c r="AV110" s="48" t="s">
        <v>9</v>
      </c>
      <c r="AW110" s="74" t="s">
        <v>9</v>
      </c>
    </row>
    <row r="111" spans="1:49" s="60" customFormat="1" ht="6.75" customHeight="1" x14ac:dyDescent="0.4">
      <c r="A111" s="66">
        <v>111</v>
      </c>
      <c r="B111" s="38" t="s">
        <v>469</v>
      </c>
      <c r="C111" s="1" t="s">
        <v>624</v>
      </c>
      <c r="D111" s="49" t="s">
        <v>451</v>
      </c>
      <c r="E111" s="55" t="s">
        <v>393</v>
      </c>
      <c r="F111" s="49" t="s">
        <v>9</v>
      </c>
      <c r="G111" s="54" t="s">
        <v>9</v>
      </c>
      <c r="H111" s="49" t="s">
        <v>9</v>
      </c>
      <c r="I111" s="54" t="s">
        <v>9</v>
      </c>
      <c r="J111" s="48" t="s">
        <v>75</v>
      </c>
      <c r="K111" s="39" t="s">
        <v>1493</v>
      </c>
      <c r="L111" s="48" t="s">
        <v>75</v>
      </c>
      <c r="M111" s="36" t="s">
        <v>470</v>
      </c>
      <c r="N111" s="48" t="s">
        <v>9</v>
      </c>
      <c r="O111" s="39" t="s">
        <v>9</v>
      </c>
      <c r="P111" s="48" t="s">
        <v>9</v>
      </c>
      <c r="Q111" s="34" t="s">
        <v>9</v>
      </c>
      <c r="R111" s="48" t="s">
        <v>9</v>
      </c>
      <c r="S111" s="74" t="s">
        <v>9</v>
      </c>
      <c r="T111" s="48" t="s">
        <v>9</v>
      </c>
      <c r="U111" s="74" t="s">
        <v>9</v>
      </c>
      <c r="V111" s="48" t="s">
        <v>9</v>
      </c>
      <c r="W111" s="39" t="s">
        <v>9</v>
      </c>
      <c r="X111" s="48" t="s">
        <v>1516</v>
      </c>
      <c r="Y111" s="39" t="s">
        <v>407</v>
      </c>
      <c r="Z111" s="48" t="s">
        <v>9</v>
      </c>
      <c r="AA111" s="74" t="s">
        <v>9</v>
      </c>
      <c r="AB111" s="48" t="s">
        <v>9</v>
      </c>
      <c r="AC111" s="74" t="s">
        <v>9</v>
      </c>
      <c r="AD111" s="48" t="s">
        <v>9</v>
      </c>
      <c r="AE111" s="74" t="s">
        <v>9</v>
      </c>
      <c r="AF111" s="48" t="s">
        <v>9</v>
      </c>
      <c r="AG111" s="74" t="s">
        <v>9</v>
      </c>
      <c r="AH111" s="48" t="s">
        <v>9</v>
      </c>
      <c r="AI111" s="74" t="s">
        <v>9</v>
      </c>
      <c r="AJ111" s="48" t="s">
        <v>9</v>
      </c>
      <c r="AK111" s="74" t="s">
        <v>9</v>
      </c>
      <c r="AL111" s="48" t="s">
        <v>9</v>
      </c>
      <c r="AM111" s="74" t="s">
        <v>9</v>
      </c>
      <c r="AN111" s="48" t="s">
        <v>9</v>
      </c>
      <c r="AO111" s="39" t="s">
        <v>9</v>
      </c>
      <c r="AP111" s="48" t="s">
        <v>120</v>
      </c>
      <c r="AQ111" s="39" t="s">
        <v>1496</v>
      </c>
      <c r="AR111" s="48" t="s">
        <v>121</v>
      </c>
      <c r="AS111" s="39" t="s">
        <v>1499</v>
      </c>
      <c r="AT111" s="48" t="s">
        <v>9</v>
      </c>
      <c r="AU111" s="74" t="s">
        <v>9</v>
      </c>
      <c r="AV111" s="48" t="s">
        <v>9</v>
      </c>
      <c r="AW111" s="74" t="s">
        <v>9</v>
      </c>
    </row>
    <row r="112" spans="1:49" s="60" customFormat="1" ht="6.75" customHeight="1" x14ac:dyDescent="0.4">
      <c r="A112" s="66">
        <v>112</v>
      </c>
      <c r="B112" s="38" t="s">
        <v>471</v>
      </c>
      <c r="C112" s="1" t="s">
        <v>624</v>
      </c>
      <c r="D112" s="49" t="s">
        <v>451</v>
      </c>
      <c r="E112" s="55" t="s">
        <v>396</v>
      </c>
      <c r="F112" s="49" t="s">
        <v>9</v>
      </c>
      <c r="G112" s="54" t="s">
        <v>9</v>
      </c>
      <c r="H112" s="49" t="s">
        <v>9</v>
      </c>
      <c r="I112" s="54" t="s">
        <v>9</v>
      </c>
      <c r="J112" s="48" t="s">
        <v>75</v>
      </c>
      <c r="K112" s="39" t="s">
        <v>1493</v>
      </c>
      <c r="L112" s="48" t="s">
        <v>75</v>
      </c>
      <c r="M112" s="36" t="s">
        <v>472</v>
      </c>
      <c r="N112" s="48" t="s">
        <v>9</v>
      </c>
      <c r="O112" s="39" t="s">
        <v>9</v>
      </c>
      <c r="P112" s="48" t="s">
        <v>9</v>
      </c>
      <c r="Q112" s="34" t="s">
        <v>9</v>
      </c>
      <c r="R112" s="48" t="s">
        <v>9</v>
      </c>
      <c r="S112" s="74" t="s">
        <v>9</v>
      </c>
      <c r="T112" s="48" t="s">
        <v>9</v>
      </c>
      <c r="U112" s="74" t="s">
        <v>9</v>
      </c>
      <c r="V112" s="48" t="s">
        <v>9</v>
      </c>
      <c r="W112" s="39" t="s">
        <v>9</v>
      </c>
      <c r="X112" s="48" t="s">
        <v>1516</v>
      </c>
      <c r="Y112" s="39" t="s">
        <v>407</v>
      </c>
      <c r="Z112" s="48" t="s">
        <v>9</v>
      </c>
      <c r="AA112" s="74" t="s">
        <v>9</v>
      </c>
      <c r="AB112" s="48" t="s">
        <v>9</v>
      </c>
      <c r="AC112" s="74" t="s">
        <v>9</v>
      </c>
      <c r="AD112" s="48" t="s">
        <v>9</v>
      </c>
      <c r="AE112" s="74" t="s">
        <v>9</v>
      </c>
      <c r="AF112" s="48" t="s">
        <v>9</v>
      </c>
      <c r="AG112" s="74" t="s">
        <v>9</v>
      </c>
      <c r="AH112" s="48" t="s">
        <v>9</v>
      </c>
      <c r="AI112" s="74" t="s">
        <v>9</v>
      </c>
      <c r="AJ112" s="48" t="s">
        <v>9</v>
      </c>
      <c r="AK112" s="74" t="s">
        <v>9</v>
      </c>
      <c r="AL112" s="48" t="s">
        <v>9</v>
      </c>
      <c r="AM112" s="74" t="s">
        <v>9</v>
      </c>
      <c r="AN112" s="48" t="s">
        <v>9</v>
      </c>
      <c r="AO112" s="39" t="s">
        <v>9</v>
      </c>
      <c r="AP112" s="48" t="s">
        <v>120</v>
      </c>
      <c r="AQ112" s="39" t="s">
        <v>1496</v>
      </c>
      <c r="AR112" s="48" t="s">
        <v>121</v>
      </c>
      <c r="AS112" s="39" t="s">
        <v>1499</v>
      </c>
      <c r="AT112" s="48" t="s">
        <v>9</v>
      </c>
      <c r="AU112" s="74" t="s">
        <v>9</v>
      </c>
      <c r="AV112" s="48" t="s">
        <v>9</v>
      </c>
      <c r="AW112" s="74" t="s">
        <v>9</v>
      </c>
    </row>
    <row r="113" spans="1:49" s="64" customFormat="1" ht="6.75" customHeight="1" x14ac:dyDescent="0.4">
      <c r="A113" s="66">
        <v>113</v>
      </c>
      <c r="B113" s="63" t="s">
        <v>1437</v>
      </c>
      <c r="C113" s="71" t="s">
        <v>873</v>
      </c>
      <c r="D113" s="49" t="s">
        <v>9</v>
      </c>
      <c r="E113" s="54" t="s">
        <v>9</v>
      </c>
      <c r="F113" s="49" t="s">
        <v>9</v>
      </c>
      <c r="G113" s="54" t="s">
        <v>9</v>
      </c>
      <c r="H113" s="49" t="s">
        <v>9</v>
      </c>
      <c r="I113" s="54" t="s">
        <v>9</v>
      </c>
      <c r="J113" s="48" t="s">
        <v>75</v>
      </c>
      <c r="K113" s="39" t="s">
        <v>1493</v>
      </c>
      <c r="L113" s="50" t="s">
        <v>75</v>
      </c>
      <c r="M113" s="51" t="s">
        <v>1440</v>
      </c>
      <c r="N113" s="50" t="s">
        <v>1441</v>
      </c>
      <c r="O113" s="51" t="s">
        <v>1442</v>
      </c>
      <c r="P113" s="50" t="s">
        <v>1443</v>
      </c>
      <c r="Q113" s="37">
        <v>4</v>
      </c>
      <c r="R113" s="50" t="s">
        <v>1438</v>
      </c>
      <c r="S113" s="75" t="s">
        <v>1439</v>
      </c>
      <c r="T113" s="48" t="s">
        <v>9</v>
      </c>
      <c r="U113" s="74" t="s">
        <v>9</v>
      </c>
      <c r="V113" s="48" t="s">
        <v>9</v>
      </c>
      <c r="W113" s="39" t="s">
        <v>9</v>
      </c>
      <c r="X113" s="48" t="s">
        <v>1516</v>
      </c>
      <c r="Y113" s="39" t="s">
        <v>1479</v>
      </c>
      <c r="Z113" s="50" t="s">
        <v>1444</v>
      </c>
      <c r="AA113" s="75">
        <v>550</v>
      </c>
      <c r="AB113" s="50" t="s">
        <v>1445</v>
      </c>
      <c r="AC113" s="75">
        <v>0</v>
      </c>
      <c r="AD113" s="48" t="s">
        <v>9</v>
      </c>
      <c r="AE113" s="74" t="s">
        <v>9</v>
      </c>
      <c r="AF113" s="48" t="s">
        <v>9</v>
      </c>
      <c r="AG113" s="74" t="s">
        <v>9</v>
      </c>
      <c r="AH113" s="48" t="s">
        <v>9</v>
      </c>
      <c r="AI113" s="74" t="s">
        <v>9</v>
      </c>
      <c r="AJ113" s="48" t="s">
        <v>9</v>
      </c>
      <c r="AK113" s="74" t="s">
        <v>9</v>
      </c>
      <c r="AL113" s="48" t="s">
        <v>9</v>
      </c>
      <c r="AM113" s="74" t="s">
        <v>9</v>
      </c>
      <c r="AN113" s="50" t="s">
        <v>1446</v>
      </c>
      <c r="AO113" s="51" t="s">
        <v>1480</v>
      </c>
      <c r="AP113" s="48" t="s">
        <v>120</v>
      </c>
      <c r="AQ113" s="39" t="s">
        <v>1497</v>
      </c>
      <c r="AR113" s="48" t="s">
        <v>121</v>
      </c>
      <c r="AS113" s="39" t="s">
        <v>1500</v>
      </c>
      <c r="AT113" s="48" t="s">
        <v>9</v>
      </c>
      <c r="AU113" s="74" t="s">
        <v>9</v>
      </c>
      <c r="AV113" s="48" t="s">
        <v>9</v>
      </c>
      <c r="AW113" s="74" t="s">
        <v>9</v>
      </c>
    </row>
    <row r="114" spans="1:49" s="64" customFormat="1" ht="6.75" customHeight="1" x14ac:dyDescent="0.4">
      <c r="A114" s="66">
        <v>114</v>
      </c>
      <c r="B114" s="63" t="s">
        <v>1447</v>
      </c>
      <c r="C114" s="71" t="s">
        <v>873</v>
      </c>
      <c r="D114" s="49" t="s">
        <v>9</v>
      </c>
      <c r="E114" s="54" t="s">
        <v>9</v>
      </c>
      <c r="F114" s="49" t="s">
        <v>9</v>
      </c>
      <c r="G114" s="54" t="s">
        <v>9</v>
      </c>
      <c r="H114" s="49" t="s">
        <v>9</v>
      </c>
      <c r="I114" s="54" t="s">
        <v>9</v>
      </c>
      <c r="J114" s="48" t="s">
        <v>75</v>
      </c>
      <c r="K114" s="39" t="s">
        <v>1493</v>
      </c>
      <c r="L114" s="50" t="s">
        <v>75</v>
      </c>
      <c r="M114" s="51" t="s">
        <v>1449</v>
      </c>
      <c r="N114" s="50" t="s">
        <v>1441</v>
      </c>
      <c r="O114" s="51" t="s">
        <v>1450</v>
      </c>
      <c r="P114" s="50" t="s">
        <v>1443</v>
      </c>
      <c r="Q114" s="37">
        <v>4</v>
      </c>
      <c r="R114" s="50" t="s">
        <v>1438</v>
      </c>
      <c r="S114" s="75" t="s">
        <v>1448</v>
      </c>
      <c r="T114" s="48" t="s">
        <v>9</v>
      </c>
      <c r="U114" s="74" t="s">
        <v>9</v>
      </c>
      <c r="V114" s="48" t="s">
        <v>9</v>
      </c>
      <c r="W114" s="39" t="s">
        <v>9</v>
      </c>
      <c r="X114" s="48" t="s">
        <v>1516</v>
      </c>
      <c r="Y114" s="39" t="s">
        <v>1479</v>
      </c>
      <c r="Z114" s="50" t="s">
        <v>1444</v>
      </c>
      <c r="AA114" s="75">
        <v>700</v>
      </c>
      <c r="AB114" s="50" t="s">
        <v>1445</v>
      </c>
      <c r="AC114" s="75">
        <v>0</v>
      </c>
      <c r="AD114" s="48" t="s">
        <v>9</v>
      </c>
      <c r="AE114" s="74" t="s">
        <v>9</v>
      </c>
      <c r="AF114" s="48" t="s">
        <v>9</v>
      </c>
      <c r="AG114" s="74" t="s">
        <v>9</v>
      </c>
      <c r="AH114" s="48" t="s">
        <v>9</v>
      </c>
      <c r="AI114" s="74" t="s">
        <v>9</v>
      </c>
      <c r="AJ114" s="48" t="s">
        <v>9</v>
      </c>
      <c r="AK114" s="74" t="s">
        <v>9</v>
      </c>
      <c r="AL114" s="48" t="s">
        <v>9</v>
      </c>
      <c r="AM114" s="74" t="s">
        <v>9</v>
      </c>
      <c r="AN114" s="50" t="s">
        <v>1446</v>
      </c>
      <c r="AO114" s="51" t="s">
        <v>1480</v>
      </c>
      <c r="AP114" s="48" t="s">
        <v>120</v>
      </c>
      <c r="AQ114" s="39" t="s">
        <v>1497</v>
      </c>
      <c r="AR114" s="48" t="s">
        <v>121</v>
      </c>
      <c r="AS114" s="39" t="s">
        <v>1500</v>
      </c>
      <c r="AT114" s="48" t="s">
        <v>9</v>
      </c>
      <c r="AU114" s="74" t="s">
        <v>9</v>
      </c>
      <c r="AV114" s="48" t="s">
        <v>9</v>
      </c>
      <c r="AW114" s="74" t="s">
        <v>9</v>
      </c>
    </row>
    <row r="115" spans="1:49" s="64" customFormat="1" ht="6.75" customHeight="1" x14ac:dyDescent="0.4">
      <c r="A115" s="66">
        <v>115</v>
      </c>
      <c r="B115" s="63" t="s">
        <v>1451</v>
      </c>
      <c r="C115" s="71" t="s">
        <v>873</v>
      </c>
      <c r="D115" s="49" t="s">
        <v>9</v>
      </c>
      <c r="E115" s="54" t="s">
        <v>9</v>
      </c>
      <c r="F115" s="49" t="s">
        <v>9</v>
      </c>
      <c r="G115" s="54" t="s">
        <v>9</v>
      </c>
      <c r="H115" s="49" t="s">
        <v>9</v>
      </c>
      <c r="I115" s="54" t="s">
        <v>9</v>
      </c>
      <c r="J115" s="48" t="s">
        <v>75</v>
      </c>
      <c r="K115" s="39" t="s">
        <v>1493</v>
      </c>
      <c r="L115" s="50" t="s">
        <v>75</v>
      </c>
      <c r="M115" s="51" t="s">
        <v>1449</v>
      </c>
      <c r="N115" s="50" t="s">
        <v>1441</v>
      </c>
      <c r="O115" s="51" t="s">
        <v>1450</v>
      </c>
      <c r="P115" s="50" t="s">
        <v>1443</v>
      </c>
      <c r="Q115" s="37">
        <v>5</v>
      </c>
      <c r="R115" s="50" t="s">
        <v>1438</v>
      </c>
      <c r="S115" s="75" t="s">
        <v>1452</v>
      </c>
      <c r="T115" s="48" t="s">
        <v>9</v>
      </c>
      <c r="U115" s="74" t="s">
        <v>9</v>
      </c>
      <c r="V115" s="48" t="s">
        <v>9</v>
      </c>
      <c r="W115" s="39" t="s">
        <v>9</v>
      </c>
      <c r="X115" s="48" t="s">
        <v>1516</v>
      </c>
      <c r="Y115" s="39" t="s">
        <v>1479</v>
      </c>
      <c r="Z115" s="50" t="s">
        <v>1444</v>
      </c>
      <c r="AA115" s="75">
        <v>900</v>
      </c>
      <c r="AB115" s="50" t="s">
        <v>1445</v>
      </c>
      <c r="AC115" s="75">
        <v>0</v>
      </c>
      <c r="AD115" s="48" t="s">
        <v>9</v>
      </c>
      <c r="AE115" s="74" t="s">
        <v>9</v>
      </c>
      <c r="AF115" s="48" t="s">
        <v>9</v>
      </c>
      <c r="AG115" s="74" t="s">
        <v>9</v>
      </c>
      <c r="AH115" s="48" t="s">
        <v>9</v>
      </c>
      <c r="AI115" s="74" t="s">
        <v>9</v>
      </c>
      <c r="AJ115" s="48" t="s">
        <v>9</v>
      </c>
      <c r="AK115" s="74" t="s">
        <v>9</v>
      </c>
      <c r="AL115" s="48" t="s">
        <v>9</v>
      </c>
      <c r="AM115" s="74" t="s">
        <v>9</v>
      </c>
      <c r="AN115" s="50" t="s">
        <v>1446</v>
      </c>
      <c r="AO115" s="51" t="s">
        <v>1480</v>
      </c>
      <c r="AP115" s="48" t="s">
        <v>120</v>
      </c>
      <c r="AQ115" s="39" t="s">
        <v>1497</v>
      </c>
      <c r="AR115" s="48" t="s">
        <v>121</v>
      </c>
      <c r="AS115" s="39" t="s">
        <v>1500</v>
      </c>
      <c r="AT115" s="48" t="s">
        <v>9</v>
      </c>
      <c r="AU115" s="74" t="s">
        <v>9</v>
      </c>
      <c r="AV115" s="48" t="s">
        <v>9</v>
      </c>
      <c r="AW115" s="74" t="s">
        <v>9</v>
      </c>
    </row>
    <row r="116" spans="1:49" s="64" customFormat="1" ht="6.75" customHeight="1" x14ac:dyDescent="0.4">
      <c r="A116" s="66">
        <v>116</v>
      </c>
      <c r="B116" s="63" t="s">
        <v>1453</v>
      </c>
      <c r="C116" s="71" t="s">
        <v>873</v>
      </c>
      <c r="D116" s="49" t="s">
        <v>9</v>
      </c>
      <c r="E116" s="54" t="s">
        <v>9</v>
      </c>
      <c r="F116" s="49" t="s">
        <v>9</v>
      </c>
      <c r="G116" s="54" t="s">
        <v>9</v>
      </c>
      <c r="H116" s="49" t="s">
        <v>9</v>
      </c>
      <c r="I116" s="54" t="s">
        <v>9</v>
      </c>
      <c r="J116" s="48" t="s">
        <v>75</v>
      </c>
      <c r="K116" s="39" t="s">
        <v>1493</v>
      </c>
      <c r="L116" s="50" t="s">
        <v>75</v>
      </c>
      <c r="M116" s="51" t="s">
        <v>1455</v>
      </c>
      <c r="N116" s="50" t="s">
        <v>1441</v>
      </c>
      <c r="O116" s="51" t="s">
        <v>1456</v>
      </c>
      <c r="P116" s="50" t="s">
        <v>1443</v>
      </c>
      <c r="Q116" s="37">
        <v>5</v>
      </c>
      <c r="R116" s="50" t="s">
        <v>1438</v>
      </c>
      <c r="S116" s="75" t="s">
        <v>1454</v>
      </c>
      <c r="T116" s="48" t="s">
        <v>9</v>
      </c>
      <c r="U116" s="74" t="s">
        <v>9</v>
      </c>
      <c r="V116" s="48" t="s">
        <v>9</v>
      </c>
      <c r="W116" s="39" t="s">
        <v>9</v>
      </c>
      <c r="X116" s="48" t="s">
        <v>1516</v>
      </c>
      <c r="Y116" s="39" t="s">
        <v>1479</v>
      </c>
      <c r="Z116" s="50" t="s">
        <v>1444</v>
      </c>
      <c r="AA116" s="75">
        <v>2250</v>
      </c>
      <c r="AB116" s="50" t="s">
        <v>1445</v>
      </c>
      <c r="AC116" s="75">
        <v>0</v>
      </c>
      <c r="AD116" s="48" t="s">
        <v>9</v>
      </c>
      <c r="AE116" s="74" t="s">
        <v>9</v>
      </c>
      <c r="AF116" s="48" t="s">
        <v>9</v>
      </c>
      <c r="AG116" s="74" t="s">
        <v>9</v>
      </c>
      <c r="AH116" s="48" t="s">
        <v>9</v>
      </c>
      <c r="AI116" s="74" t="s">
        <v>9</v>
      </c>
      <c r="AJ116" s="48" t="s">
        <v>9</v>
      </c>
      <c r="AK116" s="74" t="s">
        <v>9</v>
      </c>
      <c r="AL116" s="48" t="s">
        <v>9</v>
      </c>
      <c r="AM116" s="74" t="s">
        <v>9</v>
      </c>
      <c r="AN116" s="50" t="s">
        <v>1446</v>
      </c>
      <c r="AO116" s="51" t="s">
        <v>1480</v>
      </c>
      <c r="AP116" s="48" t="s">
        <v>120</v>
      </c>
      <c r="AQ116" s="39" t="s">
        <v>1497</v>
      </c>
      <c r="AR116" s="48" t="s">
        <v>121</v>
      </c>
      <c r="AS116" s="39" t="s">
        <v>1500</v>
      </c>
      <c r="AT116" s="48" t="s">
        <v>9</v>
      </c>
      <c r="AU116" s="74" t="s">
        <v>9</v>
      </c>
      <c r="AV116" s="48" t="s">
        <v>9</v>
      </c>
      <c r="AW116" s="74" t="s">
        <v>9</v>
      </c>
    </row>
    <row r="117" spans="1:49" s="64" customFormat="1" ht="6.75" customHeight="1" x14ac:dyDescent="0.4">
      <c r="A117" s="66">
        <v>117</v>
      </c>
      <c r="B117" s="63" t="s">
        <v>1457</v>
      </c>
      <c r="C117" s="71" t="s">
        <v>873</v>
      </c>
      <c r="D117" s="49" t="s">
        <v>9</v>
      </c>
      <c r="E117" s="54" t="s">
        <v>9</v>
      </c>
      <c r="F117" s="49" t="s">
        <v>9</v>
      </c>
      <c r="G117" s="54" t="s">
        <v>9</v>
      </c>
      <c r="H117" s="49" t="s">
        <v>9</v>
      </c>
      <c r="I117" s="54" t="s">
        <v>9</v>
      </c>
      <c r="J117" s="48" t="s">
        <v>75</v>
      </c>
      <c r="K117" s="39" t="s">
        <v>1493</v>
      </c>
      <c r="L117" s="50" t="s">
        <v>75</v>
      </c>
      <c r="M117" s="51" t="s">
        <v>1455</v>
      </c>
      <c r="N117" s="50" t="s">
        <v>1441</v>
      </c>
      <c r="O117" s="51" t="s">
        <v>1456</v>
      </c>
      <c r="P117" s="50" t="s">
        <v>1443</v>
      </c>
      <c r="Q117" s="37">
        <v>6</v>
      </c>
      <c r="R117" s="50" t="s">
        <v>1438</v>
      </c>
      <c r="S117" s="75" t="s">
        <v>1458</v>
      </c>
      <c r="T117" s="48" t="s">
        <v>9</v>
      </c>
      <c r="U117" s="74" t="s">
        <v>9</v>
      </c>
      <c r="V117" s="48" t="s">
        <v>9</v>
      </c>
      <c r="W117" s="39" t="s">
        <v>9</v>
      </c>
      <c r="X117" s="48" t="s">
        <v>1516</v>
      </c>
      <c r="Y117" s="39" t="s">
        <v>1479</v>
      </c>
      <c r="Z117" s="50" t="s">
        <v>1444</v>
      </c>
      <c r="AA117" s="75">
        <v>2700</v>
      </c>
      <c r="AB117" s="50" t="s">
        <v>1445</v>
      </c>
      <c r="AC117" s="75">
        <v>0</v>
      </c>
      <c r="AD117" s="48" t="s">
        <v>9</v>
      </c>
      <c r="AE117" s="74" t="s">
        <v>9</v>
      </c>
      <c r="AF117" s="48" t="s">
        <v>9</v>
      </c>
      <c r="AG117" s="74" t="s">
        <v>9</v>
      </c>
      <c r="AH117" s="48" t="s">
        <v>9</v>
      </c>
      <c r="AI117" s="74" t="s">
        <v>9</v>
      </c>
      <c r="AJ117" s="48" t="s">
        <v>9</v>
      </c>
      <c r="AK117" s="74" t="s">
        <v>9</v>
      </c>
      <c r="AL117" s="48" t="s">
        <v>9</v>
      </c>
      <c r="AM117" s="74" t="s">
        <v>9</v>
      </c>
      <c r="AN117" s="50" t="s">
        <v>1446</v>
      </c>
      <c r="AO117" s="51" t="s">
        <v>1480</v>
      </c>
      <c r="AP117" s="48" t="s">
        <v>120</v>
      </c>
      <c r="AQ117" s="39" t="s">
        <v>1497</v>
      </c>
      <c r="AR117" s="48" t="s">
        <v>121</v>
      </c>
      <c r="AS117" s="39" t="s">
        <v>1500</v>
      </c>
      <c r="AT117" s="48" t="s">
        <v>9</v>
      </c>
      <c r="AU117" s="74" t="s">
        <v>9</v>
      </c>
      <c r="AV117" s="48" t="s">
        <v>9</v>
      </c>
      <c r="AW117" s="74" t="s">
        <v>9</v>
      </c>
    </row>
    <row r="118" spans="1:49" s="64" customFormat="1" ht="6.75" customHeight="1" x14ac:dyDescent="0.4">
      <c r="A118" s="66">
        <v>118</v>
      </c>
      <c r="B118" s="63" t="s">
        <v>1459</v>
      </c>
      <c r="C118" s="71" t="s">
        <v>873</v>
      </c>
      <c r="D118" s="49" t="s">
        <v>9</v>
      </c>
      <c r="E118" s="54" t="s">
        <v>9</v>
      </c>
      <c r="F118" s="49" t="s">
        <v>9</v>
      </c>
      <c r="G118" s="54" t="s">
        <v>9</v>
      </c>
      <c r="H118" s="49" t="s">
        <v>9</v>
      </c>
      <c r="I118" s="54" t="s">
        <v>9</v>
      </c>
      <c r="J118" s="48" t="s">
        <v>75</v>
      </c>
      <c r="K118" s="39" t="s">
        <v>1493</v>
      </c>
      <c r="L118" s="50" t="s">
        <v>75</v>
      </c>
      <c r="M118" s="51" t="s">
        <v>1455</v>
      </c>
      <c r="N118" s="50" t="s">
        <v>1441</v>
      </c>
      <c r="O118" s="51" t="s">
        <v>1456</v>
      </c>
      <c r="P118" s="50" t="s">
        <v>1443</v>
      </c>
      <c r="Q118" s="37">
        <v>7</v>
      </c>
      <c r="R118" s="50" t="s">
        <v>1438</v>
      </c>
      <c r="S118" s="75" t="s">
        <v>1460</v>
      </c>
      <c r="T118" s="48" t="s">
        <v>9</v>
      </c>
      <c r="U118" s="74" t="s">
        <v>9</v>
      </c>
      <c r="V118" s="48" t="s">
        <v>9</v>
      </c>
      <c r="W118" s="39" t="s">
        <v>9</v>
      </c>
      <c r="X118" s="48" t="s">
        <v>1516</v>
      </c>
      <c r="Y118" s="39" t="s">
        <v>1479</v>
      </c>
      <c r="Z118" s="50" t="s">
        <v>1444</v>
      </c>
      <c r="AA118" s="75">
        <v>3150</v>
      </c>
      <c r="AB118" s="50" t="s">
        <v>1445</v>
      </c>
      <c r="AC118" s="75">
        <v>0</v>
      </c>
      <c r="AD118" s="48" t="s">
        <v>9</v>
      </c>
      <c r="AE118" s="74" t="s">
        <v>9</v>
      </c>
      <c r="AF118" s="48" t="s">
        <v>9</v>
      </c>
      <c r="AG118" s="74" t="s">
        <v>9</v>
      </c>
      <c r="AH118" s="48" t="s">
        <v>9</v>
      </c>
      <c r="AI118" s="74" t="s">
        <v>9</v>
      </c>
      <c r="AJ118" s="48" t="s">
        <v>9</v>
      </c>
      <c r="AK118" s="74" t="s">
        <v>9</v>
      </c>
      <c r="AL118" s="48" t="s">
        <v>9</v>
      </c>
      <c r="AM118" s="74" t="s">
        <v>9</v>
      </c>
      <c r="AN118" s="50" t="s">
        <v>1446</v>
      </c>
      <c r="AO118" s="51" t="s">
        <v>1480</v>
      </c>
      <c r="AP118" s="48" t="s">
        <v>120</v>
      </c>
      <c r="AQ118" s="39" t="s">
        <v>1497</v>
      </c>
      <c r="AR118" s="48" t="s">
        <v>121</v>
      </c>
      <c r="AS118" s="39" t="s">
        <v>1500</v>
      </c>
      <c r="AT118" s="48" t="s">
        <v>9</v>
      </c>
      <c r="AU118" s="74" t="s">
        <v>9</v>
      </c>
      <c r="AV118" s="48" t="s">
        <v>9</v>
      </c>
      <c r="AW118" s="74" t="s">
        <v>9</v>
      </c>
    </row>
    <row r="119" spans="1:49" s="64" customFormat="1" ht="6.75" customHeight="1" x14ac:dyDescent="0.4">
      <c r="A119" s="66">
        <v>119</v>
      </c>
      <c r="B119" s="63" t="s">
        <v>1461</v>
      </c>
      <c r="C119" s="71" t="s">
        <v>873</v>
      </c>
      <c r="D119" s="49" t="s">
        <v>9</v>
      </c>
      <c r="E119" s="54" t="s">
        <v>9</v>
      </c>
      <c r="F119" s="49" t="s">
        <v>9</v>
      </c>
      <c r="G119" s="54" t="s">
        <v>9</v>
      </c>
      <c r="H119" s="49" t="s">
        <v>9</v>
      </c>
      <c r="I119" s="54" t="s">
        <v>9</v>
      </c>
      <c r="J119" s="48" t="s">
        <v>75</v>
      </c>
      <c r="K119" s="39" t="s">
        <v>1493</v>
      </c>
      <c r="L119" s="50" t="s">
        <v>75</v>
      </c>
      <c r="M119" s="51" t="s">
        <v>1455</v>
      </c>
      <c r="N119" s="50" t="s">
        <v>1441</v>
      </c>
      <c r="O119" s="51" t="s">
        <v>1456</v>
      </c>
      <c r="P119" s="50" t="s">
        <v>1443</v>
      </c>
      <c r="Q119" s="37">
        <v>8</v>
      </c>
      <c r="R119" s="50" t="s">
        <v>1438</v>
      </c>
      <c r="S119" s="75" t="s">
        <v>1462</v>
      </c>
      <c r="T119" s="48" t="s">
        <v>9</v>
      </c>
      <c r="U119" s="74" t="s">
        <v>9</v>
      </c>
      <c r="V119" s="48" t="s">
        <v>9</v>
      </c>
      <c r="W119" s="39" t="s">
        <v>9</v>
      </c>
      <c r="X119" s="48" t="s">
        <v>1516</v>
      </c>
      <c r="Y119" s="39" t="s">
        <v>1479</v>
      </c>
      <c r="Z119" s="50" t="s">
        <v>1444</v>
      </c>
      <c r="AA119" s="75">
        <v>3600</v>
      </c>
      <c r="AB119" s="50" t="s">
        <v>1445</v>
      </c>
      <c r="AC119" s="75">
        <v>0</v>
      </c>
      <c r="AD119" s="48" t="s">
        <v>9</v>
      </c>
      <c r="AE119" s="74" t="s">
        <v>9</v>
      </c>
      <c r="AF119" s="48" t="s">
        <v>9</v>
      </c>
      <c r="AG119" s="74" t="s">
        <v>9</v>
      </c>
      <c r="AH119" s="48" t="s">
        <v>9</v>
      </c>
      <c r="AI119" s="74" t="s">
        <v>9</v>
      </c>
      <c r="AJ119" s="48" t="s">
        <v>9</v>
      </c>
      <c r="AK119" s="74" t="s">
        <v>9</v>
      </c>
      <c r="AL119" s="48" t="s">
        <v>9</v>
      </c>
      <c r="AM119" s="74" t="s">
        <v>9</v>
      </c>
      <c r="AN119" s="50" t="s">
        <v>1446</v>
      </c>
      <c r="AO119" s="51" t="s">
        <v>1480</v>
      </c>
      <c r="AP119" s="48" t="s">
        <v>120</v>
      </c>
      <c r="AQ119" s="39" t="s">
        <v>1497</v>
      </c>
      <c r="AR119" s="48" t="s">
        <v>121</v>
      </c>
      <c r="AS119" s="39" t="s">
        <v>1500</v>
      </c>
      <c r="AT119" s="48" t="s">
        <v>9</v>
      </c>
      <c r="AU119" s="74" t="s">
        <v>9</v>
      </c>
      <c r="AV119" s="48" t="s">
        <v>9</v>
      </c>
      <c r="AW119" s="74" t="s">
        <v>9</v>
      </c>
    </row>
    <row r="120" spans="1:49" s="64" customFormat="1" ht="6.75" customHeight="1" x14ac:dyDescent="0.4">
      <c r="A120" s="66">
        <v>120</v>
      </c>
      <c r="B120" s="63" t="s">
        <v>1463</v>
      </c>
      <c r="C120" s="71" t="s">
        <v>873</v>
      </c>
      <c r="D120" s="49" t="s">
        <v>9</v>
      </c>
      <c r="E120" s="54" t="s">
        <v>9</v>
      </c>
      <c r="F120" s="49" t="s">
        <v>9</v>
      </c>
      <c r="G120" s="54" t="s">
        <v>9</v>
      </c>
      <c r="H120" s="49" t="s">
        <v>9</v>
      </c>
      <c r="I120" s="54" t="s">
        <v>9</v>
      </c>
      <c r="J120" s="48" t="s">
        <v>75</v>
      </c>
      <c r="K120" s="39" t="s">
        <v>1493</v>
      </c>
      <c r="L120" s="50" t="s">
        <v>75</v>
      </c>
      <c r="M120" s="51" t="s">
        <v>1465</v>
      </c>
      <c r="N120" s="50" t="s">
        <v>1441</v>
      </c>
      <c r="O120" s="51" t="s">
        <v>1466</v>
      </c>
      <c r="P120" s="50" t="s">
        <v>1443</v>
      </c>
      <c r="Q120" s="37">
        <v>6</v>
      </c>
      <c r="R120" s="50" t="s">
        <v>1438</v>
      </c>
      <c r="S120" s="75" t="s">
        <v>1464</v>
      </c>
      <c r="T120" s="48" t="s">
        <v>9</v>
      </c>
      <c r="U120" s="74" t="s">
        <v>9</v>
      </c>
      <c r="V120" s="48" t="s">
        <v>9</v>
      </c>
      <c r="W120" s="39" t="s">
        <v>9</v>
      </c>
      <c r="X120" s="48" t="s">
        <v>1516</v>
      </c>
      <c r="Y120" s="39" t="s">
        <v>1479</v>
      </c>
      <c r="Z120" s="50" t="s">
        <v>1444</v>
      </c>
      <c r="AA120" s="75">
        <v>5000</v>
      </c>
      <c r="AB120" s="50" t="s">
        <v>1445</v>
      </c>
      <c r="AC120" s="75">
        <v>0</v>
      </c>
      <c r="AD120" s="48" t="s">
        <v>9</v>
      </c>
      <c r="AE120" s="74" t="s">
        <v>9</v>
      </c>
      <c r="AF120" s="48" t="s">
        <v>9</v>
      </c>
      <c r="AG120" s="74" t="s">
        <v>9</v>
      </c>
      <c r="AH120" s="48" t="s">
        <v>9</v>
      </c>
      <c r="AI120" s="74" t="s">
        <v>9</v>
      </c>
      <c r="AJ120" s="48" t="s">
        <v>9</v>
      </c>
      <c r="AK120" s="74" t="s">
        <v>9</v>
      </c>
      <c r="AL120" s="48" t="s">
        <v>9</v>
      </c>
      <c r="AM120" s="74" t="s">
        <v>9</v>
      </c>
      <c r="AN120" s="50" t="s">
        <v>1446</v>
      </c>
      <c r="AO120" s="51" t="s">
        <v>1480</v>
      </c>
      <c r="AP120" s="48" t="s">
        <v>120</v>
      </c>
      <c r="AQ120" s="39" t="s">
        <v>1497</v>
      </c>
      <c r="AR120" s="48" t="s">
        <v>121</v>
      </c>
      <c r="AS120" s="39" t="s">
        <v>1500</v>
      </c>
      <c r="AT120" s="48" t="s">
        <v>9</v>
      </c>
      <c r="AU120" s="74" t="s">
        <v>9</v>
      </c>
      <c r="AV120" s="48" t="s">
        <v>9</v>
      </c>
      <c r="AW120" s="74" t="s">
        <v>9</v>
      </c>
    </row>
    <row r="121" spans="1:49" s="64" customFormat="1" ht="6.75" customHeight="1" x14ac:dyDescent="0.4">
      <c r="A121" s="66">
        <v>121</v>
      </c>
      <c r="B121" s="63" t="s">
        <v>1467</v>
      </c>
      <c r="C121" s="71" t="s">
        <v>873</v>
      </c>
      <c r="D121" s="49" t="s">
        <v>9</v>
      </c>
      <c r="E121" s="54" t="s">
        <v>9</v>
      </c>
      <c r="F121" s="49" t="s">
        <v>9</v>
      </c>
      <c r="G121" s="54" t="s">
        <v>9</v>
      </c>
      <c r="H121" s="49" t="s">
        <v>9</v>
      </c>
      <c r="I121" s="54" t="s">
        <v>9</v>
      </c>
      <c r="J121" s="48" t="s">
        <v>75</v>
      </c>
      <c r="K121" s="39" t="s">
        <v>1493</v>
      </c>
      <c r="L121" s="50" t="s">
        <v>75</v>
      </c>
      <c r="M121" s="51" t="s">
        <v>1465</v>
      </c>
      <c r="N121" s="50" t="s">
        <v>1441</v>
      </c>
      <c r="O121" s="51" t="s">
        <v>1466</v>
      </c>
      <c r="P121" s="50" t="s">
        <v>1443</v>
      </c>
      <c r="Q121" s="37">
        <v>7</v>
      </c>
      <c r="R121" s="50" t="s">
        <v>1438</v>
      </c>
      <c r="S121" s="75" t="s">
        <v>1468</v>
      </c>
      <c r="T121" s="48" t="s">
        <v>9</v>
      </c>
      <c r="U121" s="74" t="s">
        <v>9</v>
      </c>
      <c r="V121" s="48" t="s">
        <v>9</v>
      </c>
      <c r="W121" s="39" t="s">
        <v>9</v>
      </c>
      <c r="X121" s="48" t="s">
        <v>1516</v>
      </c>
      <c r="Y121" s="39" t="s">
        <v>1479</v>
      </c>
      <c r="Z121" s="50" t="s">
        <v>1444</v>
      </c>
      <c r="AA121" s="75">
        <v>6000</v>
      </c>
      <c r="AB121" s="50" t="s">
        <v>1445</v>
      </c>
      <c r="AC121" s="75">
        <v>0</v>
      </c>
      <c r="AD121" s="48" t="s">
        <v>9</v>
      </c>
      <c r="AE121" s="74" t="s">
        <v>9</v>
      </c>
      <c r="AF121" s="48" t="s">
        <v>9</v>
      </c>
      <c r="AG121" s="74" t="s">
        <v>9</v>
      </c>
      <c r="AH121" s="48" t="s">
        <v>9</v>
      </c>
      <c r="AI121" s="74" t="s">
        <v>9</v>
      </c>
      <c r="AJ121" s="48" t="s">
        <v>9</v>
      </c>
      <c r="AK121" s="74" t="s">
        <v>9</v>
      </c>
      <c r="AL121" s="48" t="s">
        <v>9</v>
      </c>
      <c r="AM121" s="74" t="s">
        <v>9</v>
      </c>
      <c r="AN121" s="50" t="s">
        <v>1446</v>
      </c>
      <c r="AO121" s="51" t="s">
        <v>1480</v>
      </c>
      <c r="AP121" s="48" t="s">
        <v>120</v>
      </c>
      <c r="AQ121" s="39" t="s">
        <v>1497</v>
      </c>
      <c r="AR121" s="48" t="s">
        <v>121</v>
      </c>
      <c r="AS121" s="39" t="s">
        <v>1500</v>
      </c>
      <c r="AT121" s="48" t="s">
        <v>9</v>
      </c>
      <c r="AU121" s="74" t="s">
        <v>9</v>
      </c>
      <c r="AV121" s="48" t="s">
        <v>9</v>
      </c>
      <c r="AW121" s="74" t="s">
        <v>9</v>
      </c>
    </row>
    <row r="122" spans="1:49" s="64" customFormat="1" ht="6.75" customHeight="1" x14ac:dyDescent="0.4">
      <c r="A122" s="66">
        <v>122</v>
      </c>
      <c r="B122" s="63" t="s">
        <v>1469</v>
      </c>
      <c r="C122" s="71" t="s">
        <v>873</v>
      </c>
      <c r="D122" s="49" t="s">
        <v>9</v>
      </c>
      <c r="E122" s="54" t="s">
        <v>9</v>
      </c>
      <c r="F122" s="49" t="s">
        <v>9</v>
      </c>
      <c r="G122" s="54" t="s">
        <v>9</v>
      </c>
      <c r="H122" s="49" t="s">
        <v>9</v>
      </c>
      <c r="I122" s="54" t="s">
        <v>9</v>
      </c>
      <c r="J122" s="48" t="s">
        <v>75</v>
      </c>
      <c r="K122" s="39" t="s">
        <v>1493</v>
      </c>
      <c r="L122" s="50" t="s">
        <v>75</v>
      </c>
      <c r="M122" s="51" t="s">
        <v>1465</v>
      </c>
      <c r="N122" s="50" t="s">
        <v>1441</v>
      </c>
      <c r="O122" s="51" t="s">
        <v>1466</v>
      </c>
      <c r="P122" s="50" t="s">
        <v>1443</v>
      </c>
      <c r="Q122" s="37">
        <v>8</v>
      </c>
      <c r="R122" s="50" t="s">
        <v>1438</v>
      </c>
      <c r="S122" s="75" t="s">
        <v>1470</v>
      </c>
      <c r="T122" s="48" t="s">
        <v>9</v>
      </c>
      <c r="U122" s="74" t="s">
        <v>9</v>
      </c>
      <c r="V122" s="48" t="s">
        <v>9</v>
      </c>
      <c r="W122" s="39" t="s">
        <v>9</v>
      </c>
      <c r="X122" s="48" t="s">
        <v>1516</v>
      </c>
      <c r="Y122" s="39" t="s">
        <v>1479</v>
      </c>
      <c r="Z122" s="50" t="s">
        <v>1444</v>
      </c>
      <c r="AA122" s="75">
        <v>7000</v>
      </c>
      <c r="AB122" s="50" t="s">
        <v>1445</v>
      </c>
      <c r="AC122" s="75">
        <v>0</v>
      </c>
      <c r="AD122" s="48" t="s">
        <v>9</v>
      </c>
      <c r="AE122" s="74" t="s">
        <v>9</v>
      </c>
      <c r="AF122" s="48" t="s">
        <v>9</v>
      </c>
      <c r="AG122" s="74" t="s">
        <v>9</v>
      </c>
      <c r="AH122" s="48" t="s">
        <v>9</v>
      </c>
      <c r="AI122" s="74" t="s">
        <v>9</v>
      </c>
      <c r="AJ122" s="48" t="s">
        <v>9</v>
      </c>
      <c r="AK122" s="74" t="s">
        <v>9</v>
      </c>
      <c r="AL122" s="48" t="s">
        <v>9</v>
      </c>
      <c r="AM122" s="74" t="s">
        <v>9</v>
      </c>
      <c r="AN122" s="50" t="s">
        <v>1446</v>
      </c>
      <c r="AO122" s="51" t="s">
        <v>1480</v>
      </c>
      <c r="AP122" s="48" t="s">
        <v>120</v>
      </c>
      <c r="AQ122" s="39" t="s">
        <v>1497</v>
      </c>
      <c r="AR122" s="48" t="s">
        <v>121</v>
      </c>
      <c r="AS122" s="39" t="s">
        <v>1500</v>
      </c>
      <c r="AT122" s="48" t="s">
        <v>9</v>
      </c>
      <c r="AU122" s="74" t="s">
        <v>9</v>
      </c>
      <c r="AV122" s="48" t="s">
        <v>9</v>
      </c>
      <c r="AW122" s="74" t="s">
        <v>9</v>
      </c>
    </row>
    <row r="123" spans="1:49" s="64" customFormat="1" ht="6.75" customHeight="1" x14ac:dyDescent="0.4">
      <c r="A123" s="66">
        <v>123</v>
      </c>
      <c r="B123" s="63" t="s">
        <v>1471</v>
      </c>
      <c r="C123" s="71" t="s">
        <v>873</v>
      </c>
      <c r="D123" s="49" t="s">
        <v>9</v>
      </c>
      <c r="E123" s="54" t="s">
        <v>9</v>
      </c>
      <c r="F123" s="49" t="s">
        <v>9</v>
      </c>
      <c r="G123" s="54" t="s">
        <v>9</v>
      </c>
      <c r="H123" s="49" t="s">
        <v>9</v>
      </c>
      <c r="I123" s="54" t="s">
        <v>9</v>
      </c>
      <c r="J123" s="48" t="s">
        <v>75</v>
      </c>
      <c r="K123" s="39" t="s">
        <v>1493</v>
      </c>
      <c r="L123" s="50" t="s">
        <v>75</v>
      </c>
      <c r="M123" s="51" t="s">
        <v>1473</v>
      </c>
      <c r="N123" s="50" t="s">
        <v>1441</v>
      </c>
      <c r="O123" s="51" t="s">
        <v>1474</v>
      </c>
      <c r="P123" s="50" t="s">
        <v>1443</v>
      </c>
      <c r="Q123" s="37">
        <v>8</v>
      </c>
      <c r="R123" s="50" t="s">
        <v>1438</v>
      </c>
      <c r="S123" s="75" t="s">
        <v>1472</v>
      </c>
      <c r="T123" s="48" t="s">
        <v>9</v>
      </c>
      <c r="U123" s="74" t="s">
        <v>9</v>
      </c>
      <c r="V123" s="48" t="s">
        <v>9</v>
      </c>
      <c r="W123" s="39" t="s">
        <v>9</v>
      </c>
      <c r="X123" s="48" t="s">
        <v>1516</v>
      </c>
      <c r="Y123" s="39" t="s">
        <v>1479</v>
      </c>
      <c r="Z123" s="50" t="s">
        <v>1444</v>
      </c>
      <c r="AA123" s="75" t="s">
        <v>1475</v>
      </c>
      <c r="AB123" s="50" t="s">
        <v>1445</v>
      </c>
      <c r="AC123" s="75">
        <v>1800</v>
      </c>
      <c r="AD123" s="48" t="s">
        <v>9</v>
      </c>
      <c r="AE123" s="74" t="s">
        <v>9</v>
      </c>
      <c r="AF123" s="48" t="s">
        <v>9</v>
      </c>
      <c r="AG123" s="74" t="s">
        <v>9</v>
      </c>
      <c r="AH123" s="48" t="s">
        <v>9</v>
      </c>
      <c r="AI123" s="74" t="s">
        <v>9</v>
      </c>
      <c r="AJ123" s="48" t="s">
        <v>9</v>
      </c>
      <c r="AK123" s="74" t="s">
        <v>9</v>
      </c>
      <c r="AL123" s="48" t="s">
        <v>9</v>
      </c>
      <c r="AM123" s="74" t="s">
        <v>9</v>
      </c>
      <c r="AN123" s="50" t="s">
        <v>1446</v>
      </c>
      <c r="AO123" s="51" t="s">
        <v>1480</v>
      </c>
      <c r="AP123" s="48" t="s">
        <v>120</v>
      </c>
      <c r="AQ123" s="39" t="s">
        <v>1497</v>
      </c>
      <c r="AR123" s="48" t="s">
        <v>121</v>
      </c>
      <c r="AS123" s="39" t="s">
        <v>1500</v>
      </c>
      <c r="AT123" s="48" t="s">
        <v>9</v>
      </c>
      <c r="AU123" s="74" t="s">
        <v>9</v>
      </c>
      <c r="AV123" s="48" t="s">
        <v>9</v>
      </c>
      <c r="AW123" s="74" t="s">
        <v>9</v>
      </c>
    </row>
    <row r="124" spans="1:49" s="64" customFormat="1" ht="6.75" customHeight="1" x14ac:dyDescent="0.4">
      <c r="A124" s="66">
        <v>124</v>
      </c>
      <c r="B124" s="63" t="s">
        <v>1476</v>
      </c>
      <c r="C124" s="71" t="s">
        <v>873</v>
      </c>
      <c r="D124" s="49" t="s">
        <v>9</v>
      </c>
      <c r="E124" s="54" t="s">
        <v>9</v>
      </c>
      <c r="F124" s="49" t="s">
        <v>9</v>
      </c>
      <c r="G124" s="54" t="s">
        <v>9</v>
      </c>
      <c r="H124" s="49" t="s">
        <v>9</v>
      </c>
      <c r="I124" s="54" t="s">
        <v>9</v>
      </c>
      <c r="J124" s="48" t="s">
        <v>75</v>
      </c>
      <c r="K124" s="39" t="s">
        <v>1493</v>
      </c>
      <c r="L124" s="50" t="s">
        <v>75</v>
      </c>
      <c r="M124" s="51" t="s">
        <v>1478</v>
      </c>
      <c r="N124" s="50" t="s">
        <v>1441</v>
      </c>
      <c r="O124" s="51" t="s">
        <v>1474</v>
      </c>
      <c r="P124" s="50" t="s">
        <v>1443</v>
      </c>
      <c r="Q124" s="37">
        <v>8</v>
      </c>
      <c r="R124" s="50" t="s">
        <v>1438</v>
      </c>
      <c r="S124" s="75" t="s">
        <v>1477</v>
      </c>
      <c r="T124" s="48" t="s">
        <v>9</v>
      </c>
      <c r="U124" s="74" t="s">
        <v>9</v>
      </c>
      <c r="V124" s="48" t="s">
        <v>9</v>
      </c>
      <c r="W124" s="39" t="s">
        <v>9</v>
      </c>
      <c r="X124" s="48" t="s">
        <v>1516</v>
      </c>
      <c r="Y124" s="39" t="s">
        <v>1479</v>
      </c>
      <c r="Z124" s="50" t="s">
        <v>1444</v>
      </c>
      <c r="AA124" s="75" t="s">
        <v>1475</v>
      </c>
      <c r="AB124" s="50" t="s">
        <v>1445</v>
      </c>
      <c r="AC124" s="75">
        <v>3700</v>
      </c>
      <c r="AD124" s="48" t="s">
        <v>9</v>
      </c>
      <c r="AE124" s="74" t="s">
        <v>9</v>
      </c>
      <c r="AF124" s="48" t="s">
        <v>9</v>
      </c>
      <c r="AG124" s="74" t="s">
        <v>9</v>
      </c>
      <c r="AH124" s="48" t="s">
        <v>9</v>
      </c>
      <c r="AI124" s="74" t="s">
        <v>9</v>
      </c>
      <c r="AJ124" s="48" t="s">
        <v>9</v>
      </c>
      <c r="AK124" s="74" t="s">
        <v>9</v>
      </c>
      <c r="AL124" s="48" t="s">
        <v>9</v>
      </c>
      <c r="AM124" s="74" t="s">
        <v>9</v>
      </c>
      <c r="AN124" s="50" t="s">
        <v>1446</v>
      </c>
      <c r="AO124" s="51" t="s">
        <v>1480</v>
      </c>
      <c r="AP124" s="48" t="s">
        <v>120</v>
      </c>
      <c r="AQ124" s="39" t="s">
        <v>1497</v>
      </c>
      <c r="AR124" s="48" t="s">
        <v>121</v>
      </c>
      <c r="AS124" s="39" t="s">
        <v>1500</v>
      </c>
      <c r="AT124" s="48" t="s">
        <v>9</v>
      </c>
      <c r="AU124" s="74" t="s">
        <v>9</v>
      </c>
      <c r="AV124" s="48" t="s">
        <v>9</v>
      </c>
      <c r="AW124" s="74" t="s">
        <v>9</v>
      </c>
    </row>
    <row r="125" spans="1:49" s="60" customFormat="1" ht="7.4" customHeight="1" x14ac:dyDescent="0.4">
      <c r="A125" s="66">
        <v>125</v>
      </c>
      <c r="B125" s="38" t="s">
        <v>1494</v>
      </c>
      <c r="C125" s="23" t="s">
        <v>43</v>
      </c>
      <c r="D125" s="49" t="s">
        <v>9</v>
      </c>
      <c r="E125" s="54" t="s">
        <v>9</v>
      </c>
      <c r="F125" s="49" t="s">
        <v>9</v>
      </c>
      <c r="G125" s="54" t="s">
        <v>9</v>
      </c>
      <c r="H125" s="49" t="s">
        <v>9</v>
      </c>
      <c r="I125" s="54" t="s">
        <v>9</v>
      </c>
      <c r="J125" s="48" t="s">
        <v>75</v>
      </c>
      <c r="K125" s="39" t="s">
        <v>1543</v>
      </c>
      <c r="L125" s="48" t="s">
        <v>75</v>
      </c>
      <c r="M125" s="39" t="s">
        <v>1486</v>
      </c>
      <c r="N125" s="50" t="s">
        <v>1550</v>
      </c>
      <c r="O125" s="39" t="s">
        <v>1551</v>
      </c>
      <c r="P125" s="48" t="s">
        <v>1488</v>
      </c>
      <c r="Q125" s="39" t="s">
        <v>1489</v>
      </c>
      <c r="R125" s="48" t="s">
        <v>9</v>
      </c>
      <c r="S125" s="75" t="s">
        <v>9</v>
      </c>
      <c r="T125" s="48" t="s">
        <v>9</v>
      </c>
      <c r="U125" s="74" t="s">
        <v>9</v>
      </c>
      <c r="V125" s="48" t="s">
        <v>9</v>
      </c>
      <c r="W125" s="39" t="s">
        <v>9</v>
      </c>
      <c r="X125" s="48" t="s">
        <v>9</v>
      </c>
      <c r="Y125" s="51" t="s">
        <v>9</v>
      </c>
      <c r="Z125" s="48" t="s">
        <v>9</v>
      </c>
      <c r="AA125" s="74" t="s">
        <v>9</v>
      </c>
      <c r="AB125" s="48" t="s">
        <v>9</v>
      </c>
      <c r="AC125" s="74" t="s">
        <v>9</v>
      </c>
      <c r="AD125" s="48" t="s">
        <v>9</v>
      </c>
      <c r="AE125" s="74" t="s">
        <v>9</v>
      </c>
      <c r="AF125" s="48" t="s">
        <v>9</v>
      </c>
      <c r="AG125" s="74" t="s">
        <v>9</v>
      </c>
      <c r="AH125" s="48" t="s">
        <v>9</v>
      </c>
      <c r="AI125" s="74" t="s">
        <v>9</v>
      </c>
      <c r="AJ125" s="48" t="s">
        <v>9</v>
      </c>
      <c r="AK125" s="74" t="s">
        <v>9</v>
      </c>
      <c r="AL125" s="48" t="s">
        <v>1487</v>
      </c>
      <c r="AM125" s="74" t="s">
        <v>1555</v>
      </c>
      <c r="AN125" s="48" t="s">
        <v>1490</v>
      </c>
      <c r="AO125" s="39" t="s">
        <v>1556</v>
      </c>
      <c r="AP125" s="48" t="s">
        <v>120</v>
      </c>
      <c r="AQ125" s="72" t="s">
        <v>1552</v>
      </c>
      <c r="AR125" s="48" t="s">
        <v>121</v>
      </c>
      <c r="AS125" s="73" t="s">
        <v>1553</v>
      </c>
      <c r="AT125" s="48" t="s">
        <v>1504</v>
      </c>
      <c r="AU125" s="74" t="s">
        <v>1554</v>
      </c>
      <c r="AV125" s="50" t="s">
        <v>1548</v>
      </c>
      <c r="AW125" s="74" t="s">
        <v>1549</v>
      </c>
    </row>
    <row r="126" spans="1:49" ht="6.75" customHeight="1" x14ac:dyDescent="0.4">
      <c r="A126" s="66">
        <v>126</v>
      </c>
      <c r="B126" s="63" t="s">
        <v>60</v>
      </c>
      <c r="C126" s="23" t="s">
        <v>1571</v>
      </c>
      <c r="D126" s="49" t="s">
        <v>1505</v>
      </c>
      <c r="E126" s="54" t="s">
        <v>1494</v>
      </c>
      <c r="F126" s="49" t="s">
        <v>9</v>
      </c>
      <c r="G126" s="54" t="s">
        <v>9</v>
      </c>
      <c r="H126" s="49" t="s">
        <v>9</v>
      </c>
      <c r="I126" s="54" t="s">
        <v>9</v>
      </c>
      <c r="J126" s="48" t="s">
        <v>75</v>
      </c>
      <c r="K126" s="39" t="s">
        <v>1557</v>
      </c>
      <c r="L126" s="50" t="s">
        <v>75</v>
      </c>
      <c r="M126" s="51" t="s">
        <v>1503</v>
      </c>
      <c r="N126" s="50" t="s">
        <v>9</v>
      </c>
      <c r="O126" s="51" t="s">
        <v>9</v>
      </c>
      <c r="P126" s="50" t="s">
        <v>9</v>
      </c>
      <c r="Q126" s="51" t="s">
        <v>9</v>
      </c>
      <c r="R126" s="50" t="s">
        <v>9</v>
      </c>
      <c r="S126" s="75" t="s">
        <v>9</v>
      </c>
      <c r="T126" s="48" t="s">
        <v>9</v>
      </c>
      <c r="U126" s="74" t="s">
        <v>9</v>
      </c>
      <c r="V126" s="48" t="s">
        <v>9</v>
      </c>
      <c r="W126" s="39" t="s">
        <v>9</v>
      </c>
      <c r="X126" s="50" t="s">
        <v>9</v>
      </c>
      <c r="Y126" s="51" t="s">
        <v>9</v>
      </c>
      <c r="Z126" s="50" t="s">
        <v>9</v>
      </c>
      <c r="AA126" s="75" t="s">
        <v>9</v>
      </c>
      <c r="AB126" s="50" t="s">
        <v>9</v>
      </c>
      <c r="AC126" s="75" t="s">
        <v>9</v>
      </c>
      <c r="AD126" s="50" t="s">
        <v>9</v>
      </c>
      <c r="AE126" s="75" t="s">
        <v>9</v>
      </c>
      <c r="AF126" s="48" t="s">
        <v>9</v>
      </c>
      <c r="AG126" s="74" t="s">
        <v>9</v>
      </c>
      <c r="AH126" s="48" t="s">
        <v>9</v>
      </c>
      <c r="AI126" s="74" t="s">
        <v>9</v>
      </c>
      <c r="AJ126" s="48" t="s">
        <v>9</v>
      </c>
      <c r="AK126" s="74" t="s">
        <v>9</v>
      </c>
      <c r="AL126" s="48" t="s">
        <v>9</v>
      </c>
      <c r="AM126" s="74" t="s">
        <v>9</v>
      </c>
      <c r="AN126" s="48" t="s">
        <v>9</v>
      </c>
      <c r="AO126" s="39" t="s">
        <v>9</v>
      </c>
      <c r="AP126" s="48" t="s">
        <v>120</v>
      </c>
      <c r="AQ126" s="39" t="s">
        <v>1498</v>
      </c>
      <c r="AR126" s="48" t="s">
        <v>121</v>
      </c>
      <c r="AS126" s="39" t="s">
        <v>1501</v>
      </c>
      <c r="AT126" s="48" t="s">
        <v>9</v>
      </c>
      <c r="AU126" s="74" t="s">
        <v>9</v>
      </c>
      <c r="AV126" s="48" t="s">
        <v>9</v>
      </c>
      <c r="AW126" s="74" t="s">
        <v>9</v>
      </c>
    </row>
    <row r="127" spans="1:49" s="60" customFormat="1" ht="6.75" customHeight="1" x14ac:dyDescent="0.4">
      <c r="A127" s="66">
        <v>127</v>
      </c>
      <c r="B127" s="38" t="s">
        <v>112</v>
      </c>
      <c r="C127" s="23" t="s">
        <v>1572</v>
      </c>
      <c r="D127" s="49" t="s">
        <v>1485</v>
      </c>
      <c r="E127" s="54" t="s">
        <v>1494</v>
      </c>
      <c r="F127" s="49" t="s">
        <v>9</v>
      </c>
      <c r="G127" s="54" t="s">
        <v>9</v>
      </c>
      <c r="H127" s="49" t="s">
        <v>9</v>
      </c>
      <c r="I127" s="54" t="s">
        <v>9</v>
      </c>
      <c r="J127" s="48" t="s">
        <v>75</v>
      </c>
      <c r="K127" s="39" t="s">
        <v>1542</v>
      </c>
      <c r="L127" s="48" t="s">
        <v>75</v>
      </c>
      <c r="M127" s="39" t="s">
        <v>1544</v>
      </c>
      <c r="N127" s="48" t="s">
        <v>9</v>
      </c>
      <c r="O127" s="39" t="s">
        <v>9</v>
      </c>
      <c r="P127" s="48" t="s">
        <v>9</v>
      </c>
      <c r="Q127" s="51" t="s">
        <v>9</v>
      </c>
      <c r="R127" s="48" t="s">
        <v>9</v>
      </c>
      <c r="S127" s="75" t="s">
        <v>9</v>
      </c>
      <c r="T127" s="48" t="s">
        <v>9</v>
      </c>
      <c r="U127" s="74" t="s">
        <v>9</v>
      </c>
      <c r="V127" s="48" t="s">
        <v>9</v>
      </c>
      <c r="W127" s="39" t="s">
        <v>9</v>
      </c>
      <c r="X127" s="48" t="s">
        <v>9</v>
      </c>
      <c r="Y127" s="39" t="s">
        <v>9</v>
      </c>
      <c r="Z127" s="48" t="s">
        <v>9</v>
      </c>
      <c r="AA127" s="74" t="s">
        <v>9</v>
      </c>
      <c r="AB127" s="48" t="s">
        <v>9</v>
      </c>
      <c r="AC127" s="74" t="s">
        <v>9</v>
      </c>
      <c r="AD127" s="48" t="s">
        <v>9</v>
      </c>
      <c r="AE127" s="74" t="s">
        <v>9</v>
      </c>
      <c r="AF127" s="48" t="s">
        <v>9</v>
      </c>
      <c r="AG127" s="74" t="s">
        <v>9</v>
      </c>
      <c r="AH127" s="48" t="s">
        <v>9</v>
      </c>
      <c r="AI127" s="74" t="s">
        <v>9</v>
      </c>
      <c r="AJ127" s="48" t="s">
        <v>9</v>
      </c>
      <c r="AK127" s="74" t="s">
        <v>9</v>
      </c>
      <c r="AL127" s="48" t="s">
        <v>9</v>
      </c>
      <c r="AM127" s="74" t="s">
        <v>9</v>
      </c>
      <c r="AN127" s="48" t="s">
        <v>9</v>
      </c>
      <c r="AO127" s="39" t="s">
        <v>9</v>
      </c>
      <c r="AP127" s="48" t="s">
        <v>120</v>
      </c>
      <c r="AQ127" s="39" t="s">
        <v>1495</v>
      </c>
      <c r="AR127" s="48" t="s">
        <v>121</v>
      </c>
      <c r="AS127" s="39" t="s">
        <v>1518</v>
      </c>
      <c r="AT127" s="48" t="s">
        <v>9</v>
      </c>
      <c r="AU127" s="74" t="s">
        <v>9</v>
      </c>
      <c r="AV127" s="48" t="s">
        <v>9</v>
      </c>
      <c r="AW127" s="74" t="s">
        <v>9</v>
      </c>
    </row>
    <row r="128" spans="1:49" s="60" customFormat="1" ht="6.75" customHeight="1" x14ac:dyDescent="0.4">
      <c r="A128" s="66">
        <v>128</v>
      </c>
      <c r="B128" s="38" t="s">
        <v>148</v>
      </c>
      <c r="C128" s="23" t="s">
        <v>1573</v>
      </c>
      <c r="D128" s="49" t="s">
        <v>1485</v>
      </c>
      <c r="E128" s="54" t="s">
        <v>1494</v>
      </c>
      <c r="F128" s="49" t="s">
        <v>9</v>
      </c>
      <c r="G128" s="54" t="s">
        <v>9</v>
      </c>
      <c r="H128" s="49" t="s">
        <v>9</v>
      </c>
      <c r="I128" s="54" t="s">
        <v>9</v>
      </c>
      <c r="J128" s="48" t="s">
        <v>75</v>
      </c>
      <c r="K128" s="39" t="s">
        <v>1541</v>
      </c>
      <c r="L128" s="48" t="s">
        <v>75</v>
      </c>
      <c r="M128" s="39" t="s">
        <v>1545</v>
      </c>
      <c r="N128" s="48" t="s">
        <v>9</v>
      </c>
      <c r="O128" s="39" t="s">
        <v>9</v>
      </c>
      <c r="P128" s="48" t="s">
        <v>9</v>
      </c>
      <c r="Q128" s="51" t="s">
        <v>9</v>
      </c>
      <c r="R128" s="48" t="s">
        <v>9</v>
      </c>
      <c r="S128" s="75" t="s">
        <v>9</v>
      </c>
      <c r="T128" s="48" t="s">
        <v>9</v>
      </c>
      <c r="U128" s="74" t="s">
        <v>9</v>
      </c>
      <c r="V128" s="48" t="s">
        <v>9</v>
      </c>
      <c r="W128" s="39" t="s">
        <v>9</v>
      </c>
      <c r="X128" s="48" t="s">
        <v>9</v>
      </c>
      <c r="Y128" s="39" t="s">
        <v>9</v>
      </c>
      <c r="Z128" s="48" t="s">
        <v>9</v>
      </c>
      <c r="AA128" s="74" t="s">
        <v>9</v>
      </c>
      <c r="AB128" s="48" t="s">
        <v>9</v>
      </c>
      <c r="AC128" s="74" t="s">
        <v>9</v>
      </c>
      <c r="AD128" s="48" t="s">
        <v>9</v>
      </c>
      <c r="AE128" s="74" t="s">
        <v>9</v>
      </c>
      <c r="AF128" s="48" t="s">
        <v>9</v>
      </c>
      <c r="AG128" s="74" t="s">
        <v>9</v>
      </c>
      <c r="AH128" s="48" t="s">
        <v>9</v>
      </c>
      <c r="AI128" s="74" t="s">
        <v>9</v>
      </c>
      <c r="AJ128" s="48" t="s">
        <v>9</v>
      </c>
      <c r="AK128" s="74" t="s">
        <v>9</v>
      </c>
      <c r="AL128" s="48" t="s">
        <v>9</v>
      </c>
      <c r="AM128" s="74" t="s">
        <v>9</v>
      </c>
      <c r="AN128" s="48" t="s">
        <v>9</v>
      </c>
      <c r="AO128" s="39" t="s">
        <v>9</v>
      </c>
      <c r="AP128" s="48" t="s">
        <v>120</v>
      </c>
      <c r="AQ128" s="36" t="s">
        <v>1520</v>
      </c>
      <c r="AR128" s="48" t="s">
        <v>121</v>
      </c>
      <c r="AS128" s="39" t="s">
        <v>1519</v>
      </c>
      <c r="AT128" s="48" t="s">
        <v>9</v>
      </c>
      <c r="AU128" s="74" t="s">
        <v>9</v>
      </c>
      <c r="AV128" s="48" t="s">
        <v>9</v>
      </c>
      <c r="AW128" s="74" t="s">
        <v>9</v>
      </c>
    </row>
    <row r="129" spans="1:49" s="60" customFormat="1" ht="6.75" customHeight="1" x14ac:dyDescent="0.4">
      <c r="A129" s="66">
        <v>129</v>
      </c>
      <c r="B129" s="38" t="s">
        <v>180</v>
      </c>
      <c r="C129" s="23" t="s">
        <v>1574</v>
      </c>
      <c r="D129" s="49" t="s">
        <v>1485</v>
      </c>
      <c r="E129" s="54" t="s">
        <v>1494</v>
      </c>
      <c r="F129" s="49" t="s">
        <v>1579</v>
      </c>
      <c r="G129" s="54" t="s">
        <v>449</v>
      </c>
      <c r="H129" s="49" t="s">
        <v>9</v>
      </c>
      <c r="I129" s="54" t="s">
        <v>9</v>
      </c>
      <c r="J129" s="48" t="s">
        <v>75</v>
      </c>
      <c r="K129" s="39" t="s">
        <v>1540</v>
      </c>
      <c r="L129" s="48" t="s">
        <v>75</v>
      </c>
      <c r="M129" s="39" t="s">
        <v>1546</v>
      </c>
      <c r="N129" s="48" t="s">
        <v>9</v>
      </c>
      <c r="O129" s="39" t="s">
        <v>9</v>
      </c>
      <c r="P129" s="48" t="s">
        <v>9</v>
      </c>
      <c r="Q129" s="51" t="s">
        <v>9</v>
      </c>
      <c r="R129" s="48" t="s">
        <v>9</v>
      </c>
      <c r="S129" s="75" t="s">
        <v>9</v>
      </c>
      <c r="T129" s="48" t="s">
        <v>9</v>
      </c>
      <c r="U129" s="74" t="s">
        <v>9</v>
      </c>
      <c r="V129" s="48" t="s">
        <v>9</v>
      </c>
      <c r="W129" s="39" t="s">
        <v>9</v>
      </c>
      <c r="X129" s="48" t="s">
        <v>9</v>
      </c>
      <c r="Y129" s="39" t="s">
        <v>9</v>
      </c>
      <c r="Z129" s="48" t="s">
        <v>9</v>
      </c>
      <c r="AA129" s="74" t="s">
        <v>9</v>
      </c>
      <c r="AB129" s="48" t="s">
        <v>9</v>
      </c>
      <c r="AC129" s="74" t="s">
        <v>9</v>
      </c>
      <c r="AD129" s="48" t="s">
        <v>9</v>
      </c>
      <c r="AE129" s="74" t="s">
        <v>9</v>
      </c>
      <c r="AF129" s="48" t="s">
        <v>9</v>
      </c>
      <c r="AG129" s="74" t="s">
        <v>9</v>
      </c>
      <c r="AH129" s="48" t="s">
        <v>9</v>
      </c>
      <c r="AI129" s="74" t="s">
        <v>9</v>
      </c>
      <c r="AJ129" s="48" t="s">
        <v>9</v>
      </c>
      <c r="AK129" s="74" t="s">
        <v>9</v>
      </c>
      <c r="AL129" s="48" t="s">
        <v>9</v>
      </c>
      <c r="AM129" s="74" t="s">
        <v>9</v>
      </c>
      <c r="AN129" s="48" t="s">
        <v>9</v>
      </c>
      <c r="AO129" s="39" t="s">
        <v>9</v>
      </c>
      <c r="AP129" s="48" t="s">
        <v>120</v>
      </c>
      <c r="AQ129" s="36" t="s">
        <v>1522</v>
      </c>
      <c r="AR129" s="48" t="s">
        <v>121</v>
      </c>
      <c r="AS129" s="39" t="s">
        <v>1521</v>
      </c>
      <c r="AT129" s="48" t="s">
        <v>9</v>
      </c>
      <c r="AU129" s="74" t="s">
        <v>9</v>
      </c>
      <c r="AV129" s="48" t="s">
        <v>9</v>
      </c>
      <c r="AW129" s="74" t="s">
        <v>9</v>
      </c>
    </row>
    <row r="130" spans="1:49" ht="6.75" customHeight="1" x14ac:dyDescent="0.4">
      <c r="A130" s="66">
        <v>130</v>
      </c>
      <c r="B130" s="63" t="s">
        <v>961</v>
      </c>
      <c r="C130" s="71" t="s">
        <v>1578</v>
      </c>
      <c r="D130" s="49" t="s">
        <v>1505</v>
      </c>
      <c r="E130" s="54" t="s">
        <v>1494</v>
      </c>
      <c r="F130" s="49" t="s">
        <v>1579</v>
      </c>
      <c r="G130" s="54" t="s">
        <v>1437</v>
      </c>
      <c r="H130" s="49" t="s">
        <v>9</v>
      </c>
      <c r="I130" s="54" t="s">
        <v>9</v>
      </c>
      <c r="J130" s="48" t="s">
        <v>75</v>
      </c>
      <c r="K130" s="39" t="s">
        <v>1506</v>
      </c>
      <c r="L130" s="50" t="s">
        <v>75</v>
      </c>
      <c r="M130" s="51" t="s">
        <v>1502</v>
      </c>
      <c r="N130" s="50" t="s">
        <v>9</v>
      </c>
      <c r="O130" s="51" t="s">
        <v>9</v>
      </c>
      <c r="P130" s="50" t="s">
        <v>9</v>
      </c>
      <c r="Q130" s="51" t="s">
        <v>9</v>
      </c>
      <c r="R130" s="50" t="s">
        <v>9</v>
      </c>
      <c r="S130" s="75" t="s">
        <v>9</v>
      </c>
      <c r="T130" s="48" t="s">
        <v>9</v>
      </c>
      <c r="U130" s="74" t="s">
        <v>9</v>
      </c>
      <c r="V130" s="48" t="s">
        <v>9</v>
      </c>
      <c r="W130" s="39" t="s">
        <v>9</v>
      </c>
      <c r="X130" s="50" t="s">
        <v>9</v>
      </c>
      <c r="Y130" s="51" t="s">
        <v>9</v>
      </c>
      <c r="Z130" s="50" t="s">
        <v>9</v>
      </c>
      <c r="AA130" s="75" t="s">
        <v>9</v>
      </c>
      <c r="AB130" s="50" t="s">
        <v>9</v>
      </c>
      <c r="AC130" s="75" t="s">
        <v>9</v>
      </c>
      <c r="AD130" s="50" t="s">
        <v>9</v>
      </c>
      <c r="AE130" s="75" t="s">
        <v>9</v>
      </c>
      <c r="AF130" s="48" t="s">
        <v>9</v>
      </c>
      <c r="AG130" s="74" t="s">
        <v>9</v>
      </c>
      <c r="AH130" s="48" t="s">
        <v>9</v>
      </c>
      <c r="AI130" s="74" t="s">
        <v>9</v>
      </c>
      <c r="AJ130" s="48" t="s">
        <v>9</v>
      </c>
      <c r="AK130" s="74" t="s">
        <v>9</v>
      </c>
      <c r="AL130" s="48" t="s">
        <v>9</v>
      </c>
      <c r="AM130" s="74" t="s">
        <v>9</v>
      </c>
      <c r="AN130" s="48" t="s">
        <v>9</v>
      </c>
      <c r="AO130" s="39" t="s">
        <v>9</v>
      </c>
      <c r="AP130" s="48" t="s">
        <v>120</v>
      </c>
      <c r="AQ130" s="39" t="s">
        <v>1497</v>
      </c>
      <c r="AR130" s="48" t="s">
        <v>121</v>
      </c>
      <c r="AS130" s="39" t="s">
        <v>1500</v>
      </c>
      <c r="AT130" s="48" t="s">
        <v>9</v>
      </c>
      <c r="AU130" s="74" t="s">
        <v>9</v>
      </c>
      <c r="AV130" s="48" t="s">
        <v>9</v>
      </c>
      <c r="AW130" s="74" t="s">
        <v>9</v>
      </c>
    </row>
    <row r="131" spans="1:49" ht="6.75" customHeight="1" x14ac:dyDescent="0.4">
      <c r="A131" s="66">
        <v>131</v>
      </c>
      <c r="B131" s="63" t="s">
        <v>1509</v>
      </c>
      <c r="C131" s="71" t="s">
        <v>1572</v>
      </c>
      <c r="D131" s="49" t="s">
        <v>1505</v>
      </c>
      <c r="E131" s="54" t="s">
        <v>112</v>
      </c>
      <c r="F131" s="49" t="s">
        <v>1579</v>
      </c>
      <c r="G131" s="54" t="s">
        <v>85</v>
      </c>
      <c r="H131" s="49" t="s">
        <v>1507</v>
      </c>
      <c r="I131" s="54" t="s">
        <v>85</v>
      </c>
      <c r="J131" s="48" t="s">
        <v>75</v>
      </c>
      <c r="K131" s="39" t="s">
        <v>1506</v>
      </c>
      <c r="L131" s="50" t="s">
        <v>75</v>
      </c>
      <c r="M131" s="51" t="s">
        <v>1510</v>
      </c>
      <c r="N131" s="50" t="s">
        <v>9</v>
      </c>
      <c r="O131" s="51" t="s">
        <v>9</v>
      </c>
      <c r="P131" s="50" t="s">
        <v>9</v>
      </c>
      <c r="Q131" s="51" t="s">
        <v>9</v>
      </c>
      <c r="R131" s="50" t="s">
        <v>9</v>
      </c>
      <c r="S131" s="75" t="s">
        <v>9</v>
      </c>
      <c r="T131" s="48" t="s">
        <v>9</v>
      </c>
      <c r="U131" s="74" t="s">
        <v>9</v>
      </c>
      <c r="V131" s="48" t="s">
        <v>9</v>
      </c>
      <c r="W131" s="39" t="s">
        <v>9</v>
      </c>
      <c r="X131" s="48" t="s">
        <v>1491</v>
      </c>
      <c r="Y131" s="39" t="s">
        <v>1479</v>
      </c>
      <c r="Z131" s="50" t="s">
        <v>9</v>
      </c>
      <c r="AA131" s="75" t="s">
        <v>9</v>
      </c>
      <c r="AB131" s="50" t="s">
        <v>9</v>
      </c>
      <c r="AC131" s="75" t="s">
        <v>9</v>
      </c>
      <c r="AD131" s="50" t="s">
        <v>9</v>
      </c>
      <c r="AE131" s="75" t="s">
        <v>9</v>
      </c>
      <c r="AF131" s="48" t="s">
        <v>9</v>
      </c>
      <c r="AG131" s="74" t="s">
        <v>9</v>
      </c>
      <c r="AH131" s="48" t="s">
        <v>9</v>
      </c>
      <c r="AI131" s="74" t="s">
        <v>9</v>
      </c>
      <c r="AJ131" s="48" t="s">
        <v>9</v>
      </c>
      <c r="AK131" s="74" t="s">
        <v>9</v>
      </c>
      <c r="AL131" s="48" t="s">
        <v>9</v>
      </c>
      <c r="AM131" s="74" t="s">
        <v>9</v>
      </c>
      <c r="AN131" s="48" t="s">
        <v>9</v>
      </c>
      <c r="AO131" s="39" t="s">
        <v>9</v>
      </c>
      <c r="AP131" s="48" t="s">
        <v>9</v>
      </c>
      <c r="AQ131" s="39" t="s">
        <v>9</v>
      </c>
      <c r="AR131" s="48" t="s">
        <v>9</v>
      </c>
      <c r="AS131" s="39" t="s">
        <v>9</v>
      </c>
      <c r="AT131" s="48" t="s">
        <v>9</v>
      </c>
      <c r="AU131" s="74" t="s">
        <v>9</v>
      </c>
      <c r="AV131" s="48" t="s">
        <v>9</v>
      </c>
      <c r="AW131" s="74" t="s">
        <v>9</v>
      </c>
    </row>
    <row r="132" spans="1:49" ht="6.75" customHeight="1" x14ac:dyDescent="0.4">
      <c r="A132" s="66">
        <v>132</v>
      </c>
      <c r="B132" s="63" t="s">
        <v>1508</v>
      </c>
      <c r="C132" s="71" t="s">
        <v>1572</v>
      </c>
      <c r="D132" s="49" t="s">
        <v>1505</v>
      </c>
      <c r="E132" s="54" t="s">
        <v>112</v>
      </c>
      <c r="F132" s="49" t="s">
        <v>1579</v>
      </c>
      <c r="G132" s="54" t="s">
        <v>474</v>
      </c>
      <c r="H132" s="49" t="s">
        <v>1507</v>
      </c>
      <c r="I132" s="54" t="s">
        <v>474</v>
      </c>
      <c r="J132" s="48" t="s">
        <v>75</v>
      </c>
      <c r="K132" s="39" t="s">
        <v>1506</v>
      </c>
      <c r="L132" s="50" t="s">
        <v>75</v>
      </c>
      <c r="M132" s="51" t="s">
        <v>1511</v>
      </c>
      <c r="N132" s="50" t="s">
        <v>9</v>
      </c>
      <c r="O132" s="51" t="s">
        <v>9</v>
      </c>
      <c r="P132" s="50" t="s">
        <v>9</v>
      </c>
      <c r="Q132" s="51" t="s">
        <v>9</v>
      </c>
      <c r="R132" s="50" t="s">
        <v>9</v>
      </c>
      <c r="S132" s="75" t="s">
        <v>9</v>
      </c>
      <c r="T132" s="48" t="s">
        <v>9</v>
      </c>
      <c r="U132" s="74" t="s">
        <v>9</v>
      </c>
      <c r="V132" s="48" t="s">
        <v>9</v>
      </c>
      <c r="W132" s="39" t="s">
        <v>9</v>
      </c>
      <c r="X132" s="50" t="s">
        <v>9</v>
      </c>
      <c r="Y132" s="51" t="s">
        <v>9</v>
      </c>
      <c r="Z132" s="50" t="s">
        <v>9</v>
      </c>
      <c r="AA132" s="75" t="s">
        <v>9</v>
      </c>
      <c r="AB132" s="50" t="s">
        <v>9</v>
      </c>
      <c r="AC132" s="75" t="s">
        <v>9</v>
      </c>
      <c r="AD132" s="50" t="s">
        <v>9</v>
      </c>
      <c r="AE132" s="75" t="s">
        <v>9</v>
      </c>
      <c r="AF132" s="48" t="s">
        <v>9</v>
      </c>
      <c r="AG132" s="74" t="s">
        <v>9</v>
      </c>
      <c r="AH132" s="48" t="s">
        <v>9</v>
      </c>
      <c r="AI132" s="74" t="s">
        <v>9</v>
      </c>
      <c r="AJ132" s="48" t="s">
        <v>9</v>
      </c>
      <c r="AK132" s="74" t="s">
        <v>9</v>
      </c>
      <c r="AL132" s="48" t="s">
        <v>9</v>
      </c>
      <c r="AM132" s="74" t="s">
        <v>9</v>
      </c>
      <c r="AN132" s="48" t="s">
        <v>9</v>
      </c>
      <c r="AO132" s="39" t="s">
        <v>9</v>
      </c>
      <c r="AP132" s="48" t="s">
        <v>9</v>
      </c>
      <c r="AQ132" s="39" t="s">
        <v>9</v>
      </c>
      <c r="AR132" s="48" t="s">
        <v>9</v>
      </c>
      <c r="AS132" s="39" t="s">
        <v>9</v>
      </c>
      <c r="AT132" s="48" t="s">
        <v>9</v>
      </c>
      <c r="AU132" s="74" t="s">
        <v>9</v>
      </c>
      <c r="AV132" s="48" t="s">
        <v>9</v>
      </c>
      <c r="AW132" s="74" t="s">
        <v>9</v>
      </c>
    </row>
  </sheetData>
  <phoneticPr fontId="1" type="noConversion"/>
  <conditionalFormatting sqref="A1:B1 B2:B31 B113:B132 A133:B1048576 D1:I1048576 L1:XFD124 A2:A132 T125:AO125 T126:XFD126 T127:AS127 AT127:XFD129 T128:AP129 AR128:AS129 T130:XFD131 L132:XFD1048576">
    <cfRule type="cellIs" dxfId="40" priority="97" operator="equal">
      <formula>"null"</formula>
    </cfRule>
  </conditionalFormatting>
  <conditionalFormatting sqref="B1:B31 B113:B1048576">
    <cfRule type="duplicateValues" dxfId="39" priority="94"/>
  </conditionalFormatting>
  <conditionalFormatting sqref="B1:B1048576">
    <cfRule type="duplicateValues" dxfId="38" priority="64"/>
  </conditionalFormatting>
  <conditionalFormatting sqref="B32:B57">
    <cfRule type="duplicateValues" dxfId="37" priority="90"/>
    <cfRule type="cellIs" dxfId="36" priority="91" operator="equal">
      <formula>"null"</formula>
    </cfRule>
  </conditionalFormatting>
  <conditionalFormatting sqref="B58:B66">
    <cfRule type="duplicateValues" dxfId="35" priority="89"/>
  </conditionalFormatting>
  <conditionalFormatting sqref="B58:B112">
    <cfRule type="cellIs" dxfId="34" priority="84" operator="equal">
      <formula>"null"</formula>
    </cfRule>
  </conditionalFormatting>
  <conditionalFormatting sqref="B67:B74">
    <cfRule type="duplicateValues" dxfId="33" priority="87"/>
  </conditionalFormatting>
  <conditionalFormatting sqref="B75:B86">
    <cfRule type="duplicateValues" dxfId="32" priority="83"/>
  </conditionalFormatting>
  <conditionalFormatting sqref="B75:B112">
    <cfRule type="duplicateValues" dxfId="31" priority="85"/>
  </conditionalFormatting>
  <conditionalFormatting sqref="B126">
    <cfRule type="duplicateValues" dxfId="30" priority="18"/>
  </conditionalFormatting>
  <conditionalFormatting sqref="B130:B1048576 B113:B124">
    <cfRule type="duplicateValues" dxfId="29" priority="92"/>
  </conditionalFormatting>
  <conditionalFormatting sqref="C3:C14">
    <cfRule type="cellIs" dxfId="28" priority="1" operator="equal">
      <formula>"null"</formula>
    </cfRule>
  </conditionalFormatting>
  <conditionalFormatting sqref="C6:C7">
    <cfRule type="duplicateValues" dxfId="27" priority="6"/>
    <cfRule type="duplicateValues" dxfId="26" priority="7"/>
    <cfRule type="duplicateValues" dxfId="25" priority="8"/>
  </conditionalFormatting>
  <conditionalFormatting sqref="C14">
    <cfRule type="duplicateValues" dxfId="24" priority="2"/>
    <cfRule type="duplicateValues" dxfId="23" priority="3"/>
    <cfRule type="duplicateValues" dxfId="22" priority="4"/>
  </conditionalFormatting>
  <conditionalFormatting sqref="C16:C31">
    <cfRule type="cellIs" dxfId="21" priority="11" operator="equal">
      <formula>"null"</formula>
    </cfRule>
  </conditionalFormatting>
  <conditionalFormatting sqref="C86">
    <cfRule type="cellIs" dxfId="20" priority="10" operator="equal">
      <formula>"null"</formula>
    </cfRule>
  </conditionalFormatting>
  <conditionalFormatting sqref="C126">
    <cfRule type="duplicateValues" dxfId="19" priority="16"/>
    <cfRule type="duplicateValues" dxfId="18" priority="15"/>
    <cfRule type="duplicateValues" dxfId="17" priority="14"/>
    <cfRule type="cellIs" dxfId="16" priority="13" operator="equal">
      <formula>"null"</formula>
    </cfRule>
  </conditionalFormatting>
  <conditionalFormatting sqref="C127">
    <cfRule type="duplicateValues" dxfId="15" priority="36"/>
    <cfRule type="duplicateValues" dxfId="14" priority="37"/>
    <cfRule type="duplicateValues" dxfId="13" priority="35"/>
  </conditionalFormatting>
  <conditionalFormatting sqref="C127:C129">
    <cfRule type="cellIs" dxfId="12" priority="47" operator="equal">
      <formula>"null"</formula>
    </cfRule>
  </conditionalFormatting>
  <conditionalFormatting sqref="C128">
    <cfRule type="duplicateValues" dxfId="11" priority="32"/>
    <cfRule type="duplicateValues" dxfId="10" priority="33"/>
    <cfRule type="duplicateValues" dxfId="9" priority="34"/>
  </conditionalFormatting>
  <conditionalFormatting sqref="C129">
    <cfRule type="duplicateValues" dxfId="8" priority="31"/>
    <cfRule type="duplicateValues" dxfId="7" priority="29"/>
    <cfRule type="duplicateValues" dxfId="6" priority="30"/>
  </conditionalFormatting>
  <conditionalFormatting sqref="G131">
    <cfRule type="duplicateValues" dxfId="5" priority="65"/>
  </conditionalFormatting>
  <conditionalFormatting sqref="I131">
    <cfRule type="duplicateValues" dxfId="4" priority="12"/>
  </conditionalFormatting>
  <conditionalFormatting sqref="J1:K132">
    <cfRule type="cellIs" dxfId="3" priority="17" operator="equal">
      <formula>"null"</formula>
    </cfRule>
  </conditionalFormatting>
  <conditionalFormatting sqref="L125:S131">
    <cfRule type="cellIs" dxfId="2" priority="24" operator="equal">
      <formula>"null"</formula>
    </cfRule>
  </conditionalFormatting>
  <conditionalFormatting sqref="AP125:AU125">
    <cfRule type="cellIs" dxfId="1" priority="23" operator="equal">
      <formula>"null"</formula>
    </cfRule>
  </conditionalFormatting>
  <conditionalFormatting sqref="AQ128:AQ129">
    <cfRule type="cellIs" dxfId="0" priority="38" operator="equal">
      <formula>"null"</formula>
    </cfRule>
  </conditionalFormatting>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Template/>
  <TotalTime>411</TotalTime>
  <Application>Microsoft Excel</Application>
  <DocSecurity>0</DocSecurity>
  <ScaleCrop>false</ScaleCrop>
  <HeadingPairs>
    <vt:vector size="2" baseType="variant">
      <vt:variant>
        <vt:lpstr>Planilhas</vt:lpstr>
      </vt:variant>
      <vt:variant>
        <vt:i4>5</vt:i4>
      </vt:variant>
    </vt:vector>
  </HeadingPairs>
  <TitlesOfParts>
    <vt:vector size="5" baseType="lpstr">
      <vt:lpstr>Projeto</vt:lpstr>
      <vt:lpstr>Classes</vt:lpstr>
      <vt:lpstr>Disjunt</vt:lpstr>
      <vt:lpstr>Interop</vt:lpstr>
      <vt:lpstr>FatosIn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José Luis Menegotto</dc:creator>
  <dc:description/>
  <cp:lastModifiedBy>José Luis Menegotto</cp:lastModifiedBy>
  <cp:revision>26</cp:revision>
  <dcterms:created xsi:type="dcterms:W3CDTF">2024-12-02T13:09:25Z</dcterms:created>
  <dcterms:modified xsi:type="dcterms:W3CDTF">2026-09-19T14:03:07Z</dcterms:modified>
  <dc:language>pt-BR</dc:language>
</cp:coreProperties>
</file>