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D4F1C917-98E1-4B61-9BC0-2A094EC4056F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9" l="1"/>
  <c r="U10" i="9"/>
  <c r="T10" i="9"/>
  <c r="S10" i="9"/>
  <c r="O10" i="9"/>
  <c r="N10" i="9"/>
  <c r="M10" i="9"/>
  <c r="L10" i="9"/>
  <c r="W7" i="9"/>
  <c r="U7" i="9"/>
  <c r="T7" i="9"/>
  <c r="S7" i="9"/>
  <c r="O7" i="9"/>
  <c r="N7" i="9"/>
  <c r="M7" i="9"/>
  <c r="L7" i="9"/>
  <c r="W3" i="9"/>
  <c r="W4" i="9"/>
  <c r="W5" i="9"/>
  <c r="W6" i="9"/>
  <c r="W8" i="9"/>
  <c r="W9" i="9"/>
  <c r="W11" i="9"/>
  <c r="W12" i="9"/>
  <c r="W13" i="9"/>
  <c r="U13" i="9"/>
  <c r="T13" i="9"/>
  <c r="S13" i="9"/>
  <c r="O13" i="9"/>
  <c r="N13" i="9"/>
  <c r="M13" i="9"/>
  <c r="L13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8" i="9"/>
  <c r="T8" i="9"/>
  <c r="S8" i="9"/>
  <c r="O8" i="9"/>
  <c r="N8" i="9"/>
  <c r="M8" i="9"/>
  <c r="L8" i="9"/>
  <c r="Q4" i="9"/>
  <c r="Q12" i="9"/>
  <c r="Q5" i="9"/>
  <c r="Q13" i="9"/>
  <c r="Q3" i="9"/>
  <c r="Q6" i="9"/>
  <c r="Q7" i="9"/>
  <c r="Q8" i="9"/>
  <c r="Q9" i="9"/>
  <c r="Q10" i="9"/>
  <c r="Q11" i="9"/>
  <c r="Q2" i="9"/>
  <c r="AA5" i="9"/>
  <c r="AA6" i="9"/>
  <c r="AA3" i="9"/>
  <c r="AA13" i="9"/>
  <c r="AA7" i="9"/>
  <c r="AA8" i="9"/>
  <c r="AA4" i="9"/>
  <c r="AA9" i="9"/>
  <c r="AA10" i="9"/>
  <c r="AA11" i="9"/>
  <c r="AA12" i="9"/>
  <c r="AA2" i="9"/>
  <c r="U12" i="9" l="1"/>
  <c r="T12" i="9"/>
  <c r="S12" i="9"/>
  <c r="O12" i="9"/>
  <c r="N12" i="9"/>
  <c r="M12" i="9"/>
  <c r="L12" i="9"/>
  <c r="U11" i="9"/>
  <c r="T11" i="9"/>
  <c r="S11" i="9"/>
  <c r="O11" i="9"/>
  <c r="N11" i="9"/>
  <c r="M11" i="9"/>
  <c r="L11" i="9"/>
  <c r="U9" i="9"/>
  <c r="T9" i="9"/>
  <c r="S9" i="9"/>
  <c r="O9" i="9"/>
  <c r="N9" i="9"/>
  <c r="M9" i="9"/>
  <c r="L9" i="9"/>
  <c r="W2" i="9" l="1"/>
  <c r="U6" i="9"/>
  <c r="T6" i="9"/>
  <c r="S6" i="9"/>
  <c r="O6" i="9"/>
  <c r="N6" i="9"/>
  <c r="M6" i="9"/>
  <c r="L6" i="9"/>
  <c r="B25" i="13"/>
  <c r="S3" i="9" l="1"/>
  <c r="T3" i="9"/>
  <c r="U3" i="9"/>
  <c r="L2" i="9"/>
  <c r="M2" i="9"/>
  <c r="N2" i="9"/>
  <c r="O2" i="9"/>
  <c r="S2" i="9"/>
  <c r="T2" i="9"/>
  <c r="U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<sst xmlns="http://schemas.openxmlformats.org/spreadsheetml/2006/main" count="577" uniqueCount="197">
  <si>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</si>
  <si>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</si>
  <si>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</si>
  <si>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</si>
  <si>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</si>
  <si>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</si>
  <si>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</si>
  <si>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</si>
  <si>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</si>
  <si>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</si>
  <si>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</si>
  <si>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</si>
  <si>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</si>
  <si>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</si>
  <si>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</si>
  <si>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</si>
  <si>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</si>
  <si>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</si>
  <si>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</si>
  <si>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</si>
  <si>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</si>
  <si>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</si>
  <si>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</si>
  <si>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</si>
  <si>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</si>
  <si>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</si>
  <si>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</si>
  <si>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</si>
  <si>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</si>
  <si>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</si>
  <si>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</si>
  <si>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</si>
  <si>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</si>
  <si>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</si>
  <si>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</si>
  <si>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</si>
  <si>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</si>
  <si>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</si>
  <si>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</si>
  <si>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</si>
  <si>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</si>
  <si>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</si>
  <si>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</si>
  <si>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</si>
  <si>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</si>
  <si>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</si>
  <si>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</si>
  <si>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</si>
  <si>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</si>
  <si>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</si>
  <si>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</si>
  <si>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</si>
  <si>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</si>
  <si>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</si>
  <si>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</si>
  <si>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</si>
  <si>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</si>
  <si>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</si>
  <si>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</si>
  <si>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</si>
  <si>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</si>
  <si>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</si>
  <si>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</si>
  <si>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</si>
  <si>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</si>
  <si>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</si>
  <si>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</si>
  <si>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</si>
  <si>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</si>
  <si>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</si>
  <si>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</si>
  <si>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</si>
  <si>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</si>
  <si>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</si>
  <si>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</si>
  <si>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</si>
  <si>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</si>
  <si>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</si>
  <si>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</si>
  <si>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</si>
  <si>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</si>
  <si>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</si>
  <si>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</si>
  <si>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</si>
  <si>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</si>
  <si>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</si>
  <si>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</si>
  <si>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</si>
  <si>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</si>
  <si>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</si>
  <si>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</si>
  <si>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</si>
  <si>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</si>
  <si>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</si>
  <si>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</si>
  <si>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</si>
  <si>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</si>
  <si>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</si>
  <si>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</si>
  <si>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</si>
  <si>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</si>
  <si>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</si>
  <si>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</si>
  <si>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</si>
  <si>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</si>
  <si>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</si>
  <si>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</si>
  <si>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</si>
  <si>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</si>
  <si>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</si>
  <si>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</si>
  <si>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</si>
  <si>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</si>
  <si>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</si>
  <si>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</si>
  <si>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</si>
  <si>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</si>
  <si>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</si>
  <si>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</si>
  <si>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</si>
  <si>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</si>
  <si>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</si>
  <si>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</si>
  <si>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</si>
  <si>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</si>
  <si>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</si>
  <si>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</si>
  <si>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</si>
  <si>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</si>
  <si>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</si>
  <si>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</si>
  <si>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</si>
  <si>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</si>
  <si>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</si>
  <si>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</si>
  <si>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</si>
  <si>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</si>
  <si>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</si>
  <si>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</si>
  <si>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</si>
  <si>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</si>
  <si>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</si>
  <si>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</si>
  <si>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</si>
  <si>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</si>
  <si>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</si>
  <si>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agente.de</t>
  </si>
  <si>
    <t>"Projeto_A"</t>
  </si>
  <si>
    <t>Projeto</t>
  </si>
  <si>
    <t>Linguagem</t>
  </si>
  <si>
    <t>Sintaxe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</si>
  <si>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</si>
  <si>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</si>
  <si>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</si>
  <si>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</si>
  <si>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</si>
  <si>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</si>
  <si>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</si>
  <si>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</si>
  <si>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</si>
  <si>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</si>
  <si>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</si>
  <si>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</si>
  <si>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</si>
  <si>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</si>
  <si>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</si>
  <si>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</si>
  <si>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Computacionais</t>
  </si>
  <si>
    <t>Agêntica.Artificial</t>
  </si>
  <si>
    <t>Orquestações</t>
  </si>
  <si>
    <t>Agentes.Humanos</t>
  </si>
  <si>
    <t>Agentes.Artificiais</t>
  </si>
  <si>
    <t>Projetista</t>
  </si>
  <si>
    <t>Agente.IA</t>
  </si>
  <si>
    <t>Sintática</t>
  </si>
  <si>
    <t>Semântica</t>
  </si>
  <si>
    <t>Inteligente</t>
  </si>
  <si>
    <t>Declara um projetista humano que trabalha no projeto.</t>
  </si>
  <si>
    <t>Declara um agente artificial utilizado para o projeto.</t>
  </si>
  <si>
    <t>Semântico</t>
  </si>
  <si>
    <t>Declara uma semântica específca utilizada para dar significado aos elementos do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</si>
  <si>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</si>
  <si>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</si>
  <si>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</si>
  <si>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</si>
  <si>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</si>
  <si>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</si>
  <si>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</si>
  <si>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</si>
  <si>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Agêntica.Natural</t>
  </si>
  <si>
    <t>Calculista</t>
  </si>
  <si>
    <t>Declara um idioma natural utilizado em tarefas do projeto.</t>
  </si>
  <si>
    <t>Declara uma linguagem computacional utilizada para automatizar tarefas do projeto.</t>
  </si>
  <si>
    <t>Declara uma sintaxe artificial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</si>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</sst>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2" fontId="9" fillId="8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1" fontId="4" fillId="10" borderId="4" xfId="0" applyNumberFormat="1" applyFont="1" applyFill="1" applyBorder="1" applyAlignment="1">
      <alignment horizontal="left" vertical="center"/>
    </xf>
    <xf numFmtId="2" fontId="4" fillId="10" borderId="4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54" customWidth="1"/>
    <col min="2" max="2" width="51.7109375" style="54" bestFit="1" customWidth="1"/>
    <col min="3" max="3" width="3.42578125" style="46" bestFit="1" customWidth="1"/>
    <col min="4" max="16384" width="9.28515625" style="54"/>
  </cols>
  <sheetData>
    <row r="1" spans="1:3" ht="14.25" customHeight="1" x14ac:dyDescent="0.25">
      <c r="A1" s="17" t="s">
        <v>46</v>
      </c>
      <c r="B1" s="17" t="s">
        <v>47</v>
      </c>
      <c r="C1" s="44" t="s">
        <v>86</v>
      </c>
    </row>
    <row r="2" spans="1:3" ht="9" customHeight="1" x14ac:dyDescent="0.25">
      <c r="A2" s="18" t="s">
        <v>48</v>
      </c>
      <c r="B2" s="18" t="s">
        <v>49</v>
      </c>
      <c r="C2" s="45" t="s">
        <v>87</v>
      </c>
    </row>
    <row r="3" spans="1:3" ht="9" customHeight="1" x14ac:dyDescent="0.25">
      <c r="A3" s="18" t="s">
        <v>50</v>
      </c>
      <c r="B3" s="18" t="s">
        <v>94</v>
      </c>
      <c r="C3" s="45" t="s">
        <v>87</v>
      </c>
    </row>
    <row r="4" spans="1:3" ht="9" customHeight="1" x14ac:dyDescent="0.25">
      <c r="A4" s="19" t="s">
        <v>51</v>
      </c>
      <c r="B4" s="19" t="s">
        <v>33</v>
      </c>
      <c r="C4" s="45" t="s">
        <v>87</v>
      </c>
    </row>
    <row r="5" spans="1:3" ht="9" customHeight="1" x14ac:dyDescent="0.25">
      <c r="A5" s="19" t="s">
        <v>52</v>
      </c>
      <c r="B5" s="19" t="str">
        <f>_xlfn.CONCAT(B4,"Prop")</f>
        <v>BIMProp</v>
      </c>
      <c r="C5" s="45" t="s">
        <v>87</v>
      </c>
    </row>
    <row r="6" spans="1:3" ht="9" customHeight="1" x14ac:dyDescent="0.25">
      <c r="A6" s="19" t="s">
        <v>53</v>
      </c>
      <c r="B6" s="19" t="str">
        <f>_xlfn.CONCAT(B4,"Data")</f>
        <v>BIMData</v>
      </c>
      <c r="C6" s="45" t="s">
        <v>87</v>
      </c>
    </row>
    <row r="7" spans="1:3" ht="9" customHeight="1" x14ac:dyDescent="0.25">
      <c r="A7" s="19" t="s">
        <v>54</v>
      </c>
      <c r="B7" s="19" t="s">
        <v>55</v>
      </c>
      <c r="C7" s="45" t="s">
        <v>87</v>
      </c>
    </row>
    <row r="8" spans="1:3" ht="9" customHeight="1" x14ac:dyDescent="0.25">
      <c r="A8" s="19" t="s">
        <v>56</v>
      </c>
      <c r="B8" s="19" t="s">
        <v>84</v>
      </c>
      <c r="C8" s="45" t="s">
        <v>87</v>
      </c>
    </row>
    <row r="9" spans="1:3" ht="9" customHeight="1" x14ac:dyDescent="0.25">
      <c r="A9" s="19" t="s">
        <v>57</v>
      </c>
      <c r="B9" s="19" t="s">
        <v>58</v>
      </c>
      <c r="C9" s="45" t="s">
        <v>87</v>
      </c>
    </row>
    <row r="10" spans="1:3" ht="9" customHeight="1" x14ac:dyDescent="0.25">
      <c r="A10" s="19" t="s">
        <v>59</v>
      </c>
      <c r="B10" s="19" t="s">
        <v>60</v>
      </c>
      <c r="C10" s="45" t="s">
        <v>87</v>
      </c>
    </row>
    <row r="11" spans="1:3" ht="9" customHeight="1" x14ac:dyDescent="0.25">
      <c r="A11" s="19" t="s">
        <v>61</v>
      </c>
      <c r="B11" s="19" t="s">
        <v>60</v>
      </c>
      <c r="C11" s="45" t="s">
        <v>87</v>
      </c>
    </row>
    <row r="12" spans="1:3" ht="9" customHeight="1" x14ac:dyDescent="0.25">
      <c r="A12" s="19" t="s">
        <v>62</v>
      </c>
      <c r="B12" s="19" t="s">
        <v>60</v>
      </c>
      <c r="C12" s="45" t="s">
        <v>87</v>
      </c>
    </row>
    <row r="13" spans="1:3" ht="9" customHeight="1" x14ac:dyDescent="0.25">
      <c r="A13" s="19" t="s">
        <v>63</v>
      </c>
      <c r="B13" s="19" t="s">
        <v>60</v>
      </c>
      <c r="C13" s="45" t="s">
        <v>87</v>
      </c>
    </row>
    <row r="14" spans="1:3" ht="9" customHeight="1" x14ac:dyDescent="0.25">
      <c r="A14" s="19" t="s">
        <v>64</v>
      </c>
      <c r="B14" s="19" t="s">
        <v>60</v>
      </c>
      <c r="C14" s="45" t="s">
        <v>87</v>
      </c>
    </row>
    <row r="15" spans="1:3" ht="9" customHeight="1" x14ac:dyDescent="0.25">
      <c r="A15" s="19" t="s">
        <v>65</v>
      </c>
      <c r="B15" s="19" t="s">
        <v>60</v>
      </c>
      <c r="C15" s="45" t="s">
        <v>87</v>
      </c>
    </row>
    <row r="16" spans="1:3" ht="9" customHeight="1" x14ac:dyDescent="0.25">
      <c r="A16" s="19" t="s">
        <v>66</v>
      </c>
      <c r="B16" s="19" t="s">
        <v>60</v>
      </c>
      <c r="C16" s="45" t="s">
        <v>87</v>
      </c>
    </row>
    <row r="17" spans="1:3" ht="9" customHeight="1" x14ac:dyDescent="0.25">
      <c r="A17" s="19" t="s">
        <v>67</v>
      </c>
      <c r="B17" s="19" t="s">
        <v>95</v>
      </c>
      <c r="C17" s="45" t="s">
        <v>87</v>
      </c>
    </row>
    <row r="18" spans="1:3" ht="9" customHeight="1" x14ac:dyDescent="0.25">
      <c r="A18" s="19" t="s">
        <v>68</v>
      </c>
      <c r="B18" s="20">
        <f ca="1">NOW()</f>
        <v>46248.624910763887</v>
      </c>
      <c r="C18" s="45" t="s">
        <v>87</v>
      </c>
    </row>
    <row r="19" spans="1:3" ht="9" customHeight="1" x14ac:dyDescent="0.25">
      <c r="A19" s="19" t="s">
        <v>90</v>
      </c>
      <c r="B19" s="20" t="s">
        <v>93</v>
      </c>
      <c r="C19" s="45" t="s">
        <v>87</v>
      </c>
    </row>
    <row r="20" spans="1:3" ht="9" customHeight="1" x14ac:dyDescent="0.25">
      <c r="A20" s="19" t="s">
        <v>91</v>
      </c>
      <c r="B20" s="20" t="str">
        <f>_xlfn.TRANSLATE(B19,"pt","es")</f>
        <v>Traducciones al español e inglés incorporadas. Las traducciones deben revisarse constantemente</v>
      </c>
      <c r="C20" s="45" t="s">
        <v>88</v>
      </c>
    </row>
    <row r="21" spans="1:3" ht="9" customHeight="1" x14ac:dyDescent="0.25">
      <c r="A21" s="19" t="s">
        <v>92</v>
      </c>
      <c r="B21" s="20" t="str">
        <f>_xlfn.TRANSLATE(B19,"pt","es")</f>
        <v>Traducciones al español e inglés incorporadas. Las traducciones deben revisarse constantemente</v>
      </c>
      <c r="C21" s="45" t="s">
        <v>89</v>
      </c>
    </row>
    <row r="22" spans="1:3" ht="9" customHeight="1" x14ac:dyDescent="0.25">
      <c r="A22" s="19" t="s">
        <v>69</v>
      </c>
      <c r="B22" s="19" t="s">
        <v>60</v>
      </c>
      <c r="C22" s="45" t="s">
        <v>87</v>
      </c>
    </row>
    <row r="23" spans="1:3" ht="9" customHeight="1" x14ac:dyDescent="0.25">
      <c r="A23" s="19" t="s">
        <v>70</v>
      </c>
      <c r="B23" s="19" t="s">
        <v>60</v>
      </c>
      <c r="C23" s="45" t="s">
        <v>87</v>
      </c>
    </row>
    <row r="24" spans="1:3" ht="9" customHeight="1" x14ac:dyDescent="0.25">
      <c r="A24" s="19" t="s">
        <v>71</v>
      </c>
      <c r="B24" s="21" t="s">
        <v>96</v>
      </c>
      <c r="C24" s="45" t="s">
        <v>87</v>
      </c>
    </row>
    <row r="25" spans="1:3" ht="9" customHeight="1" x14ac:dyDescent="0.25">
      <c r="A25" s="19" t="s">
        <v>72</v>
      </c>
      <c r="B25" s="21" t="str">
        <f>_xlfn.TRANSLATE(B24,"pt","es")</f>
        <v>Formaliza las clases para agentes.</v>
      </c>
      <c r="C25" s="45" t="s">
        <v>88</v>
      </c>
    </row>
    <row r="26" spans="1:3" ht="9" customHeight="1" x14ac:dyDescent="0.25">
      <c r="A26" s="19" t="s">
        <v>85</v>
      </c>
      <c r="B26" s="21" t="str">
        <f>_xlfn.TRANSLATE(B24,"pt","en")</f>
        <v>Formalize agent classes.</v>
      </c>
      <c r="C26" s="45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3"/>
  <sheetViews>
    <sheetView tabSelected="1" zoomScale="220" zoomScaleNormal="220" workbookViewId="0">
      <pane ySplit="1" topLeftCell="A2" activePane="bottomLeft" state="frozen"/>
      <selection pane="bottomLeft" activeCell="Q2" sqref="Q2:Q13"/>
    </sheetView>
  </sheetViews>
  <sheetFormatPr defaultColWidth="9.140625" defaultRowHeight="8.25" customHeight="1" x14ac:dyDescent="0.2"/>
  <cols>
    <col min="1" max="1" width="2.7109375" style="2" customWidth="1"/>
    <col min="2" max="2" width="6.28515625" style="13" bestFit="1" customWidth="1"/>
    <col min="3" max="3" width="11.140625" style="2" customWidth="1"/>
    <col min="4" max="4" width="8.85546875" style="13" customWidth="1"/>
    <col min="5" max="5" width="9.28515625" style="2" customWidth="1"/>
    <col min="6" max="6" width="8.140625" style="13" customWidth="1"/>
    <col min="7" max="11" width="7.7109375" style="13" customWidth="1"/>
    <col min="12" max="12" width="12.140625" style="13" customWidth="1"/>
    <col min="13" max="13" width="9.140625" style="12" customWidth="1"/>
    <col min="14" max="14" width="8.85546875" style="2" customWidth="1"/>
    <col min="15" max="15" width="9.140625" style="2" customWidth="1"/>
    <col min="16" max="16" width="37.5703125" style="13" customWidth="1"/>
    <col min="17" max="17" width="42.85546875" style="13" customWidth="1"/>
    <col min="18" max="18" width="8.7109375" style="2" bestFit="1" customWidth="1"/>
    <col min="19" max="19" width="13.42578125" style="2" bestFit="1" customWidth="1"/>
    <col min="20" max="20" width="10.28515625" style="13" bestFit="1" customWidth="1"/>
    <col min="21" max="21" width="10.5703125" style="2" bestFit="1" customWidth="1"/>
    <col min="22" max="22" width="8.5703125" style="13" bestFit="1" customWidth="1"/>
    <col min="23" max="23" width="7.7109375" style="53" bestFit="1" customWidth="1"/>
    <col min="24" max="24" width="7.85546875" style="32" customWidth="1"/>
    <col min="25" max="25" width="6.5703125" style="32" bestFit="1" customWidth="1"/>
    <col min="26" max="26" width="5.140625" style="31" customWidth="1"/>
    <col min="27" max="27" width="45.28515625" style="2" bestFit="1" customWidth="1"/>
    <col min="28" max="16384" width="9.140625" style="2"/>
  </cols>
  <sheetData>
    <row r="1" spans="1:27" s="28" customFormat="1" ht="48" customHeight="1" x14ac:dyDescent="0.25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55" t="s">
        <v>40</v>
      </c>
      <c r="S1" s="16" t="s">
        <v>34</v>
      </c>
      <c r="T1" s="16" t="s">
        <v>39</v>
      </c>
      <c r="U1" s="16" t="s">
        <v>36</v>
      </c>
      <c r="V1" s="16" t="s">
        <v>35</v>
      </c>
      <c r="W1" s="51" t="s">
        <v>9</v>
      </c>
      <c r="X1" s="30" t="s">
        <v>80</v>
      </c>
      <c r="Y1" s="30" t="s">
        <v>81</v>
      </c>
      <c r="Z1" s="47" t="s">
        <v>82</v>
      </c>
      <c r="AA1" s="43" t="s">
        <v>83</v>
      </c>
    </row>
    <row r="2" spans="1:27" customFormat="1" ht="7.5" customHeight="1" x14ac:dyDescent="0.25">
      <c r="A2" s="33">
        <v>2</v>
      </c>
      <c r="B2" s="34" t="s">
        <v>145</v>
      </c>
      <c r="C2" s="34" t="s">
        <v>166</v>
      </c>
      <c r="D2" s="34" t="s">
        <v>169</v>
      </c>
      <c r="E2" s="34" t="s">
        <v>170</v>
      </c>
      <c r="F2" s="35" t="s">
        <v>97</v>
      </c>
      <c r="G2" s="58" t="s">
        <v>10</v>
      </c>
      <c r="H2" s="58" t="s">
        <v>10</v>
      </c>
      <c r="I2" s="58" t="s">
        <v>10</v>
      </c>
      <c r="J2" s="58" t="s">
        <v>10</v>
      </c>
      <c r="K2" s="58" t="s">
        <v>10</v>
      </c>
      <c r="L2" s="36" t="str">
        <f t="shared" ref="L2" si="0">CONCATENATE("", C2)</f>
        <v>De.Inteligência.Projetual</v>
      </c>
      <c r="M2" s="36" t="str">
        <f t="shared" ref="M2" si="1">CONCATENATE("", D2)</f>
        <v>Orquestações</v>
      </c>
      <c r="N2" s="36" t="str">
        <f t="shared" ref="N2:O2" si="2">(SUBSTITUTE(SUBSTITUTE(CONCATENATE("",E2),"."," ")," De "," de "))</f>
        <v>Agentes Humanos</v>
      </c>
      <c r="O2" s="36" t="str">
        <f t="shared" si="2"/>
        <v>Agente Humano</v>
      </c>
      <c r="P2" s="37" t="s">
        <v>103</v>
      </c>
      <c r="Q2" s="37" t="str">
        <f t="shared" ref="Q2:Q13" si="3">_xlfn.TRANSLATE(P2,"pt","es")</f>
        <v>Declara a un agente humano</v>
      </c>
      <c r="R2" s="38" t="s">
        <v>10</v>
      </c>
      <c r="S2" s="38" t="str">
        <f t="shared" ref="S2:U2" si="4">SUBSTITUTE(C2, ".", " ")</f>
        <v>De Inteligência Projetual</v>
      </c>
      <c r="T2" s="38" t="str">
        <f t="shared" si="4"/>
        <v>Orquestações</v>
      </c>
      <c r="U2" s="38" t="str">
        <f t="shared" si="4"/>
        <v>Agentes Humanos</v>
      </c>
      <c r="V2" s="37" t="s">
        <v>144</v>
      </c>
      <c r="W2" s="52" t="str">
        <f t="shared" ref="W2:W13" si="5">CONCATENATE("Key-AGEN-",A2)</f>
        <v>Key-AGEN-2</v>
      </c>
      <c r="X2" s="37" t="s">
        <v>10</v>
      </c>
      <c r="Y2" s="37" t="s">
        <v>10</v>
      </c>
      <c r="Z2" s="37" t="s">
        <v>10</v>
      </c>
      <c r="AA2" s="37" t="str">
        <f>_xlfn.TRANSLATE(P2,"pt","en")</f>
        <v>Declares to a Human Agent</v>
      </c>
    </row>
    <row r="3" spans="1:27" customFormat="1" ht="7.5" customHeight="1" x14ac:dyDescent="0.25">
      <c r="A3" s="33">
        <v>3</v>
      </c>
      <c r="B3" s="34" t="s">
        <v>145</v>
      </c>
      <c r="C3" s="34" t="s">
        <v>166</v>
      </c>
      <c r="D3" s="34" t="s">
        <v>169</v>
      </c>
      <c r="E3" s="34" t="s">
        <v>171</v>
      </c>
      <c r="F3" s="35" t="s">
        <v>101</v>
      </c>
      <c r="G3" s="58" t="s">
        <v>10</v>
      </c>
      <c r="H3" s="58" t="s">
        <v>10</v>
      </c>
      <c r="I3" s="58" t="s">
        <v>10</v>
      </c>
      <c r="J3" s="58" t="s">
        <v>10</v>
      </c>
      <c r="K3" s="58" t="s">
        <v>10</v>
      </c>
      <c r="L3" s="36" t="str">
        <f t="shared" ref="L3:M5" si="6">CONCATENATE("", C3)</f>
        <v>De.Inteligência.Projetual</v>
      </c>
      <c r="M3" s="36" t="str">
        <f t="shared" si="6"/>
        <v>Orquestações</v>
      </c>
      <c r="N3" s="36" t="str">
        <f t="shared" ref="N3:O5" si="7">(SUBSTITUTE(SUBSTITUTE(CONCATENATE("",E3),"."," ")," De "," de "))</f>
        <v>Agentes Artificiais</v>
      </c>
      <c r="O3" s="36" t="str">
        <f t="shared" si="7"/>
        <v>Agente Artificial</v>
      </c>
      <c r="P3" s="37" t="s">
        <v>104</v>
      </c>
      <c r="Q3" s="37" t="str">
        <f t="shared" si="3"/>
        <v>Declara a un agente artificial</v>
      </c>
      <c r="R3" s="38" t="s">
        <v>10</v>
      </c>
      <c r="S3" s="38" t="str">
        <f t="shared" ref="S3:S5" si="8">SUBSTITUTE(C3, ".", " ")</f>
        <v>De Inteligência Projetual</v>
      </c>
      <c r="T3" s="38" t="str">
        <f t="shared" ref="T3:T5" si="9">SUBSTITUTE(D3, ".", " ")</f>
        <v>Orquestações</v>
      </c>
      <c r="U3" s="38" t="str">
        <f t="shared" ref="U3:U5" si="10">SUBSTITUTE(E3, ".", " ")</f>
        <v>Agentes Artificiais</v>
      </c>
      <c r="V3" s="37" t="s">
        <v>144</v>
      </c>
      <c r="W3" s="52" t="str">
        <f t="shared" si="5"/>
        <v>Key-AGEN-3</v>
      </c>
      <c r="X3" s="37" t="s">
        <v>10</v>
      </c>
      <c r="Y3" s="37" t="s">
        <v>10</v>
      </c>
      <c r="Z3" s="37" t="s">
        <v>10</v>
      </c>
      <c r="AA3" s="37" t="str">
        <f t="shared" ref="AA3:AA13" si="11">_xlfn.TRANSLATE(P3,"pt","en")</f>
        <v>Declares to an Artificial Agent</v>
      </c>
    </row>
    <row r="4" spans="1:27" customFormat="1" ht="7.5" customHeight="1" x14ac:dyDescent="0.25">
      <c r="A4" s="33">
        <v>4</v>
      </c>
      <c r="B4" s="34" t="s">
        <v>145</v>
      </c>
      <c r="C4" s="34" t="s">
        <v>166</v>
      </c>
      <c r="D4" s="34" t="s">
        <v>169</v>
      </c>
      <c r="E4" s="34" t="s">
        <v>167</v>
      </c>
      <c r="F4" s="35" t="s">
        <v>102</v>
      </c>
      <c r="G4" s="58" t="s">
        <v>10</v>
      </c>
      <c r="H4" s="58" t="s">
        <v>10</v>
      </c>
      <c r="I4" s="58" t="s">
        <v>10</v>
      </c>
      <c r="J4" s="58" t="s">
        <v>10</v>
      </c>
      <c r="K4" s="58" t="s">
        <v>10</v>
      </c>
      <c r="L4" s="36" t="str">
        <f t="shared" si="6"/>
        <v>De.Inteligência.Projetual</v>
      </c>
      <c r="M4" s="36" t="str">
        <f t="shared" si="6"/>
        <v>Orquestações</v>
      </c>
      <c r="N4" s="36" t="str">
        <f t="shared" si="7"/>
        <v>Computacionais</v>
      </c>
      <c r="O4" s="36" t="str">
        <f t="shared" si="7"/>
        <v>Gherkin</v>
      </c>
      <c r="P4" s="37" t="s">
        <v>136</v>
      </c>
      <c r="Q4" s="37" t="str">
        <f t="shared" si="3"/>
        <v>Declara el lenguaje Gherkin, para procesos BDD (Desarrollo Impulsado por el Comportamiento).</v>
      </c>
      <c r="R4" s="38" t="s">
        <v>10</v>
      </c>
      <c r="S4" s="38" t="str">
        <f t="shared" si="8"/>
        <v>De Inteligência Projetual</v>
      </c>
      <c r="T4" s="38" t="str">
        <f t="shared" si="9"/>
        <v>Orquestações</v>
      </c>
      <c r="U4" s="38" t="str">
        <f t="shared" si="10"/>
        <v>Computacionais</v>
      </c>
      <c r="V4" s="37" t="s">
        <v>144</v>
      </c>
      <c r="W4" s="52" t="str">
        <f t="shared" si="5"/>
        <v>Key-AGEN-4</v>
      </c>
      <c r="X4" s="37" t="s">
        <v>10</v>
      </c>
      <c r="Y4" s="37" t="s">
        <v>10</v>
      </c>
      <c r="Z4" s="37" t="s">
        <v>10</v>
      </c>
      <c r="AA4" s="37" t="str">
        <f t="shared" si="11"/>
        <v>Declares the Gherkin language, for BDD (Behaviour-Driven Development) processes.</v>
      </c>
    </row>
    <row r="5" spans="1:27" customFormat="1" ht="7.5" customHeight="1" x14ac:dyDescent="0.25">
      <c r="A5" s="33">
        <v>5</v>
      </c>
      <c r="B5" s="34" t="s">
        <v>145</v>
      </c>
      <c r="C5" s="34" t="s">
        <v>166</v>
      </c>
      <c r="D5" s="34" t="s">
        <v>169</v>
      </c>
      <c r="E5" s="34" t="s">
        <v>167</v>
      </c>
      <c r="F5" s="35" t="s">
        <v>174</v>
      </c>
      <c r="G5" s="58" t="s">
        <v>10</v>
      </c>
      <c r="H5" s="58" t="s">
        <v>10</v>
      </c>
      <c r="I5" s="58" t="s">
        <v>10</v>
      </c>
      <c r="J5" s="58" t="s">
        <v>10</v>
      </c>
      <c r="K5" s="58" t="s">
        <v>10</v>
      </c>
      <c r="L5" s="36" t="str">
        <f t="shared" si="6"/>
        <v>De.Inteligência.Projetual</v>
      </c>
      <c r="M5" s="36" t="str">
        <f t="shared" si="6"/>
        <v>Orquestações</v>
      </c>
      <c r="N5" s="36" t="str">
        <f t="shared" si="7"/>
        <v>Computacionais</v>
      </c>
      <c r="O5" s="36" t="str">
        <f t="shared" si="7"/>
        <v>Sintática</v>
      </c>
      <c r="P5" s="37" t="s">
        <v>196</v>
      </c>
      <c r="Q5" s="37" t="str">
        <f t="shared" si="3"/>
        <v>Declara una sintaxis computacional utilizada (por ejemplo, Manchester, TTL).</v>
      </c>
      <c r="R5" s="38" t="s">
        <v>10</v>
      </c>
      <c r="S5" s="38" t="str">
        <f t="shared" si="8"/>
        <v>De Inteligência Projetual</v>
      </c>
      <c r="T5" s="38" t="str">
        <f t="shared" si="9"/>
        <v>Orquestações</v>
      </c>
      <c r="U5" s="38" t="str">
        <f t="shared" si="10"/>
        <v>Computacionais</v>
      </c>
      <c r="V5" s="37" t="s">
        <v>144</v>
      </c>
      <c r="W5" s="52" t="str">
        <f t="shared" si="5"/>
        <v>Key-AGEN-5</v>
      </c>
      <c r="X5" s="37" t="s">
        <v>10</v>
      </c>
      <c r="Y5" s="37" t="s">
        <v>10</v>
      </c>
      <c r="Z5" s="37" t="s">
        <v>10</v>
      </c>
      <c r="AA5" s="37" t="str">
        <f t="shared" si="11"/>
        <v>Declares a computational syntax used (e.g. Manchester, TTL).</v>
      </c>
    </row>
    <row r="6" spans="1:27" customFormat="1" ht="7.5" customHeight="1" x14ac:dyDescent="0.25">
      <c r="A6" s="33">
        <v>6</v>
      </c>
      <c r="B6" s="34" t="s">
        <v>145</v>
      </c>
      <c r="C6" s="34" t="s">
        <v>166</v>
      </c>
      <c r="D6" s="34" t="s">
        <v>169</v>
      </c>
      <c r="E6" s="34" t="s">
        <v>167</v>
      </c>
      <c r="F6" s="35" t="s">
        <v>175</v>
      </c>
      <c r="G6" s="58" t="s">
        <v>10</v>
      </c>
      <c r="H6" s="58" t="s">
        <v>10</v>
      </c>
      <c r="I6" s="58" t="s">
        <v>10</v>
      </c>
      <c r="J6" s="58" t="s">
        <v>10</v>
      </c>
      <c r="K6" s="58" t="s">
        <v>10</v>
      </c>
      <c r="L6" s="36" t="str">
        <f t="shared" ref="L6:M10" si="12">CONCATENATE("", C6)</f>
        <v>De.Inteligência.Projetual</v>
      </c>
      <c r="M6" s="36" t="str">
        <f t="shared" ref="M6:M8" si="13">CONCATENATE("", D6)</f>
        <v>Orquestações</v>
      </c>
      <c r="N6" s="36" t="str">
        <f t="shared" ref="N6:O10" si="14">(SUBSTITUTE(SUBSTITUTE(CONCATENATE("",E6),"."," ")," De "," de "))</f>
        <v>Computacionais</v>
      </c>
      <c r="O6" s="36" t="str">
        <f t="shared" ref="O6:O8" si="15">(SUBSTITUTE(SUBSTITUTE(CONCATENATE("",F6),"."," ")," De "," de "))</f>
        <v>Semântica</v>
      </c>
      <c r="P6" s="37" t="s">
        <v>195</v>
      </c>
      <c r="Q6" s="37" t="str">
        <f t="shared" si="3"/>
        <v>Declara una semántica computacional utilizada (por ejemplo, KML, OKF, etc.).</v>
      </c>
      <c r="R6" s="38" t="s">
        <v>10</v>
      </c>
      <c r="S6" s="38" t="str">
        <f t="shared" ref="S6:U10" si="16">SUBSTITUTE(C6, ".", " ")</f>
        <v>De Inteligência Projetual</v>
      </c>
      <c r="T6" s="38" t="str">
        <f t="shared" ref="T6:T8" si="17">SUBSTITUTE(D6, ".", " ")</f>
        <v>Orquestações</v>
      </c>
      <c r="U6" s="38" t="str">
        <f t="shared" ref="U6:U8" si="18">SUBSTITUTE(E6, ".", " ")</f>
        <v>Computacionais</v>
      </c>
      <c r="V6" s="37" t="s">
        <v>144</v>
      </c>
      <c r="W6" s="52" t="str">
        <f t="shared" si="5"/>
        <v>Key-AGEN-6</v>
      </c>
      <c r="X6" s="37" t="s">
        <v>10</v>
      </c>
      <c r="Y6" s="37" t="s">
        <v>10</v>
      </c>
      <c r="Z6" s="37" t="s">
        <v>10</v>
      </c>
      <c r="AA6" s="37" t="str">
        <f t="shared" si="11"/>
        <v>Declares a computational semantics used (e.g. KML, OKF, etc).</v>
      </c>
    </row>
    <row r="7" spans="1:27" s="40" customFormat="1" ht="6.75" customHeight="1" x14ac:dyDescent="0.25">
      <c r="A7" s="33">
        <v>7</v>
      </c>
      <c r="B7" s="34" t="s">
        <v>148</v>
      </c>
      <c r="C7" s="34" t="s">
        <v>176</v>
      </c>
      <c r="D7" s="34" t="s">
        <v>189</v>
      </c>
      <c r="E7" s="34" t="s">
        <v>130</v>
      </c>
      <c r="F7" s="35" t="s">
        <v>172</v>
      </c>
      <c r="G7" s="58" t="s">
        <v>10</v>
      </c>
      <c r="H7" s="58" t="s">
        <v>10</v>
      </c>
      <c r="I7" s="58" t="s">
        <v>10</v>
      </c>
      <c r="J7" s="58" t="s">
        <v>10</v>
      </c>
      <c r="K7" s="58" t="s">
        <v>10</v>
      </c>
      <c r="L7" s="36" t="str">
        <f t="shared" si="12"/>
        <v>Inteligente</v>
      </c>
      <c r="M7" s="36" t="str">
        <f t="shared" ref="M7" si="19">CONCATENATE("", D7)</f>
        <v>Agêntica.Natural</v>
      </c>
      <c r="N7" s="36" t="str">
        <f t="shared" si="14"/>
        <v>Humanos</v>
      </c>
      <c r="O7" s="36" t="str">
        <f t="shared" ref="O7" si="20">(SUBSTITUTE(SUBSTITUTE(CONCATENATE("",F7),"."," ")," De "," de "))</f>
        <v>Projetista</v>
      </c>
      <c r="P7" s="37" t="s">
        <v>177</v>
      </c>
      <c r="Q7" s="37" t="str">
        <f t="shared" si="3"/>
        <v>Declara un diseñador humano que trabaja en el proyecto.</v>
      </c>
      <c r="R7" s="37" t="s">
        <v>10</v>
      </c>
      <c r="S7" s="37" t="str">
        <f t="shared" si="16"/>
        <v>Inteligente</v>
      </c>
      <c r="T7" s="37" t="str">
        <f t="shared" ref="T7" si="21">SUBSTITUTE(D7, ".", " ")</f>
        <v>Agêntica Natural</v>
      </c>
      <c r="U7" s="37" t="str">
        <f t="shared" ref="U7" si="22">SUBSTITUTE(E7, ".", " ")</f>
        <v>Humanos</v>
      </c>
      <c r="V7" s="37" t="s">
        <v>144</v>
      </c>
      <c r="W7" s="52" t="str">
        <f t="shared" ref="W7" si="23">CONCATENATE("Key-AGEN-",A7)</f>
        <v>Key-AGEN-7</v>
      </c>
      <c r="X7" s="37" t="s">
        <v>10</v>
      </c>
      <c r="Y7" s="37" t="s">
        <v>10</v>
      </c>
      <c r="Z7" s="37" t="s">
        <v>10</v>
      </c>
      <c r="AA7" s="37" t="str">
        <f t="shared" si="11"/>
        <v>Declares a human designer working on the project.</v>
      </c>
    </row>
    <row r="8" spans="1:27" s="40" customFormat="1" ht="6.75" customHeight="1" x14ac:dyDescent="0.25">
      <c r="A8" s="33">
        <v>8</v>
      </c>
      <c r="B8" s="34" t="s">
        <v>148</v>
      </c>
      <c r="C8" s="34" t="s">
        <v>176</v>
      </c>
      <c r="D8" s="34" t="s">
        <v>189</v>
      </c>
      <c r="E8" s="34" t="s">
        <v>130</v>
      </c>
      <c r="F8" s="35" t="s">
        <v>190</v>
      </c>
      <c r="G8" s="58" t="s">
        <v>10</v>
      </c>
      <c r="H8" s="58" t="s">
        <v>10</v>
      </c>
      <c r="I8" s="58" t="s">
        <v>10</v>
      </c>
      <c r="J8" s="58" t="s">
        <v>10</v>
      </c>
      <c r="K8" s="58" t="s">
        <v>10</v>
      </c>
      <c r="L8" s="36" t="str">
        <f t="shared" ref="L8" si="24">CONCATENATE("", C8)</f>
        <v>Inteligente</v>
      </c>
      <c r="M8" s="36" t="str">
        <f t="shared" si="13"/>
        <v>Agêntica.Natural</v>
      </c>
      <c r="N8" s="36" t="str">
        <f t="shared" ref="N8" si="25">(SUBSTITUTE(SUBSTITUTE(CONCATENATE("",E8),"."," ")," De "," de "))</f>
        <v>Humanos</v>
      </c>
      <c r="O8" s="36" t="str">
        <f t="shared" si="15"/>
        <v>Calculista</v>
      </c>
      <c r="P8" s="37" t="s">
        <v>194</v>
      </c>
      <c r="Q8" s="37" t="str">
        <f t="shared" si="3"/>
        <v>Declara una calculadora humana trabajando en el proyecto.</v>
      </c>
      <c r="R8" s="37" t="s">
        <v>10</v>
      </c>
      <c r="S8" s="37" t="str">
        <f t="shared" ref="S8" si="26">SUBSTITUTE(C8, ".", " ")</f>
        <v>Inteligente</v>
      </c>
      <c r="T8" s="37" t="str">
        <f t="shared" si="17"/>
        <v>Agêntica Natural</v>
      </c>
      <c r="U8" s="37" t="str">
        <f t="shared" si="18"/>
        <v>Humanos</v>
      </c>
      <c r="V8" s="37" t="s">
        <v>144</v>
      </c>
      <c r="W8" s="52" t="str">
        <f t="shared" si="5"/>
        <v>Key-AGEN-8</v>
      </c>
      <c r="X8" s="37" t="s">
        <v>10</v>
      </c>
      <c r="Y8" s="37" t="s">
        <v>10</v>
      </c>
      <c r="Z8" s="37" t="s">
        <v>10</v>
      </c>
      <c r="AA8" s="37" t="str">
        <f t="shared" si="11"/>
        <v>Declares a human calculator working on the project.</v>
      </c>
    </row>
    <row r="9" spans="1:27" s="40" customFormat="1" ht="6.75" customHeight="1" x14ac:dyDescent="0.25">
      <c r="A9" s="33">
        <v>9</v>
      </c>
      <c r="B9" s="34" t="s">
        <v>148</v>
      </c>
      <c r="C9" s="34" t="s">
        <v>176</v>
      </c>
      <c r="D9" s="34" t="s">
        <v>168</v>
      </c>
      <c r="E9" s="34" t="s">
        <v>131</v>
      </c>
      <c r="F9" s="35" t="s">
        <v>173</v>
      </c>
      <c r="G9" s="58" t="s">
        <v>10</v>
      </c>
      <c r="H9" s="58" t="s">
        <v>10</v>
      </c>
      <c r="I9" s="58" t="s">
        <v>10</v>
      </c>
      <c r="J9" s="58" t="s">
        <v>10</v>
      </c>
      <c r="K9" s="58" t="s">
        <v>10</v>
      </c>
      <c r="L9" s="36" t="str">
        <f t="shared" si="12"/>
        <v>Inteligente</v>
      </c>
      <c r="M9" s="36" t="str">
        <f t="shared" si="12"/>
        <v>Agêntica.Artificial</v>
      </c>
      <c r="N9" s="36" t="str">
        <f t="shared" si="14"/>
        <v>Artificiais</v>
      </c>
      <c r="O9" s="36" t="str">
        <f t="shared" si="14"/>
        <v>Agente IA</v>
      </c>
      <c r="P9" s="37" t="s">
        <v>178</v>
      </c>
      <c r="Q9" s="37" t="str">
        <f t="shared" si="3"/>
        <v>Declara un agente artificial utilizado para el proyecto.</v>
      </c>
      <c r="R9" s="37" t="s">
        <v>10</v>
      </c>
      <c r="S9" s="37" t="str">
        <f t="shared" si="16"/>
        <v>Inteligente</v>
      </c>
      <c r="T9" s="37" t="str">
        <f t="shared" si="16"/>
        <v>Agêntica Artificial</v>
      </c>
      <c r="U9" s="37" t="str">
        <f t="shared" si="16"/>
        <v>Artificiais</v>
      </c>
      <c r="V9" s="37" t="s">
        <v>144</v>
      </c>
      <c r="W9" s="52" t="str">
        <f t="shared" si="5"/>
        <v>Key-AGEN-9</v>
      </c>
      <c r="X9" s="37" t="s">
        <v>10</v>
      </c>
      <c r="Y9" s="37" t="s">
        <v>10</v>
      </c>
      <c r="Z9" s="37" t="s">
        <v>10</v>
      </c>
      <c r="AA9" s="37" t="str">
        <f t="shared" si="11"/>
        <v>Declares an artificial agent used for the project.</v>
      </c>
    </row>
    <row r="10" spans="1:27" s="40" customFormat="1" ht="6.75" customHeight="1" x14ac:dyDescent="0.25">
      <c r="A10" s="33">
        <v>10</v>
      </c>
      <c r="B10" s="34" t="s">
        <v>148</v>
      </c>
      <c r="C10" s="34" t="s">
        <v>176</v>
      </c>
      <c r="D10" s="34" t="s">
        <v>168</v>
      </c>
      <c r="E10" s="35" t="s">
        <v>137</v>
      </c>
      <c r="F10" s="35" t="s">
        <v>86</v>
      </c>
      <c r="G10" s="58" t="s">
        <v>10</v>
      </c>
      <c r="H10" s="58" t="s">
        <v>10</v>
      </c>
      <c r="I10" s="58" t="s">
        <v>10</v>
      </c>
      <c r="J10" s="58" t="s">
        <v>10</v>
      </c>
      <c r="K10" s="58" t="s">
        <v>10</v>
      </c>
      <c r="L10" s="36" t="str">
        <f t="shared" si="12"/>
        <v>Inteligente</v>
      </c>
      <c r="M10" s="36" t="str">
        <f t="shared" si="12"/>
        <v>Agêntica.Artificial</v>
      </c>
      <c r="N10" s="36" t="str">
        <f t="shared" si="14"/>
        <v>Linguagens</v>
      </c>
      <c r="O10" s="36" t="str">
        <f t="shared" si="14"/>
        <v>Idioma</v>
      </c>
      <c r="P10" s="37" t="s">
        <v>191</v>
      </c>
      <c r="Q10" s="37" t="str">
        <f t="shared" si="3"/>
        <v>Declara un lenguaje natural utilizado en tareas de proyecto.</v>
      </c>
      <c r="R10" s="37" t="s">
        <v>10</v>
      </c>
      <c r="S10" s="37" t="str">
        <f t="shared" si="16"/>
        <v>Inteligente</v>
      </c>
      <c r="T10" s="37" t="str">
        <f t="shared" si="16"/>
        <v>Agêntica Artificial</v>
      </c>
      <c r="U10" s="37" t="str">
        <f t="shared" si="16"/>
        <v>Linguagens</v>
      </c>
      <c r="V10" s="37" t="s">
        <v>144</v>
      </c>
      <c r="W10" s="52" t="str">
        <f t="shared" ref="W10" si="27">CONCATENATE("Key-AGEN-",A10)</f>
        <v>Key-AGEN-10</v>
      </c>
      <c r="X10" s="37" t="s">
        <v>10</v>
      </c>
      <c r="Y10" s="37" t="s">
        <v>10</v>
      </c>
      <c r="Z10" s="37" t="s">
        <v>10</v>
      </c>
      <c r="AA10" s="37" t="str">
        <f t="shared" si="11"/>
        <v>Declares a natural language used in project tasks.</v>
      </c>
    </row>
    <row r="11" spans="1:27" s="40" customFormat="1" ht="6.75" customHeight="1" x14ac:dyDescent="0.25">
      <c r="A11" s="33">
        <v>11</v>
      </c>
      <c r="B11" s="34" t="s">
        <v>148</v>
      </c>
      <c r="C11" s="34" t="s">
        <v>176</v>
      </c>
      <c r="D11" s="34" t="s">
        <v>168</v>
      </c>
      <c r="E11" s="35" t="s">
        <v>137</v>
      </c>
      <c r="F11" s="35" t="s">
        <v>149</v>
      </c>
      <c r="G11" s="58" t="s">
        <v>10</v>
      </c>
      <c r="H11" s="58" t="s">
        <v>10</v>
      </c>
      <c r="I11" s="58" t="s">
        <v>10</v>
      </c>
      <c r="J11" s="58" t="s">
        <v>10</v>
      </c>
      <c r="K11" s="58" t="s">
        <v>10</v>
      </c>
      <c r="L11" s="36" t="str">
        <f t="shared" ref="L11:L12" si="28">CONCATENATE("", C11)</f>
        <v>Inteligente</v>
      </c>
      <c r="M11" s="36" t="str">
        <f t="shared" ref="M11:M12" si="29">CONCATENATE("", D11)</f>
        <v>Agêntica.Artificial</v>
      </c>
      <c r="N11" s="36" t="str">
        <f t="shared" ref="N11:N12" si="30">(SUBSTITUTE(SUBSTITUTE(CONCATENATE("",E11),"."," ")," De "," de "))</f>
        <v>Linguagens</v>
      </c>
      <c r="O11" s="36" t="str">
        <f t="shared" ref="O11:O12" si="31">(SUBSTITUTE(SUBSTITUTE(CONCATENATE("",F11),"."," ")," De "," de "))</f>
        <v>Linguagem</v>
      </c>
      <c r="P11" s="37" t="s">
        <v>192</v>
      </c>
      <c r="Q11" s="37" t="str">
        <f t="shared" si="3"/>
        <v>Declara un lenguaje de ordenador utilizado para automatizar tareas de proyecto.</v>
      </c>
      <c r="R11" s="37" t="s">
        <v>10</v>
      </c>
      <c r="S11" s="37" t="str">
        <f t="shared" ref="S11:S12" si="32">SUBSTITUTE(C11, ".", " ")</f>
        <v>Inteligente</v>
      </c>
      <c r="T11" s="37" t="str">
        <f t="shared" ref="T11:T12" si="33">SUBSTITUTE(D11, ".", " ")</f>
        <v>Agêntica Artificial</v>
      </c>
      <c r="U11" s="37" t="str">
        <f t="shared" ref="U11:U12" si="34">SUBSTITUTE(E11, ".", " ")</f>
        <v>Linguagens</v>
      </c>
      <c r="V11" s="37" t="s">
        <v>144</v>
      </c>
      <c r="W11" s="52" t="str">
        <f t="shared" si="5"/>
        <v>Key-AGEN-11</v>
      </c>
      <c r="X11" s="37" t="s">
        <v>10</v>
      </c>
      <c r="Y11" s="37" t="s">
        <v>10</v>
      </c>
      <c r="Z11" s="37" t="s">
        <v>10</v>
      </c>
      <c r="AA11" s="37" t="str">
        <f t="shared" si="11"/>
        <v>Declares a computer language used to automate project tasks.</v>
      </c>
    </row>
    <row r="12" spans="1:27" s="40" customFormat="1" ht="6.75" customHeight="1" x14ac:dyDescent="0.25">
      <c r="A12" s="33">
        <v>12</v>
      </c>
      <c r="B12" s="34" t="s">
        <v>148</v>
      </c>
      <c r="C12" s="34" t="s">
        <v>176</v>
      </c>
      <c r="D12" s="34" t="s">
        <v>168</v>
      </c>
      <c r="E12" s="35" t="s">
        <v>137</v>
      </c>
      <c r="F12" s="35" t="s">
        <v>150</v>
      </c>
      <c r="G12" s="58" t="s">
        <v>10</v>
      </c>
      <c r="H12" s="58" t="s">
        <v>10</v>
      </c>
      <c r="I12" s="58" t="s">
        <v>10</v>
      </c>
      <c r="J12" s="58" t="s">
        <v>10</v>
      </c>
      <c r="K12" s="58" t="s">
        <v>10</v>
      </c>
      <c r="L12" s="36" t="str">
        <f t="shared" si="28"/>
        <v>Inteligente</v>
      </c>
      <c r="M12" s="36" t="str">
        <f t="shared" si="29"/>
        <v>Agêntica.Artificial</v>
      </c>
      <c r="N12" s="36" t="str">
        <f t="shared" si="30"/>
        <v>Linguagens</v>
      </c>
      <c r="O12" s="36" t="str">
        <f t="shared" si="31"/>
        <v>Sintaxe</v>
      </c>
      <c r="P12" s="37" t="s">
        <v>193</v>
      </c>
      <c r="Q12" s="37" t="str">
        <f t="shared" si="3"/>
        <v>Declara una sintaxis artificial usada para automatizar tareas del proyecto.</v>
      </c>
      <c r="R12" s="37" t="s">
        <v>10</v>
      </c>
      <c r="S12" s="37" t="str">
        <f t="shared" si="32"/>
        <v>Inteligente</v>
      </c>
      <c r="T12" s="37" t="str">
        <f t="shared" si="33"/>
        <v>Agêntica Artificial</v>
      </c>
      <c r="U12" s="37" t="str">
        <f t="shared" si="34"/>
        <v>Linguagens</v>
      </c>
      <c r="V12" s="37" t="s">
        <v>144</v>
      </c>
      <c r="W12" s="52" t="str">
        <f t="shared" si="5"/>
        <v>Key-AGEN-12</v>
      </c>
      <c r="X12" s="37" t="s">
        <v>10</v>
      </c>
      <c r="Y12" s="37" t="s">
        <v>10</v>
      </c>
      <c r="Z12" s="37" t="s">
        <v>10</v>
      </c>
      <c r="AA12" s="37" t="str">
        <f t="shared" si="11"/>
        <v>Declares an artificial syntax used to automate project tasks.</v>
      </c>
    </row>
    <row r="13" spans="1:27" s="40" customFormat="1" ht="6.75" customHeight="1" x14ac:dyDescent="0.25">
      <c r="A13" s="33">
        <v>13</v>
      </c>
      <c r="B13" s="34" t="s">
        <v>148</v>
      </c>
      <c r="C13" s="34" t="s">
        <v>176</v>
      </c>
      <c r="D13" s="34" t="s">
        <v>168</v>
      </c>
      <c r="E13" s="35" t="s">
        <v>137</v>
      </c>
      <c r="F13" s="35" t="s">
        <v>179</v>
      </c>
      <c r="G13" s="58" t="s">
        <v>10</v>
      </c>
      <c r="H13" s="58" t="s">
        <v>10</v>
      </c>
      <c r="I13" s="58" t="s">
        <v>10</v>
      </c>
      <c r="J13" s="58" t="s">
        <v>10</v>
      </c>
      <c r="K13" s="58" t="s">
        <v>10</v>
      </c>
      <c r="L13" s="36" t="str">
        <f t="shared" ref="L13" si="35">CONCATENATE("", C13)</f>
        <v>Inteligente</v>
      </c>
      <c r="M13" s="36" t="str">
        <f t="shared" ref="M13" si="36">CONCATENATE("", D13)</f>
        <v>Agêntica.Artificial</v>
      </c>
      <c r="N13" s="36" t="str">
        <f t="shared" ref="N13" si="37">(SUBSTITUTE(SUBSTITUTE(CONCATENATE("",E13),"."," ")," De "," de "))</f>
        <v>Linguagens</v>
      </c>
      <c r="O13" s="36" t="str">
        <f t="shared" ref="O13" si="38">(SUBSTITUTE(SUBSTITUTE(CONCATENATE("",F13),"."," ")," De "," de "))</f>
        <v>Semântico</v>
      </c>
      <c r="P13" s="37" t="s">
        <v>180</v>
      </c>
      <c r="Q13" s="37" t="str">
        <f t="shared" si="3"/>
        <v>Declara una semántica específica usada para dar significado a los elementos del proyecto.</v>
      </c>
      <c r="R13" s="37" t="s">
        <v>10</v>
      </c>
      <c r="S13" s="37" t="str">
        <f t="shared" ref="S13" si="39">SUBSTITUTE(C13, ".", " ")</f>
        <v>Inteligente</v>
      </c>
      <c r="T13" s="37" t="str">
        <f t="shared" ref="T13" si="40">SUBSTITUTE(D13, ".", " ")</f>
        <v>Agêntica Artificial</v>
      </c>
      <c r="U13" s="37" t="str">
        <f t="shared" ref="U13" si="41">SUBSTITUTE(E13, ".", " ")</f>
        <v>Linguagens</v>
      </c>
      <c r="V13" s="37" t="s">
        <v>144</v>
      </c>
      <c r="W13" s="52" t="str">
        <f t="shared" si="5"/>
        <v>Key-AGEN-13</v>
      </c>
      <c r="X13" s="37" t="s">
        <v>10</v>
      </c>
      <c r="Y13" s="37" t="s">
        <v>10</v>
      </c>
      <c r="Z13" s="37" t="s">
        <v>10</v>
      </c>
      <c r="AA13" s="37" t="str">
        <f t="shared" si="11"/>
        <v>Declares a specific semantics used to give meaning to the elements of the project.</v>
      </c>
    </row>
  </sheetData>
  <phoneticPr fontId="1" type="noConversion"/>
  <conditionalFormatting sqref="A2:B13">
    <cfRule type="cellIs" dxfId="15" priority="3" operator="equal">
      <formula>"null"</formula>
    </cfRule>
  </conditionalFormatting>
  <conditionalFormatting sqref="F1:F1048576">
    <cfRule type="duplicateValues" dxfId="14" priority="4"/>
  </conditionalFormatting>
  <conditionalFormatting sqref="F2:F6 L3:O6 AB3:XFD6">
    <cfRule type="cellIs" dxfId="13" priority="78" operator="equal">
      <formula>"null"</formula>
    </cfRule>
  </conditionalFormatting>
  <conditionalFormatting sqref="F2:F6">
    <cfRule type="duplicateValues" dxfId="12" priority="633"/>
    <cfRule type="duplicateValues" dxfId="11" priority="665"/>
    <cfRule type="duplicateValues" dxfId="10" priority="666"/>
    <cfRule type="duplicateValues" dxfId="9" priority="667"/>
    <cfRule type="duplicateValues" dxfId="8" priority="668"/>
    <cfRule type="duplicateValues" dxfId="7" priority="669"/>
    <cfRule type="duplicateValues" dxfId="6" priority="675"/>
  </conditionalFormatting>
  <conditionalFormatting sqref="F7:F13">
    <cfRule type="duplicateValues" dxfId="5" priority="6"/>
  </conditionalFormatting>
  <conditionalFormatting sqref="F14:F1048576 F1:F6">
    <cfRule type="duplicateValues" dxfId="4" priority="21"/>
  </conditionalFormatting>
  <conditionalFormatting sqref="AA1:AA13">
    <cfRule type="cellIs" dxfId="3" priority="13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10"/>
  <sheetViews>
    <sheetView zoomScale="265" zoomScaleNormal="265" workbookViewId="0">
      <pane ySplit="1" topLeftCell="A2" activePane="bottomLeft" state="frozen"/>
      <selection pane="bottomLeft" activeCell="A10" sqref="A10"/>
    </sheetView>
  </sheetViews>
  <sheetFormatPr defaultColWidth="9.28515625" defaultRowHeight="7.35" customHeight="1" x14ac:dyDescent="0.25"/>
  <cols>
    <col min="1" max="1" width="2.5703125" style="50" bestFit="1" customWidth="1"/>
    <col min="2" max="2" width="5.85546875" style="42" customWidth="1"/>
    <col min="3" max="3" width="5.5703125" style="40" customWidth="1"/>
    <col min="4" max="4" width="5.85546875" style="40" customWidth="1"/>
    <col min="5" max="5" width="5.42578125" style="40" customWidth="1"/>
    <col min="6" max="6" width="5.5703125" style="40" customWidth="1"/>
    <col min="7" max="7" width="6.42578125" style="40" customWidth="1"/>
    <col min="8" max="8" width="3.7109375" style="40" bestFit="1" customWidth="1"/>
    <col min="9" max="9" width="8.85546875" style="40" customWidth="1"/>
    <col min="10" max="10" width="5.85546875" style="40" customWidth="1"/>
    <col min="11" max="12" width="9.7109375" style="40" customWidth="1"/>
    <col min="13" max="13" width="9.140625" style="40" customWidth="1"/>
    <col min="14" max="14" width="8.28515625" style="40" customWidth="1"/>
    <col min="15" max="15" width="13.7109375" style="40" customWidth="1"/>
    <col min="16" max="16" width="3.5703125" style="40" customWidth="1"/>
    <col min="17" max="17" width="9" style="40" customWidth="1"/>
    <col min="18" max="18" width="5.140625" style="40" customWidth="1"/>
    <col min="19" max="19" width="47.5703125" style="40" customWidth="1"/>
    <col min="20" max="20" width="7.140625" style="54" customWidth="1"/>
    <col min="21" max="21" width="39" style="54" customWidth="1"/>
    <col min="22" max="22" width="5.7109375" style="54" bestFit="1" customWidth="1"/>
    <col min="23" max="23" width="14.5703125" style="54" customWidth="1"/>
    <col min="24" max="24" width="5.7109375" style="54" customWidth="1"/>
    <col min="25" max="25" width="7.42578125" style="50" customWidth="1"/>
    <col min="26" max="16384" width="9.28515625" style="40"/>
  </cols>
  <sheetData>
    <row r="1" spans="1:25" ht="20.65" customHeight="1" x14ac:dyDescent="0.25">
      <c r="A1" s="48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2"/>
      <c r="G1" s="22"/>
      <c r="H1" s="24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  <c r="R1" s="22" t="s">
        <v>75</v>
      </c>
      <c r="S1" s="22" t="s">
        <v>78</v>
      </c>
      <c r="T1" s="22" t="s">
        <v>75</v>
      </c>
      <c r="U1" s="60" t="s">
        <v>158</v>
      </c>
      <c r="V1" s="61" t="s">
        <v>75</v>
      </c>
      <c r="W1" s="60" t="s">
        <v>158</v>
      </c>
      <c r="X1" s="61" t="s">
        <v>75</v>
      </c>
      <c r="Y1" s="60" t="s">
        <v>158</v>
      </c>
    </row>
    <row r="2" spans="1:25" ht="7.35" customHeight="1" x14ac:dyDescent="0.25">
      <c r="A2" s="49">
        <v>2</v>
      </c>
      <c r="B2" s="41" t="s">
        <v>151</v>
      </c>
      <c r="C2" s="35" t="s">
        <v>148</v>
      </c>
      <c r="D2" s="39" t="s">
        <v>10</v>
      </c>
      <c r="E2" s="41" t="s">
        <v>10</v>
      </c>
      <c r="F2" s="29" t="s">
        <v>10</v>
      </c>
      <c r="G2" s="23" t="s">
        <v>10</v>
      </c>
      <c r="H2" s="29" t="s">
        <v>77</v>
      </c>
      <c r="I2" s="23" t="s">
        <v>152</v>
      </c>
      <c r="J2" s="29" t="s">
        <v>143</v>
      </c>
      <c r="K2" s="23" t="s">
        <v>153</v>
      </c>
      <c r="L2" s="29" t="s">
        <v>155</v>
      </c>
      <c r="M2" s="23" t="s">
        <v>156</v>
      </c>
      <c r="N2" s="29" t="s">
        <v>10</v>
      </c>
      <c r="O2" s="23" t="s">
        <v>10</v>
      </c>
      <c r="P2" s="29" t="s">
        <v>112</v>
      </c>
      <c r="Q2" s="23" t="s">
        <v>165</v>
      </c>
      <c r="R2" s="29" t="s">
        <v>76</v>
      </c>
      <c r="S2" s="23" t="s">
        <v>154</v>
      </c>
      <c r="T2" s="63" t="s">
        <v>159</v>
      </c>
      <c r="U2" s="64" t="s">
        <v>160</v>
      </c>
      <c r="V2" s="63" t="s">
        <v>161</v>
      </c>
      <c r="W2" s="65" t="s">
        <v>162</v>
      </c>
      <c r="X2" s="63" t="s">
        <v>163</v>
      </c>
      <c r="Y2" s="66" t="s">
        <v>164</v>
      </c>
    </row>
    <row r="3" spans="1:25" ht="7.35" customHeight="1" x14ac:dyDescent="0.25">
      <c r="A3" s="49">
        <v>3</v>
      </c>
      <c r="B3" s="41" t="s">
        <v>181</v>
      </c>
      <c r="C3" s="35" t="s">
        <v>172</v>
      </c>
      <c r="D3" s="39" t="s">
        <v>105</v>
      </c>
      <c r="E3" s="41" t="s">
        <v>151</v>
      </c>
      <c r="F3" s="56" t="s">
        <v>146</v>
      </c>
      <c r="G3" s="57" t="s">
        <v>147</v>
      </c>
      <c r="H3" s="29" t="s">
        <v>77</v>
      </c>
      <c r="I3" s="23" t="s">
        <v>182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76</v>
      </c>
      <c r="S3" s="23" t="s">
        <v>183</v>
      </c>
      <c r="T3" s="62" t="s">
        <v>10</v>
      </c>
      <c r="U3" s="23" t="s">
        <v>10</v>
      </c>
      <c r="V3" s="62" t="s">
        <v>10</v>
      </c>
      <c r="W3" s="23" t="s">
        <v>10</v>
      </c>
      <c r="X3" s="63" t="s">
        <v>163</v>
      </c>
      <c r="Y3" s="66" t="s">
        <v>187</v>
      </c>
    </row>
    <row r="4" spans="1:25" ht="7.35" customHeight="1" x14ac:dyDescent="0.25">
      <c r="A4" s="49">
        <v>4</v>
      </c>
      <c r="B4" s="41" t="s">
        <v>184</v>
      </c>
      <c r="C4" s="35" t="s">
        <v>190</v>
      </c>
      <c r="D4" s="39" t="s">
        <v>105</v>
      </c>
      <c r="E4" s="41" t="s">
        <v>151</v>
      </c>
      <c r="F4" s="56" t="s">
        <v>146</v>
      </c>
      <c r="G4" s="57" t="s">
        <v>147</v>
      </c>
      <c r="H4" s="29" t="s">
        <v>77</v>
      </c>
      <c r="I4" s="23" t="s">
        <v>185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76</v>
      </c>
      <c r="S4" s="23" t="s">
        <v>186</v>
      </c>
      <c r="T4" s="62" t="s">
        <v>10</v>
      </c>
      <c r="U4" s="23" t="s">
        <v>10</v>
      </c>
      <c r="V4" s="62" t="s">
        <v>10</v>
      </c>
      <c r="W4" s="23" t="s">
        <v>10</v>
      </c>
      <c r="X4" s="63" t="s">
        <v>163</v>
      </c>
      <c r="Y4" s="66" t="s">
        <v>188</v>
      </c>
    </row>
    <row r="5" spans="1:25" ht="7.35" customHeight="1" x14ac:dyDescent="0.25">
      <c r="A5" s="49">
        <v>5</v>
      </c>
      <c r="B5" s="41" t="s">
        <v>98</v>
      </c>
      <c r="C5" s="35" t="s">
        <v>173</v>
      </c>
      <c r="D5" s="39" t="s">
        <v>105</v>
      </c>
      <c r="E5" s="41" t="s">
        <v>151</v>
      </c>
      <c r="F5" s="56" t="s">
        <v>146</v>
      </c>
      <c r="G5" s="57" t="s">
        <v>147</v>
      </c>
      <c r="H5" s="29" t="s">
        <v>77</v>
      </c>
      <c r="I5" s="23" t="s">
        <v>106</v>
      </c>
      <c r="J5" s="29" t="s">
        <v>143</v>
      </c>
      <c r="K5" s="23" t="s">
        <v>111</v>
      </c>
      <c r="L5" s="29" t="s">
        <v>141</v>
      </c>
      <c r="M5" s="23" t="s">
        <v>121</v>
      </c>
      <c r="N5" s="29" t="s">
        <v>142</v>
      </c>
      <c r="O5" s="23" t="s">
        <v>132</v>
      </c>
      <c r="P5" s="29" t="s">
        <v>112</v>
      </c>
      <c r="Q5" s="23" t="s">
        <v>119</v>
      </c>
      <c r="R5" s="29" t="s">
        <v>76</v>
      </c>
      <c r="S5" s="23" t="s">
        <v>123</v>
      </c>
      <c r="T5" s="62" t="s">
        <v>10</v>
      </c>
      <c r="U5" s="23" t="s">
        <v>10</v>
      </c>
      <c r="V5" s="62" t="s">
        <v>10</v>
      </c>
      <c r="W5" s="23" t="s">
        <v>10</v>
      </c>
      <c r="X5" s="62" t="s">
        <v>10</v>
      </c>
      <c r="Y5" s="66" t="s">
        <v>10</v>
      </c>
    </row>
    <row r="6" spans="1:25" ht="7.35" customHeight="1" x14ac:dyDescent="0.25">
      <c r="A6" s="49">
        <v>6</v>
      </c>
      <c r="B6" s="41" t="s">
        <v>99</v>
      </c>
      <c r="C6" s="35" t="s">
        <v>173</v>
      </c>
      <c r="D6" s="39" t="s">
        <v>105</v>
      </c>
      <c r="E6" s="41" t="s">
        <v>151</v>
      </c>
      <c r="F6" s="56" t="s">
        <v>146</v>
      </c>
      <c r="G6" s="57" t="s">
        <v>147</v>
      </c>
      <c r="H6" s="29" t="s">
        <v>77</v>
      </c>
      <c r="I6" s="23" t="s">
        <v>106</v>
      </c>
      <c r="J6" s="29" t="s">
        <v>143</v>
      </c>
      <c r="K6" s="23" t="s">
        <v>111</v>
      </c>
      <c r="L6" s="29" t="s">
        <v>141</v>
      </c>
      <c r="M6" s="23" t="s">
        <v>122</v>
      </c>
      <c r="N6" s="29" t="s">
        <v>142</v>
      </c>
      <c r="O6" s="23" t="s">
        <v>133</v>
      </c>
      <c r="P6" s="29" t="s">
        <v>112</v>
      </c>
      <c r="Q6" s="23" t="s">
        <v>119</v>
      </c>
      <c r="R6" s="29" t="s">
        <v>76</v>
      </c>
      <c r="S6" s="23" t="s">
        <v>124</v>
      </c>
      <c r="T6" s="62" t="s">
        <v>10</v>
      </c>
      <c r="U6" s="23" t="s">
        <v>10</v>
      </c>
      <c r="V6" s="62" t="s">
        <v>10</v>
      </c>
      <c r="W6" s="23" t="s">
        <v>10</v>
      </c>
      <c r="X6" s="62" t="s">
        <v>10</v>
      </c>
      <c r="Y6" s="66" t="s">
        <v>10</v>
      </c>
    </row>
    <row r="7" spans="1:25" ht="7.35" customHeight="1" x14ac:dyDescent="0.25">
      <c r="A7" s="49">
        <v>7</v>
      </c>
      <c r="B7" s="41" t="s">
        <v>100</v>
      </c>
      <c r="C7" s="35" t="s">
        <v>173</v>
      </c>
      <c r="D7" s="39" t="s">
        <v>105</v>
      </c>
      <c r="E7" s="41" t="s">
        <v>151</v>
      </c>
      <c r="F7" s="56" t="s">
        <v>146</v>
      </c>
      <c r="G7" s="57" t="s">
        <v>147</v>
      </c>
      <c r="H7" s="29" t="s">
        <v>77</v>
      </c>
      <c r="I7" s="23" t="s">
        <v>106</v>
      </c>
      <c r="J7" s="29" t="s">
        <v>143</v>
      </c>
      <c r="K7" s="23" t="s">
        <v>111</v>
      </c>
      <c r="L7" s="29" t="s">
        <v>141</v>
      </c>
      <c r="M7" s="23" t="s">
        <v>120</v>
      </c>
      <c r="N7" s="29" t="s">
        <v>142</v>
      </c>
      <c r="O7" s="23" t="s">
        <v>134</v>
      </c>
      <c r="P7" s="29" t="s">
        <v>112</v>
      </c>
      <c r="Q7" s="23" t="s">
        <v>119</v>
      </c>
      <c r="R7" s="29" t="s">
        <v>76</v>
      </c>
      <c r="S7" s="23" t="s">
        <v>125</v>
      </c>
      <c r="T7" s="62" t="s">
        <v>10</v>
      </c>
      <c r="U7" s="23" t="s">
        <v>10</v>
      </c>
      <c r="V7" s="62" t="s">
        <v>10</v>
      </c>
      <c r="W7" s="23" t="s">
        <v>10</v>
      </c>
      <c r="X7" s="62" t="s">
        <v>10</v>
      </c>
      <c r="Y7" s="66" t="s">
        <v>10</v>
      </c>
    </row>
    <row r="8" spans="1:25" ht="7.35" customHeight="1" x14ac:dyDescent="0.25">
      <c r="A8" s="49">
        <v>8</v>
      </c>
      <c r="B8" s="41" t="s">
        <v>114</v>
      </c>
      <c r="C8" s="35" t="s">
        <v>173</v>
      </c>
      <c r="D8" s="39" t="s">
        <v>105</v>
      </c>
      <c r="E8" s="41" t="s">
        <v>151</v>
      </c>
      <c r="F8" s="56" t="s">
        <v>146</v>
      </c>
      <c r="G8" s="57" t="s">
        <v>147</v>
      </c>
      <c r="H8" s="29" t="s">
        <v>77</v>
      </c>
      <c r="I8" s="23" t="s">
        <v>107</v>
      </c>
      <c r="J8" s="29" t="s">
        <v>143</v>
      </c>
      <c r="K8" s="23" t="s">
        <v>109</v>
      </c>
      <c r="L8" s="29" t="s">
        <v>141</v>
      </c>
      <c r="M8" s="23" t="s">
        <v>127</v>
      </c>
      <c r="N8" s="29" t="s">
        <v>142</v>
      </c>
      <c r="O8" s="23" t="s">
        <v>135</v>
      </c>
      <c r="P8" s="29" t="s">
        <v>112</v>
      </c>
      <c r="Q8" s="23" t="s">
        <v>118</v>
      </c>
      <c r="R8" s="29" t="s">
        <v>76</v>
      </c>
      <c r="S8" s="23" t="s">
        <v>128</v>
      </c>
      <c r="T8" s="62" t="s">
        <v>10</v>
      </c>
      <c r="U8" s="23" t="s">
        <v>10</v>
      </c>
      <c r="V8" s="62" t="s">
        <v>10</v>
      </c>
      <c r="W8" s="23" t="s">
        <v>10</v>
      </c>
      <c r="X8" s="62" t="s">
        <v>10</v>
      </c>
      <c r="Y8" s="66" t="s">
        <v>10</v>
      </c>
    </row>
    <row r="9" spans="1:25" ht="7.35" customHeight="1" x14ac:dyDescent="0.25">
      <c r="A9" s="49">
        <v>9</v>
      </c>
      <c r="B9" s="41" t="s">
        <v>139</v>
      </c>
      <c r="C9" s="35" t="s">
        <v>173</v>
      </c>
      <c r="D9" s="39" t="s">
        <v>105</v>
      </c>
      <c r="E9" s="41" t="s">
        <v>151</v>
      </c>
      <c r="F9" s="56" t="s">
        <v>146</v>
      </c>
      <c r="G9" s="57" t="s">
        <v>147</v>
      </c>
      <c r="H9" s="29" t="s">
        <v>77</v>
      </c>
      <c r="I9" s="23" t="s">
        <v>108</v>
      </c>
      <c r="J9" s="29" t="s">
        <v>143</v>
      </c>
      <c r="K9" s="23" t="s">
        <v>110</v>
      </c>
      <c r="L9" s="29" t="s">
        <v>141</v>
      </c>
      <c r="M9" s="23" t="s">
        <v>126</v>
      </c>
      <c r="N9" s="29" t="s">
        <v>142</v>
      </c>
      <c r="O9" s="23" t="s">
        <v>135</v>
      </c>
      <c r="P9" s="29" t="s">
        <v>112</v>
      </c>
      <c r="Q9" s="23" t="s">
        <v>113</v>
      </c>
      <c r="R9" s="29" t="s">
        <v>76</v>
      </c>
      <c r="S9" s="23" t="s">
        <v>129</v>
      </c>
      <c r="T9" s="62" t="s">
        <v>10</v>
      </c>
      <c r="U9" s="23" t="s">
        <v>10</v>
      </c>
      <c r="V9" s="62" t="s">
        <v>10</v>
      </c>
      <c r="W9" s="23" t="s">
        <v>10</v>
      </c>
      <c r="X9" s="62" t="s">
        <v>10</v>
      </c>
      <c r="Y9" s="66" t="s">
        <v>10</v>
      </c>
    </row>
    <row r="10" spans="1:25" ht="7.35" customHeight="1" x14ac:dyDescent="0.25">
      <c r="A10" s="49">
        <v>10</v>
      </c>
      <c r="B10" s="41" t="s">
        <v>140</v>
      </c>
      <c r="C10" s="35" t="s">
        <v>173</v>
      </c>
      <c r="D10" s="39" t="s">
        <v>105</v>
      </c>
      <c r="E10" s="41" t="s">
        <v>151</v>
      </c>
      <c r="F10" s="56" t="s">
        <v>146</v>
      </c>
      <c r="G10" s="57" t="s">
        <v>147</v>
      </c>
      <c r="H10" s="29" t="s">
        <v>77</v>
      </c>
      <c r="I10" s="23" t="s">
        <v>115</v>
      </c>
      <c r="J10" s="29" t="s">
        <v>143</v>
      </c>
      <c r="K10" s="23" t="s">
        <v>117</v>
      </c>
      <c r="L10" s="29" t="s">
        <v>10</v>
      </c>
      <c r="M10" s="23" t="s">
        <v>10</v>
      </c>
      <c r="N10" s="29" t="s">
        <v>142</v>
      </c>
      <c r="O10" s="23" t="s">
        <v>157</v>
      </c>
      <c r="P10" s="29" t="s">
        <v>112</v>
      </c>
      <c r="Q10" s="23" t="s">
        <v>116</v>
      </c>
      <c r="R10" s="29" t="s">
        <v>76</v>
      </c>
      <c r="S10" s="23" t="s">
        <v>138</v>
      </c>
      <c r="T10" s="62" t="s">
        <v>10</v>
      </c>
      <c r="U10" s="23" t="s">
        <v>10</v>
      </c>
      <c r="V10" s="62" t="s">
        <v>10</v>
      </c>
      <c r="W10" s="23" t="s">
        <v>10</v>
      </c>
      <c r="X10" s="62" t="s">
        <v>10</v>
      </c>
      <c r="Y10" s="66" t="s">
        <v>10</v>
      </c>
    </row>
  </sheetData>
  <phoneticPr fontId="1" type="noConversion"/>
  <conditionalFormatting sqref="T1:Y10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2026-08-14T18:00:09Z</dcterms:modified>
  <dc:language>pt-BR</dc:language>
</cp:coreProperties>
</file>