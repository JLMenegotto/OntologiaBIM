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C1FBC9AC-598D-4399-90EA-705E0D314A76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7" l="1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2" i="17"/>
  <c r="V6" i="17"/>
  <c r="U6" i="17"/>
  <c r="T6" i="17"/>
  <c r="O6" i="17"/>
  <c r="N6" i="17"/>
  <c r="M6" i="17"/>
  <c r="L6" i="17"/>
  <c r="V5" i="17"/>
  <c r="U5" i="17"/>
  <c r="T5" i="17"/>
  <c r="O5" i="17"/>
  <c r="N5" i="17"/>
  <c r="M5" i="17"/>
  <c r="L5" i="17"/>
  <c r="V4" i="17"/>
  <c r="U4" i="17"/>
  <c r="T4" i="17"/>
  <c r="O4" i="17"/>
  <c r="N4" i="17"/>
  <c r="M4" i="17"/>
  <c r="L4" i="17"/>
  <c r="V3" i="17"/>
  <c r="U3" i="17"/>
  <c r="T3" i="17"/>
  <c r="O3" i="17"/>
  <c r="N3" i="17"/>
  <c r="M3" i="17"/>
  <c r="L3" i="17"/>
  <c r="V2" i="17"/>
  <c r="U2" i="17"/>
  <c r="T2" i="17"/>
  <c r="O2" i="17"/>
  <c r="N2" i="17"/>
  <c r="M2" i="17"/>
  <c r="L2" i="17"/>
  <c r="V30" i="17"/>
  <c r="U30" i="17"/>
  <c r="T30" i="17"/>
  <c r="O30" i="17"/>
  <c r="N30" i="17"/>
  <c r="M30" i="17"/>
  <c r="L30" i="17"/>
  <c r="V29" i="17"/>
  <c r="U29" i="17"/>
  <c r="T29" i="17"/>
  <c r="O29" i="17"/>
  <c r="N29" i="17"/>
  <c r="M29" i="17"/>
  <c r="L29" i="17"/>
  <c r="V28" i="17"/>
  <c r="U28" i="17"/>
  <c r="T28" i="17"/>
  <c r="O28" i="17"/>
  <c r="N28" i="17"/>
  <c r="M28" i="17"/>
  <c r="L28" i="17"/>
  <c r="V27" i="17"/>
  <c r="U27" i="17"/>
  <c r="T27" i="17"/>
  <c r="O27" i="17"/>
  <c r="N27" i="17"/>
  <c r="M27" i="17"/>
  <c r="L27" i="17"/>
  <c r="V26" i="17"/>
  <c r="U26" i="17"/>
  <c r="T26" i="17"/>
  <c r="O26" i="17"/>
  <c r="N26" i="17"/>
  <c r="M26" i="17"/>
  <c r="L26" i="17"/>
  <c r="V25" i="17" l="1"/>
  <c r="U25" i="17"/>
  <c r="T25" i="17"/>
  <c r="O25" i="17"/>
  <c r="N25" i="17"/>
  <c r="M25" i="17"/>
  <c r="L25" i="17"/>
  <c r="V24" i="17"/>
  <c r="U24" i="17"/>
  <c r="T24" i="17"/>
  <c r="O24" i="17"/>
  <c r="N24" i="17"/>
  <c r="M24" i="17"/>
  <c r="L24" i="17"/>
  <c r="V23" i="17"/>
  <c r="U23" i="17"/>
  <c r="T23" i="17"/>
  <c r="O23" i="17"/>
  <c r="N23" i="17"/>
  <c r="M23" i="17"/>
  <c r="L23" i="17"/>
  <c r="V22" i="17"/>
  <c r="U22" i="17"/>
  <c r="T22" i="17"/>
  <c r="O22" i="17"/>
  <c r="N22" i="17"/>
  <c r="M22" i="17"/>
  <c r="L22" i="17"/>
  <c r="V21" i="17"/>
  <c r="U21" i="17"/>
  <c r="T21" i="17"/>
  <c r="O21" i="17"/>
  <c r="N21" i="17"/>
  <c r="M21" i="17"/>
  <c r="L21" i="17"/>
  <c r="V18" i="17"/>
  <c r="U18" i="17"/>
  <c r="T18" i="17"/>
  <c r="O18" i="17"/>
  <c r="N18" i="17"/>
  <c r="M18" i="17"/>
  <c r="L18" i="17"/>
  <c r="V17" i="17"/>
  <c r="U17" i="17"/>
  <c r="T17" i="17"/>
  <c r="O17" i="17"/>
  <c r="N17" i="17"/>
  <c r="M17" i="17"/>
  <c r="L17" i="17"/>
  <c r="V19" i="17"/>
  <c r="U19" i="17"/>
  <c r="T19" i="17"/>
  <c r="O19" i="17"/>
  <c r="N19" i="17"/>
  <c r="M19" i="17"/>
  <c r="L19" i="17"/>
  <c r="V16" i="17"/>
  <c r="U16" i="17"/>
  <c r="T16" i="17"/>
  <c r="O16" i="17"/>
  <c r="N16" i="17"/>
  <c r="M16" i="17"/>
  <c r="L16" i="17"/>
  <c r="V15" i="17"/>
  <c r="U15" i="17"/>
  <c r="T15" i="17"/>
  <c r="O15" i="17"/>
  <c r="N15" i="17"/>
  <c r="M15" i="17"/>
  <c r="L15" i="17"/>
  <c r="V14" i="17"/>
  <c r="U14" i="17"/>
  <c r="T14" i="17"/>
  <c r="O14" i="17"/>
  <c r="N14" i="17"/>
  <c r="M14" i="17"/>
  <c r="L14" i="17"/>
  <c r="V8" i="17"/>
  <c r="V9" i="17"/>
  <c r="V10" i="17"/>
  <c r="V11" i="17"/>
  <c r="V12" i="17"/>
  <c r="V13" i="17"/>
  <c r="V20" i="17"/>
  <c r="U8" i="17"/>
  <c r="U9" i="17"/>
  <c r="U10" i="17"/>
  <c r="U11" i="17"/>
  <c r="U12" i="17"/>
  <c r="U13" i="17"/>
  <c r="U20" i="17"/>
  <c r="T8" i="17"/>
  <c r="T9" i="17"/>
  <c r="T10" i="17"/>
  <c r="T11" i="17"/>
  <c r="T12" i="17"/>
  <c r="T13" i="17"/>
  <c r="T20" i="17"/>
  <c r="O8" i="17"/>
  <c r="O9" i="17"/>
  <c r="O10" i="17"/>
  <c r="O11" i="17"/>
  <c r="O12" i="17"/>
  <c r="O13" i="17"/>
  <c r="O20" i="17"/>
  <c r="O7" i="17"/>
  <c r="N13" i="17"/>
  <c r="M13" i="17"/>
  <c r="L13" i="17"/>
  <c r="N12" i="17"/>
  <c r="M12" i="17"/>
  <c r="L12" i="17"/>
  <c r="N11" i="17"/>
  <c r="M11" i="17"/>
  <c r="L11" i="17"/>
  <c r="N8" i="17"/>
  <c r="M8" i="17"/>
  <c r="L8" i="17"/>
  <c r="N10" i="17"/>
  <c r="M10" i="17"/>
  <c r="L10" i="17"/>
  <c r="N9" i="17"/>
  <c r="M9" i="17"/>
  <c r="L9" i="17"/>
  <c r="V7" i="17"/>
  <c r="U7" i="17"/>
  <c r="T7" i="17"/>
  <c r="N7" i="17"/>
  <c r="M7" i="17"/>
  <c r="L7" i="17"/>
  <c r="N20" i="17" l="1"/>
  <c r="M20" i="17"/>
  <c r="L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<sst xmlns="http://schemas.openxmlformats.org/spreadsheetml/2006/main" count="941" uniqueCount="269">
  <si>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</si>
  <si>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</si>
  <si>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</si>
  <si>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</si>
  <si>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</si>
  <si>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</si>
  <si>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</si>
  <si>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</si>
  <si>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</si>
  <si>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</si>
  <si>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</si>
  <si>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</si>
  <si>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</si>
  <si>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</si>
  <si>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</si>
  <si>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</si>
  <si>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</si>
  <si>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</si>
  <si>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</si>
  <si>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</si>
  <si>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</si>
  <si>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</si>
  <si>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</si>
  <si>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</si>
  <si>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</si>
  <si>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</si>
  <si>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</si>
  <si>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</si>
  <si>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</si>
  <si>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</si>
  <si>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</si>
  <si>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</si>
  <si>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</si>
  <si>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</si>
  <si>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</si>
  <si>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</si>
  <si>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</si>
  <si>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</si>
  <si>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</si>
  <si>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</si>
  <si>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</si>
  <si>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</si>
  <si>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</si>
  <si>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</si>
  <si>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</si>
  <si>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</si>
  <si>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</si>
  <si>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</si>
  <si>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</si>
  <si>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</si>
  <si>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</si>
  <si>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</si>
  <si>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</si>
  <si>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</si>
  <si>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</si>
  <si>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</si>
  <si>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</si>
  <si>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</si>
  <si>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</si>
  <si>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</si>
  <si>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</si>
  <si>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</si>
  <si>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</si>
  <si>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</si>
  <si>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</si>
  <si>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</si>
  <si>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</si>
  <si>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</si>
  <si>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</si>
  <si>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</si>
  <si>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</si>
  <si>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</si>
  <si>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</si>
  <si>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</si>
  <si>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</si>
  <si>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</si>
  <si>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</si>
  <si>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</si>
  <si>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</si>
  <si>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</si>
  <si>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</si>
  <si>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</si>
  <si>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</si>
  <si>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</si>
  <si>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</si>
  <si>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</si>
  <si>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</si>
  <si>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</si>
  <si>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</si>
  <si>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</si>
  <si>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</si>
  <si>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</si>
  <si>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</si>
  <si>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código.abnt</t>
  </si>
  <si>
    <t>classe.ifc</t>
  </si>
  <si>
    <t>categoria.revit</t>
  </si>
  <si>
    <t>é.pertencente.a</t>
  </si>
  <si>
    <t>modelo</t>
  </si>
  <si>
    <t>[ IfcDiscreteAccessory ]</t>
  </si>
  <si>
    <t>[ IfcMotorConnection ]</t>
  </si>
  <si>
    <t>[ IfcMotorConnectionCOUPLING ]</t>
  </si>
  <si>
    <t>[ IfcMotorConnectionBELTDRIVE ]</t>
  </si>
  <si>
    <t>[ IfcMotorConnectionDIRECTDRIVE ]</t>
  </si>
  <si>
    <t>Motor.de.Acoplamento</t>
  </si>
  <si>
    <t>Motor.de.Acionamento.Direto</t>
  </si>
  <si>
    <t>Motor.de.Acionamento.Correia</t>
  </si>
  <si>
    <t>Motricidade</t>
  </si>
  <si>
    <t>Motor.de.Combustão</t>
  </si>
  <si>
    <t>[ IfcEngine ]</t>
  </si>
  <si>
    <t>[ IfcEngineINTERNALCOMBUSTION ]</t>
  </si>
  <si>
    <t>[ IfcEngineEXTERNALCOMBUSTION ]</t>
  </si>
  <si>
    <t>Máquina.de.Combustão.Externa</t>
  </si>
  <si>
    <t>Máquina.de.Combustão.Interna</t>
  </si>
  <si>
    <t>Máquina.Motriz</t>
  </si>
  <si>
    <t>Motor que converte combustível em energia mecânica por meio da combustão externa</t>
  </si>
  <si>
    <t>Motor que converte combustível em energia mecânica por meio da combustão interna</t>
  </si>
  <si>
    <t>Motor que converte combustível em energia mecânica por meio da combustão</t>
  </si>
  <si>
    <t>Motor de acionamento por correia</t>
  </si>
  <si>
    <t>Motor de acionamento direto</t>
  </si>
  <si>
    <t>Motor de acoplamento</t>
  </si>
  <si>
    <t>Motor de combustão</t>
  </si>
  <si>
    <t>Acessório Mecânico</t>
  </si>
  <si>
    <t>Motor de combustión</t>
  </si>
  <si>
    <t>Motor de acoplamiento</t>
  </si>
  <si>
    <t>Motor de transmisión por correa</t>
  </si>
  <si>
    <t>Motor de accionamiento directo</t>
  </si>
  <si>
    <t>Motor que convierte combustible en energía mecánica mediante combustión</t>
  </si>
  <si>
    <t>Motor que convierte combustible en energía mecánica mediante combustión externa</t>
  </si>
  <si>
    <t>Motor que convierte combustible en energía mecánica mediante combustión interna</t>
  </si>
  <si>
    <t>Accesorio mecánico</t>
  </si>
  <si>
    <t>[ MechanicalEquipment ]</t>
  </si>
  <si>
    <t>Maq_111233</t>
  </si>
  <si>
    <t>Maq_111234</t>
  </si>
  <si>
    <t>Maq_111235</t>
  </si>
  <si>
    <t>Maq_111236</t>
  </si>
  <si>
    <t>Maq_111237</t>
  </si>
  <si>
    <t>Maq_111238</t>
  </si>
  <si>
    <t>Maq_111239</t>
  </si>
  <si>
    <t>Maq_111240</t>
  </si>
  <si>
    <t>"Modelo"</t>
  </si>
  <si>
    <t>Objetos de Sistemas Mecâninos Motrizes</t>
  </si>
  <si>
    <t>Formalizar elementos do projeto BIM. Objetos específicos de Sistemas Mecânicos Motrizes</t>
  </si>
  <si>
    <t>Formalizar elementos de proyecto BIM. Objetos específicos de Sistemas Mecánicos Motrices</t>
  </si>
  <si>
    <t>Objetos_de_Sistemas_Mecânicos_Motrizes</t>
  </si>
  <si>
    <t>[ 3E.56 ]</t>
  </si>
  <si>
    <t>"[ 3E.56 ]"</t>
  </si>
  <si>
    <t>Elevador.MRL</t>
  </si>
  <si>
    <t>Elevador.MR</t>
  </si>
  <si>
    <t>Elevador de tração com casa de máquinas</t>
  </si>
  <si>
    <t>Elevador com roldana de içamento sem casa de máquinas</t>
  </si>
  <si>
    <t>Elevador.Hidráulico</t>
  </si>
  <si>
    <t>Elevador para poucos andares sem transporte de cargas pesadas</t>
  </si>
  <si>
    <t>Plataforma</t>
  </si>
  <si>
    <t>Plataforma.Articulada</t>
  </si>
  <si>
    <t>Plataforma.Cesto</t>
  </si>
  <si>
    <t>Ascensor para pocos pisos sin transporte de cargas pesadas</t>
  </si>
  <si>
    <t>Ascensor con sistema de izamiento mediante roldana y sin sala de máquinas</t>
  </si>
  <si>
    <t>Ascensor de tracción con sala de máquinas</t>
  </si>
  <si>
    <t>Plataforma de elevación con cesto</t>
  </si>
  <si>
    <t>Plataforma de elevación articulada</t>
  </si>
  <si>
    <t>Plataforma de elevação</t>
  </si>
  <si>
    <t>Plataforma de elevação articulada</t>
  </si>
  <si>
    <t>Plataforma de elevação com cesto</t>
  </si>
  <si>
    <t>[ IfcTransportElementELEVATOR ]</t>
  </si>
  <si>
    <t>[ 3E.08.06.06 ]</t>
  </si>
  <si>
    <t>[ 3E.08.06.10.02 ]</t>
  </si>
  <si>
    <t>quem.fabrica</t>
  </si>
  <si>
    <t>"[ OST_MechanicalEquipment ]"</t>
  </si>
  <si>
    <t>"[ IfcEngine ]"</t>
  </si>
  <si>
    <t>"Nome de um fabricante"</t>
  </si>
  <si>
    <t>Conceitos</t>
  </si>
  <si>
    <t>De.Motricidade</t>
  </si>
  <si>
    <t>Projeto</t>
  </si>
  <si>
    <t>[ MechanicalEquipment : OST_VerticalCirculation ]</t>
  </si>
  <si>
    <t>De.Força.Motriz</t>
  </si>
  <si>
    <t>Maquinárias</t>
  </si>
  <si>
    <t>Máquina</t>
  </si>
  <si>
    <t>Bomba</t>
  </si>
  <si>
    <t>Motor</t>
  </si>
  <si>
    <t>Elevador</t>
  </si>
  <si>
    <t>Escada.Rolante</t>
  </si>
  <si>
    <t>Escada Rolante</t>
  </si>
  <si>
    <t>Escalera mecânica</t>
  </si>
  <si>
    <t>Acensor+Q3</t>
  </si>
  <si>
    <t>Máquinas</t>
  </si>
  <si>
    <t>Motorizados</t>
  </si>
  <si>
    <t>Maquinizados</t>
  </si>
  <si>
    <t>Elevadores</t>
  </si>
  <si>
    <t>Elementos.Motrizes</t>
  </si>
  <si>
    <t>Acessórios.Motrizes</t>
  </si>
  <si>
    <t>Acessório.Motriz</t>
  </si>
  <si>
    <t>"Instância de Equipamento Mecânico Motriz Identificado no projeto"</t>
  </si>
  <si>
    <t>Combustion engine</t>
  </si>
  <si>
    <t>Coupling motor</t>
  </si>
  <si>
    <t>Belt drive motor</t>
  </si>
  <si>
    <t>Direct drive motor</t>
  </si>
  <si>
    <t>Engine that converts fuel into mechanical energy through combustion</t>
  </si>
  <si>
    <t>Engine that converts fuel into mechanical energy through external combustion</t>
  </si>
  <si>
    <t>Engine that converts fuel into mechanical energy through internal combustion</t>
  </si>
  <si>
    <t>Elevator to a few floors without carrying heavy loads</t>
  </si>
  <si>
    <t>Traction Elevator with Machine Room</t>
  </si>
  <si>
    <t>Elevator with hoisting pulley without machine room</t>
  </si>
  <si>
    <t>Lifting Platform</t>
  </si>
  <si>
    <t>Articulated lifting platform</t>
  </si>
  <si>
    <t>Basket lifting platform</t>
  </si>
  <si>
    <t>Mechanical Accessory</t>
  </si>
  <si>
    <t>Machine</t>
  </si>
  <si>
    <t>Pump</t>
  </si>
  <si>
    <t>Engine</t>
  </si>
  <si>
    <t>Elevator</t>
  </si>
  <si>
    <t>Escalator</t>
  </si>
  <si>
    <t>Classe IFC</t>
  </si>
  <si>
    <t>Atributo IFC</t>
  </si>
  <si>
    <t>Parâmetro Rvt</t>
  </si>
  <si>
    <t>Categoria Rvt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</si>
  <si>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</si>
  <si>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</si>
  <si>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</si>
  <si>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</si>
  <si>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</si>
  <si>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</si>
  <si>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</si>
  <si>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</si>
  <si>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</si>
  <si>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</si>
  <si>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</si>
  <si>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</si>
  <si>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</si>
  <si>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</si>
  <si>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</si>
  <si>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</si>
  <si>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</si>
  <si>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</si>
  <si>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</si>
  <si>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</si>
  <si>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</si>
  <si>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</si>
  <si>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</si>
  <si>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</si>
  <si>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</si>
  <si>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De.Materialidade</t>
  </si>
  <si>
    <t>Materialidades</t>
  </si>
  <si>
    <t>Materiais</t>
  </si>
  <si>
    <t>Mat.Cabo.de.Elétrica</t>
  </si>
  <si>
    <t>Material usado em Cabo de Elétrica</t>
  </si>
  <si>
    <t>Material utilizado en cables eléctricos</t>
  </si>
  <si>
    <t>Material used in electrical cables</t>
  </si>
  <si>
    <t>Instalações</t>
  </si>
  <si>
    <t>[ OST_Materials : OST_WireMaterials ]</t>
  </si>
  <si>
    <t>[ IfcMaterial ]</t>
  </si>
  <si>
    <t>[ 0M.20.20 ]</t>
  </si>
  <si>
    <t>Mat.Calha.de.Elétrica</t>
  </si>
  <si>
    <t>Material usado em Calha de Elétrica</t>
  </si>
  <si>
    <t>Material utilizado en canaletas eléctricas</t>
  </si>
  <si>
    <t>Material used in electrical gutters</t>
  </si>
  <si>
    <t>Mat.Canaleta.de.Elétrica</t>
  </si>
  <si>
    <t>Material usado em Canaleta de Elétrica</t>
  </si>
  <si>
    <t>Material utilizado en conductos eléctricos</t>
  </si>
  <si>
    <t>Material used in electrical conduits</t>
  </si>
  <si>
    <t>Mat.Eletroduto.Flexível</t>
  </si>
  <si>
    <t>Material usado em Eletroduto Flexível</t>
  </si>
  <si>
    <t>Material utilizado en conductos eléctricos flexibles</t>
  </si>
  <si>
    <t>Material used in flexible electrical conduits</t>
  </si>
  <si>
    <t>Mat.Eletroduto.Rígido</t>
  </si>
  <si>
    <t>Material usado em Eletroduto Rígido</t>
  </si>
  <si>
    <t>Material utilizado en conductos eléctricos rígidos</t>
  </si>
  <si>
    <t>Material used in rigid electrical conduits</t>
  </si>
  <si>
    <t>Projeto_FM</t>
  </si>
  <si>
    <t>"Força motriz do Projeto Específico FM"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</si>
</sst>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16" borderId="4" xfId="0" applyFont="1" applyFill="1" applyBorder="1" applyAlignment="1">
      <alignment horizontal="left" vertical="center"/>
    </xf>
  </cellXfs>
  <cellStyles count="1">
    <cellStyle name="Normal" xfId="0" builtinId="0"/>
  </cellStyles>
  <dxfs count="3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customWidth="1"/>
    <col min="2" max="2" width="47.15234375" customWidth="1"/>
    <col min="3" max="3" width="3.3828125" style="43" bestFit="1" customWidth="1"/>
  </cols>
  <sheetData>
    <row r="1" spans="1:3" ht="20.25" customHeight="1" x14ac:dyDescent="0.4">
      <c r="A1" s="11" t="s">
        <v>44</v>
      </c>
      <c r="B1" s="11" t="s">
        <v>45</v>
      </c>
      <c r="C1" s="41" t="s">
        <v>86</v>
      </c>
    </row>
    <row r="2" spans="1:3" ht="9" customHeight="1" x14ac:dyDescent="0.4">
      <c r="A2" s="12" t="s">
        <v>46</v>
      </c>
      <c r="B2" s="12" t="s">
        <v>47</v>
      </c>
      <c r="C2" s="42" t="s">
        <v>87</v>
      </c>
    </row>
    <row r="3" spans="1:3" ht="9" customHeight="1" x14ac:dyDescent="0.4">
      <c r="A3" s="12" t="s">
        <v>48</v>
      </c>
      <c r="B3" s="12" t="s">
        <v>143</v>
      </c>
      <c r="C3" s="42" t="s">
        <v>87</v>
      </c>
    </row>
    <row r="4" spans="1:3" ht="9" customHeight="1" x14ac:dyDescent="0.4">
      <c r="A4" s="13" t="s">
        <v>49</v>
      </c>
      <c r="B4" s="13" t="s">
        <v>32</v>
      </c>
      <c r="C4" s="42" t="s">
        <v>87</v>
      </c>
    </row>
    <row r="5" spans="1:3" ht="9" customHeight="1" x14ac:dyDescent="0.4">
      <c r="A5" s="13" t="s">
        <v>50</v>
      </c>
      <c r="B5" s="13" t="str">
        <f>_xlfn.CONCAT(B4,"Prop")</f>
        <v>BIMProp</v>
      </c>
      <c r="C5" s="42" t="s">
        <v>87</v>
      </c>
    </row>
    <row r="6" spans="1:3" ht="9" customHeight="1" x14ac:dyDescent="0.4">
      <c r="A6" s="13" t="s">
        <v>51</v>
      </c>
      <c r="B6" s="13" t="str">
        <f>_xlfn.CONCAT(B4,"Data")</f>
        <v>BIMData</v>
      </c>
      <c r="C6" s="42" t="s">
        <v>87</v>
      </c>
    </row>
    <row r="7" spans="1:3" ht="9" customHeight="1" x14ac:dyDescent="0.4">
      <c r="A7" s="13" t="s">
        <v>52</v>
      </c>
      <c r="B7" s="14" t="s">
        <v>53</v>
      </c>
      <c r="C7" s="42" t="s">
        <v>87</v>
      </c>
    </row>
    <row r="8" spans="1:3" s="40" customFormat="1" ht="9" customHeight="1" x14ac:dyDescent="0.4">
      <c r="A8" s="39" t="s">
        <v>54</v>
      </c>
      <c r="B8" s="39" t="s">
        <v>84</v>
      </c>
      <c r="C8" s="42" t="s">
        <v>87</v>
      </c>
    </row>
    <row r="9" spans="1:3" ht="9" customHeight="1" x14ac:dyDescent="0.4">
      <c r="A9" s="13" t="s">
        <v>55</v>
      </c>
      <c r="B9" s="13" t="s">
        <v>56</v>
      </c>
      <c r="C9" s="42" t="s">
        <v>87</v>
      </c>
    </row>
    <row r="10" spans="1:3" ht="9" customHeight="1" x14ac:dyDescent="0.4">
      <c r="A10" s="13" t="s">
        <v>57</v>
      </c>
      <c r="B10" s="13" t="s">
        <v>58</v>
      </c>
      <c r="C10" s="42" t="s">
        <v>87</v>
      </c>
    </row>
    <row r="11" spans="1:3" ht="9" customHeight="1" x14ac:dyDescent="0.4">
      <c r="A11" s="13" t="s">
        <v>59</v>
      </c>
      <c r="B11" s="13" t="s">
        <v>58</v>
      </c>
      <c r="C11" s="42" t="s">
        <v>87</v>
      </c>
    </row>
    <row r="12" spans="1:3" ht="9" customHeight="1" x14ac:dyDescent="0.4">
      <c r="A12" s="13" t="s">
        <v>60</v>
      </c>
      <c r="B12" s="13" t="s">
        <v>58</v>
      </c>
      <c r="C12" s="42" t="s">
        <v>87</v>
      </c>
    </row>
    <row r="13" spans="1:3" ht="9" customHeight="1" x14ac:dyDescent="0.4">
      <c r="A13" s="13" t="s">
        <v>61</v>
      </c>
      <c r="B13" s="13" t="s">
        <v>58</v>
      </c>
      <c r="C13" s="42" t="s">
        <v>87</v>
      </c>
    </row>
    <row r="14" spans="1:3" ht="9" customHeight="1" x14ac:dyDescent="0.4">
      <c r="A14" s="13" t="s">
        <v>62</v>
      </c>
      <c r="B14" s="13" t="s">
        <v>58</v>
      </c>
      <c r="C14" s="42" t="s">
        <v>87</v>
      </c>
    </row>
    <row r="15" spans="1:3" ht="9" customHeight="1" x14ac:dyDescent="0.4">
      <c r="A15" s="13" t="s">
        <v>63</v>
      </c>
      <c r="B15" s="13" t="s">
        <v>58</v>
      </c>
      <c r="C15" s="42" t="s">
        <v>87</v>
      </c>
    </row>
    <row r="16" spans="1:3" ht="9" customHeight="1" x14ac:dyDescent="0.4">
      <c r="A16" s="13" t="s">
        <v>64</v>
      </c>
      <c r="B16" s="13" t="s">
        <v>58</v>
      </c>
      <c r="C16" s="42" t="s">
        <v>87</v>
      </c>
    </row>
    <row r="17" spans="1:3" ht="9" customHeight="1" x14ac:dyDescent="0.4">
      <c r="A17" s="13" t="s">
        <v>65</v>
      </c>
      <c r="B17" s="13" t="s">
        <v>140</v>
      </c>
      <c r="C17" s="42" t="s">
        <v>87</v>
      </c>
    </row>
    <row r="18" spans="1:3" ht="9" customHeight="1" x14ac:dyDescent="0.4">
      <c r="A18" s="13" t="s">
        <v>66</v>
      </c>
      <c r="B18" s="15">
        <f ca="1">NOW()</f>
        <v>46270.88739236111</v>
      </c>
      <c r="C18" s="42" t="s">
        <v>87</v>
      </c>
    </row>
    <row r="19" spans="1:3" ht="9" customHeight="1" x14ac:dyDescent="0.4">
      <c r="A19" s="13" t="s">
        <v>67</v>
      </c>
      <c r="B19" s="15" t="s">
        <v>68</v>
      </c>
      <c r="C19" s="42" t="s">
        <v>87</v>
      </c>
    </row>
    <row r="20" spans="1:3" ht="9" customHeight="1" x14ac:dyDescent="0.4">
      <c r="A20" s="13" t="s">
        <v>69</v>
      </c>
      <c r="B20" s="13" t="s">
        <v>58</v>
      </c>
      <c r="C20" s="42" t="s">
        <v>87</v>
      </c>
    </row>
    <row r="21" spans="1:3" ht="9" customHeight="1" x14ac:dyDescent="0.4">
      <c r="A21" s="13" t="s">
        <v>70</v>
      </c>
      <c r="B21" s="13" t="s">
        <v>58</v>
      </c>
      <c r="C21" s="42" t="s">
        <v>87</v>
      </c>
    </row>
    <row r="22" spans="1:3" ht="9" customHeight="1" x14ac:dyDescent="0.4">
      <c r="A22" s="13" t="s">
        <v>71</v>
      </c>
      <c r="B22" s="16" t="s">
        <v>141</v>
      </c>
      <c r="C22" s="42" t="s">
        <v>87</v>
      </c>
    </row>
    <row r="23" spans="1:3" ht="9" customHeight="1" x14ac:dyDescent="0.4">
      <c r="A23" s="13" t="s">
        <v>72</v>
      </c>
      <c r="B23" s="16" t="s">
        <v>142</v>
      </c>
      <c r="C23" s="42" t="s">
        <v>88</v>
      </c>
    </row>
    <row r="24" spans="1:3" s="40" customFormat="1" ht="9" customHeight="1" x14ac:dyDescent="0.4">
      <c r="A24" s="13" t="s">
        <v>85</v>
      </c>
      <c r="B24" s="16" t="str">
        <f>_xlfn.TRANSLATE(B22,"pt","en")</f>
        <v>Formalize elements of the BIM project. Specific objects of Mechanical Driving Systems</v>
      </c>
      <c r="C24" s="42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30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X2" sqref="X2:X30"/>
    </sheetView>
  </sheetViews>
  <sheetFormatPr defaultColWidth="9.15234375" defaultRowHeight="6.65" customHeight="1" x14ac:dyDescent="0.4"/>
  <cols>
    <col min="1" max="1" width="3.15234375" bestFit="1" customWidth="1"/>
    <col min="2" max="2" width="6.3046875" style="60" bestFit="1" customWidth="1"/>
    <col min="3" max="3" width="9.53515625" style="60" bestFit="1" customWidth="1"/>
    <col min="4" max="4" width="11.3046875" style="60" bestFit="1" customWidth="1"/>
    <col min="5" max="5" width="11.84375" style="60" bestFit="1" customWidth="1"/>
    <col min="6" max="6" width="12.53515625" style="64" bestFit="1" customWidth="1"/>
    <col min="7" max="11" width="10.15234375" style="60" bestFit="1" customWidth="1"/>
    <col min="12" max="12" width="9.53515625" style="60" bestFit="1" customWidth="1"/>
    <col min="13" max="13" width="11.3046875" style="60" bestFit="1" customWidth="1"/>
    <col min="14" max="14" width="11.84375" style="60" bestFit="1" customWidth="1"/>
    <col min="15" max="15" width="17.69140625" style="60" bestFit="1" customWidth="1"/>
    <col min="16" max="16" width="46" style="60" bestFit="1" customWidth="1"/>
    <col min="17" max="17" width="44.84375" style="60" bestFit="1" customWidth="1"/>
    <col min="18" max="18" width="41.15234375" style="60" bestFit="1" customWidth="1"/>
    <col min="19" max="19" width="3.69140625" style="60" bestFit="1" customWidth="1"/>
    <col min="20" max="20" width="9.53515625" style="60" bestFit="1" customWidth="1"/>
    <col min="21" max="21" width="11.3046875" style="60" bestFit="1" customWidth="1"/>
    <col min="22" max="22" width="11.84375" style="60" bestFit="1" customWidth="1"/>
    <col min="23" max="23" width="9.53515625" style="60" bestFit="1" customWidth="1"/>
    <col min="24" max="24" width="8.15234375" style="60" bestFit="1" customWidth="1"/>
    <col min="25" max="25" width="23.84375" style="60" customWidth="1"/>
    <col min="26" max="26" width="6.84375" style="60" bestFit="1" customWidth="1"/>
    <col min="27" max="27" width="18.3046875" style="65" customWidth="1"/>
    <col min="28" max="28" width="6" style="60" bestFit="1" customWidth="1"/>
    <col min="29" max="29" width="10.3828125" style="60" bestFit="1" customWidth="1"/>
    <col min="30" max="16384" width="9.15234375" style="60"/>
  </cols>
  <sheetData>
    <row r="1" spans="1:30" ht="35.700000000000003" customHeight="1" x14ac:dyDescent="0.4">
      <c r="A1" s="45" t="s">
        <v>90</v>
      </c>
      <c r="B1" s="46" t="s">
        <v>42</v>
      </c>
      <c r="C1" s="46" t="s">
        <v>40</v>
      </c>
      <c r="D1" s="46" t="s">
        <v>41</v>
      </c>
      <c r="E1" s="46" t="s">
        <v>39</v>
      </c>
      <c r="F1" s="55" t="s">
        <v>36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37" t="s">
        <v>91</v>
      </c>
      <c r="M1" s="37" t="s">
        <v>5</v>
      </c>
      <c r="N1" s="37" t="s">
        <v>6</v>
      </c>
      <c r="O1" s="37" t="s">
        <v>7</v>
      </c>
      <c r="P1" s="37" t="s">
        <v>37</v>
      </c>
      <c r="Q1" s="37" t="s">
        <v>43</v>
      </c>
      <c r="R1" s="38" t="s">
        <v>83</v>
      </c>
      <c r="S1" s="37" t="s">
        <v>92</v>
      </c>
      <c r="T1" s="37" t="s">
        <v>33</v>
      </c>
      <c r="U1" s="37" t="s">
        <v>38</v>
      </c>
      <c r="V1" s="48" t="s">
        <v>35</v>
      </c>
      <c r="W1" s="37" t="s">
        <v>34</v>
      </c>
      <c r="X1" s="61" t="s">
        <v>8</v>
      </c>
      <c r="Y1" s="37" t="s">
        <v>214</v>
      </c>
      <c r="Z1" s="37" t="s">
        <v>213</v>
      </c>
      <c r="AA1" s="37" t="s">
        <v>211</v>
      </c>
      <c r="AB1" s="37" t="s">
        <v>212</v>
      </c>
      <c r="AC1" s="37" t="s">
        <v>82</v>
      </c>
      <c r="AD1" s="37" t="s">
        <v>239</v>
      </c>
    </row>
    <row r="2" spans="1:30" ht="6.65" customHeight="1" x14ac:dyDescent="0.4">
      <c r="A2" s="57">
        <v>2</v>
      </c>
      <c r="B2" s="1" t="s">
        <v>170</v>
      </c>
      <c r="C2" s="1" t="s">
        <v>240</v>
      </c>
      <c r="D2" s="1" t="s">
        <v>241</v>
      </c>
      <c r="E2" s="1" t="s">
        <v>242</v>
      </c>
      <c r="F2" s="54" t="s">
        <v>243</v>
      </c>
      <c r="G2" s="58" t="s">
        <v>9</v>
      </c>
      <c r="H2" s="58" t="s">
        <v>9</v>
      </c>
      <c r="I2" s="58" t="s">
        <v>9</v>
      </c>
      <c r="J2" s="58" t="s">
        <v>9</v>
      </c>
      <c r="K2" s="58" t="s">
        <v>9</v>
      </c>
      <c r="L2" s="34" t="str">
        <f t="shared" ref="L2:O6" si="0">SUBSTITUTE(CONCATENATE("", C2), ".", " ")</f>
        <v>De Materialidade</v>
      </c>
      <c r="M2" s="34" t="str">
        <f t="shared" si="0"/>
        <v>Materialidades</v>
      </c>
      <c r="N2" s="34" t="str">
        <f t="shared" si="0"/>
        <v>Materiais</v>
      </c>
      <c r="O2" s="34" t="str">
        <f t="shared" si="0"/>
        <v>Mat Cabo de Elétrica</v>
      </c>
      <c r="P2" s="69" t="s">
        <v>244</v>
      </c>
      <c r="Q2" s="30" t="s">
        <v>245</v>
      </c>
      <c r="R2" s="30" t="s">
        <v>246</v>
      </c>
      <c r="S2" s="30" t="s">
        <v>9</v>
      </c>
      <c r="T2" s="30" t="str">
        <f t="shared" ref="T2:V6" si="1">SUBSTITUTE(C2, ".", " ")</f>
        <v>De Materialidade</v>
      </c>
      <c r="U2" s="30" t="str">
        <f t="shared" si="1"/>
        <v>Materialidades</v>
      </c>
      <c r="V2" s="30" t="str">
        <f t="shared" si="1"/>
        <v>Materiais</v>
      </c>
      <c r="W2" s="30" t="s">
        <v>247</v>
      </c>
      <c r="X2" s="59" t="str">
        <f>CONCATENATE("Key-FMOT-",A2)</f>
        <v>Key-FMOT-2</v>
      </c>
      <c r="Y2" s="30" t="s">
        <v>248</v>
      </c>
      <c r="Z2" s="67" t="s">
        <v>9</v>
      </c>
      <c r="AA2" s="30" t="s">
        <v>249</v>
      </c>
      <c r="AB2" s="67" t="s">
        <v>9</v>
      </c>
      <c r="AC2" s="30" t="s">
        <v>250</v>
      </c>
      <c r="AD2" s="67" t="s">
        <v>9</v>
      </c>
    </row>
    <row r="3" spans="1:30" ht="6.65" customHeight="1" x14ac:dyDescent="0.4">
      <c r="A3" s="57">
        <v>3</v>
      </c>
      <c r="B3" s="1" t="s">
        <v>170</v>
      </c>
      <c r="C3" s="1" t="s">
        <v>240</v>
      </c>
      <c r="D3" s="1" t="s">
        <v>241</v>
      </c>
      <c r="E3" s="1" t="s">
        <v>242</v>
      </c>
      <c r="F3" s="54" t="s">
        <v>251</v>
      </c>
      <c r="G3" s="58" t="s">
        <v>9</v>
      </c>
      <c r="H3" s="58" t="s">
        <v>9</v>
      </c>
      <c r="I3" s="58" t="s">
        <v>9</v>
      </c>
      <c r="J3" s="58" t="s">
        <v>9</v>
      </c>
      <c r="K3" s="58" t="s">
        <v>9</v>
      </c>
      <c r="L3" s="34" t="str">
        <f t="shared" si="0"/>
        <v>De Materialidade</v>
      </c>
      <c r="M3" s="34" t="str">
        <f t="shared" si="0"/>
        <v>Materialidades</v>
      </c>
      <c r="N3" s="34" t="str">
        <f t="shared" si="0"/>
        <v>Materiais</v>
      </c>
      <c r="O3" s="34" t="str">
        <f t="shared" si="0"/>
        <v>Mat Calha de Elétrica</v>
      </c>
      <c r="P3" s="69" t="s">
        <v>252</v>
      </c>
      <c r="Q3" s="30" t="s">
        <v>253</v>
      </c>
      <c r="R3" s="30" t="s">
        <v>254</v>
      </c>
      <c r="S3" s="30" t="s">
        <v>9</v>
      </c>
      <c r="T3" s="30" t="str">
        <f t="shared" si="1"/>
        <v>De Materialidade</v>
      </c>
      <c r="U3" s="30" t="str">
        <f t="shared" si="1"/>
        <v>Materialidades</v>
      </c>
      <c r="V3" s="30" t="str">
        <f t="shared" si="1"/>
        <v>Materiais</v>
      </c>
      <c r="W3" s="30" t="s">
        <v>247</v>
      </c>
      <c r="X3" s="59" t="str">
        <f t="shared" ref="X3:X30" si="2">CONCATENATE("Key-FMOT-",A3)</f>
        <v>Key-FMOT-3</v>
      </c>
      <c r="Y3" s="30" t="s">
        <v>248</v>
      </c>
      <c r="Z3" s="67" t="s">
        <v>9</v>
      </c>
      <c r="AA3" s="30" t="s">
        <v>249</v>
      </c>
      <c r="AB3" s="67" t="s">
        <v>9</v>
      </c>
      <c r="AC3" s="30" t="s">
        <v>250</v>
      </c>
      <c r="AD3" s="67" t="s">
        <v>9</v>
      </c>
    </row>
    <row r="4" spans="1:30" ht="6.65" customHeight="1" x14ac:dyDescent="0.4">
      <c r="A4" s="57">
        <v>4</v>
      </c>
      <c r="B4" s="1" t="s">
        <v>170</v>
      </c>
      <c r="C4" s="1" t="s">
        <v>240</v>
      </c>
      <c r="D4" s="1" t="s">
        <v>241</v>
      </c>
      <c r="E4" s="1" t="s">
        <v>242</v>
      </c>
      <c r="F4" s="54" t="s">
        <v>255</v>
      </c>
      <c r="G4" s="58" t="s">
        <v>9</v>
      </c>
      <c r="H4" s="58" t="s">
        <v>9</v>
      </c>
      <c r="I4" s="58" t="s">
        <v>9</v>
      </c>
      <c r="J4" s="58" t="s">
        <v>9</v>
      </c>
      <c r="K4" s="58" t="s">
        <v>9</v>
      </c>
      <c r="L4" s="34" t="str">
        <f t="shared" si="0"/>
        <v>De Materialidade</v>
      </c>
      <c r="M4" s="34" t="str">
        <f t="shared" si="0"/>
        <v>Materialidades</v>
      </c>
      <c r="N4" s="34" t="str">
        <f t="shared" si="0"/>
        <v>Materiais</v>
      </c>
      <c r="O4" s="34" t="str">
        <f t="shared" si="0"/>
        <v>Mat Canaleta de Elétrica</v>
      </c>
      <c r="P4" s="69" t="s">
        <v>256</v>
      </c>
      <c r="Q4" s="30" t="s">
        <v>257</v>
      </c>
      <c r="R4" s="30" t="s">
        <v>258</v>
      </c>
      <c r="S4" s="30" t="s">
        <v>9</v>
      </c>
      <c r="T4" s="30" t="str">
        <f t="shared" si="1"/>
        <v>De Materialidade</v>
      </c>
      <c r="U4" s="30" t="str">
        <f t="shared" si="1"/>
        <v>Materialidades</v>
      </c>
      <c r="V4" s="30" t="str">
        <f t="shared" si="1"/>
        <v>Materiais</v>
      </c>
      <c r="W4" s="30" t="s">
        <v>247</v>
      </c>
      <c r="X4" s="59" t="str">
        <f t="shared" si="2"/>
        <v>Key-FMOT-4</v>
      </c>
      <c r="Y4" s="30" t="s">
        <v>248</v>
      </c>
      <c r="Z4" s="67" t="s">
        <v>9</v>
      </c>
      <c r="AA4" s="30" t="s">
        <v>249</v>
      </c>
      <c r="AB4" s="67" t="s">
        <v>9</v>
      </c>
      <c r="AC4" s="30" t="s">
        <v>250</v>
      </c>
      <c r="AD4" s="67" t="s">
        <v>9</v>
      </c>
    </row>
    <row r="5" spans="1:30" ht="6.65" customHeight="1" x14ac:dyDescent="0.4">
      <c r="A5" s="57">
        <v>5</v>
      </c>
      <c r="B5" s="1" t="s">
        <v>170</v>
      </c>
      <c r="C5" s="1" t="s">
        <v>240</v>
      </c>
      <c r="D5" s="1" t="s">
        <v>241</v>
      </c>
      <c r="E5" s="1" t="s">
        <v>242</v>
      </c>
      <c r="F5" s="54" t="s">
        <v>259</v>
      </c>
      <c r="G5" s="58" t="s">
        <v>9</v>
      </c>
      <c r="H5" s="58" t="s">
        <v>9</v>
      </c>
      <c r="I5" s="58" t="s">
        <v>9</v>
      </c>
      <c r="J5" s="58" t="s">
        <v>9</v>
      </c>
      <c r="K5" s="58" t="s">
        <v>9</v>
      </c>
      <c r="L5" s="34" t="str">
        <f t="shared" si="0"/>
        <v>De Materialidade</v>
      </c>
      <c r="M5" s="34" t="str">
        <f t="shared" si="0"/>
        <v>Materialidades</v>
      </c>
      <c r="N5" s="34" t="str">
        <f t="shared" si="0"/>
        <v>Materiais</v>
      </c>
      <c r="O5" s="34" t="str">
        <f t="shared" si="0"/>
        <v>Mat Eletroduto Flexível</v>
      </c>
      <c r="P5" s="69" t="s">
        <v>260</v>
      </c>
      <c r="Q5" s="30" t="s">
        <v>261</v>
      </c>
      <c r="R5" s="30" t="s">
        <v>262</v>
      </c>
      <c r="S5" s="30" t="s">
        <v>9</v>
      </c>
      <c r="T5" s="30" t="str">
        <f t="shared" si="1"/>
        <v>De Materialidade</v>
      </c>
      <c r="U5" s="30" t="str">
        <f t="shared" si="1"/>
        <v>Materialidades</v>
      </c>
      <c r="V5" s="30" t="str">
        <f t="shared" si="1"/>
        <v>Materiais</v>
      </c>
      <c r="W5" s="30" t="s">
        <v>247</v>
      </c>
      <c r="X5" s="59" t="str">
        <f t="shared" si="2"/>
        <v>Key-FMOT-5</v>
      </c>
      <c r="Y5" s="30" t="s">
        <v>248</v>
      </c>
      <c r="Z5" s="67" t="s">
        <v>9</v>
      </c>
      <c r="AA5" s="30" t="s">
        <v>249</v>
      </c>
      <c r="AB5" s="67" t="s">
        <v>9</v>
      </c>
      <c r="AC5" s="30" t="s">
        <v>250</v>
      </c>
      <c r="AD5" s="67" t="s">
        <v>9</v>
      </c>
    </row>
    <row r="6" spans="1:30" ht="6.65" customHeight="1" x14ac:dyDescent="0.4">
      <c r="A6" s="57">
        <v>6</v>
      </c>
      <c r="B6" s="1" t="s">
        <v>170</v>
      </c>
      <c r="C6" s="1" t="s">
        <v>240</v>
      </c>
      <c r="D6" s="1" t="s">
        <v>241</v>
      </c>
      <c r="E6" s="1" t="s">
        <v>242</v>
      </c>
      <c r="F6" s="54" t="s">
        <v>263</v>
      </c>
      <c r="G6" s="58" t="s">
        <v>9</v>
      </c>
      <c r="H6" s="58" t="s">
        <v>9</v>
      </c>
      <c r="I6" s="58" t="s">
        <v>9</v>
      </c>
      <c r="J6" s="58" t="s">
        <v>9</v>
      </c>
      <c r="K6" s="58" t="s">
        <v>9</v>
      </c>
      <c r="L6" s="34" t="str">
        <f t="shared" si="0"/>
        <v>De Materialidade</v>
      </c>
      <c r="M6" s="34" t="str">
        <f t="shared" si="0"/>
        <v>Materialidades</v>
      </c>
      <c r="N6" s="34" t="str">
        <f t="shared" si="0"/>
        <v>Materiais</v>
      </c>
      <c r="O6" s="34" t="str">
        <f t="shared" si="0"/>
        <v>Mat Eletroduto Rígido</v>
      </c>
      <c r="P6" s="69" t="s">
        <v>264</v>
      </c>
      <c r="Q6" s="30" t="s">
        <v>265</v>
      </c>
      <c r="R6" s="30" t="s">
        <v>266</v>
      </c>
      <c r="S6" s="30" t="s">
        <v>9</v>
      </c>
      <c r="T6" s="30" t="str">
        <f t="shared" si="1"/>
        <v>De Materialidade</v>
      </c>
      <c r="U6" s="30" t="str">
        <f t="shared" si="1"/>
        <v>Materialidades</v>
      </c>
      <c r="V6" s="30" t="str">
        <f t="shared" si="1"/>
        <v>Materiais</v>
      </c>
      <c r="W6" s="30" t="s">
        <v>247</v>
      </c>
      <c r="X6" s="59" t="str">
        <f t="shared" si="2"/>
        <v>Key-FMOT-6</v>
      </c>
      <c r="Y6" s="30" t="s">
        <v>248</v>
      </c>
      <c r="Z6" s="67" t="s">
        <v>9</v>
      </c>
      <c r="AA6" s="30" t="s">
        <v>249</v>
      </c>
      <c r="AB6" s="67" t="s">
        <v>9</v>
      </c>
      <c r="AC6" s="30" t="s">
        <v>250</v>
      </c>
      <c r="AD6" s="67" t="s">
        <v>9</v>
      </c>
    </row>
    <row r="7" spans="1:30" ht="6.65" customHeight="1" x14ac:dyDescent="0.4">
      <c r="A7" s="57">
        <v>7</v>
      </c>
      <c r="B7" s="1" t="s">
        <v>170</v>
      </c>
      <c r="C7" s="33" t="s">
        <v>171</v>
      </c>
      <c r="D7" s="1" t="s">
        <v>188</v>
      </c>
      <c r="E7" s="1" t="s">
        <v>185</v>
      </c>
      <c r="F7" s="54" t="s">
        <v>107</v>
      </c>
      <c r="G7" s="58" t="s">
        <v>9</v>
      </c>
      <c r="H7" s="58" t="s">
        <v>9</v>
      </c>
      <c r="I7" s="58" t="s">
        <v>9</v>
      </c>
      <c r="J7" s="58" t="s">
        <v>9</v>
      </c>
      <c r="K7" s="58" t="s">
        <v>9</v>
      </c>
      <c r="L7" s="34" t="str">
        <f t="shared" ref="L7:L9" si="3">CONCATENATE("", C7)</f>
        <v>De.Motricidade</v>
      </c>
      <c r="M7" s="34" t="str">
        <f t="shared" ref="M7:M9" si="4">CONCATENATE("", D7)</f>
        <v>Elementos.Motrizes</v>
      </c>
      <c r="N7" s="34" t="str">
        <f t="shared" ref="N7:N9" si="5">(SUBSTITUTE(SUBSTITUTE(CONCATENATE("",E7),"."," ")," De "," de "))</f>
        <v>Motorizados</v>
      </c>
      <c r="O7" s="30" t="str">
        <f>IF(ISNUMBER(FIND("Ifc",F7)),CONCATENATE("Classe IFC:   ",F7),F7)</f>
        <v>Motor.de.Combustão</v>
      </c>
      <c r="P7" s="30" t="s">
        <v>120</v>
      </c>
      <c r="Q7" s="30" t="s">
        <v>122</v>
      </c>
      <c r="R7" s="30" t="s">
        <v>192</v>
      </c>
      <c r="S7" s="30" t="s">
        <v>9</v>
      </c>
      <c r="T7" s="30" t="str">
        <f t="shared" ref="T7:T20" si="6">SUBSTITUTE(C7, "_", " ")</f>
        <v>De.Motricidade</v>
      </c>
      <c r="U7" s="30" t="str">
        <f t="shared" ref="U7:U20" si="7">SUBSTITUTE(D7, "_", " ")</f>
        <v>Elementos.Motrizes</v>
      </c>
      <c r="V7" s="30" t="str">
        <f t="shared" ref="V7:V20" si="8">SUBSTITUTE(E7, "_", " ")</f>
        <v>Motorizados</v>
      </c>
      <c r="W7" s="30" t="s">
        <v>106</v>
      </c>
      <c r="X7" s="59" t="str">
        <f t="shared" si="2"/>
        <v>Key-FMOT-7</v>
      </c>
      <c r="Y7" s="30" t="s">
        <v>130</v>
      </c>
      <c r="Z7" s="67" t="s">
        <v>9</v>
      </c>
      <c r="AA7" s="29" t="s">
        <v>99</v>
      </c>
      <c r="AB7" s="67" t="s">
        <v>9</v>
      </c>
      <c r="AC7" s="30" t="s">
        <v>144</v>
      </c>
      <c r="AD7" s="67" t="s">
        <v>9</v>
      </c>
    </row>
    <row r="8" spans="1:30" ht="6.65" customHeight="1" x14ac:dyDescent="0.4">
      <c r="A8" s="57">
        <v>8</v>
      </c>
      <c r="B8" s="1" t="s">
        <v>170</v>
      </c>
      <c r="C8" s="33" t="s">
        <v>171</v>
      </c>
      <c r="D8" s="1" t="s">
        <v>188</v>
      </c>
      <c r="E8" s="1" t="s">
        <v>185</v>
      </c>
      <c r="F8" s="54" t="s">
        <v>103</v>
      </c>
      <c r="G8" s="58" t="s">
        <v>9</v>
      </c>
      <c r="H8" s="58" t="s">
        <v>9</v>
      </c>
      <c r="I8" s="58" t="s">
        <v>9</v>
      </c>
      <c r="J8" s="58" t="s">
        <v>9</v>
      </c>
      <c r="K8" s="58" t="s">
        <v>9</v>
      </c>
      <c r="L8" s="34" t="str">
        <f t="shared" ref="L8" si="9">CONCATENATE("", C8)</f>
        <v>De.Motricidade</v>
      </c>
      <c r="M8" s="34" t="str">
        <f t="shared" ref="M8" si="10">CONCATENATE("", D8)</f>
        <v>Elementos.Motrizes</v>
      </c>
      <c r="N8" s="34" t="str">
        <f t="shared" ref="N8" si="11">(SUBSTITUTE(SUBSTITUTE(CONCATENATE("",E8),"."," ")," De "," de "))</f>
        <v>Motorizados</v>
      </c>
      <c r="O8" s="30" t="str">
        <f t="shared" ref="O8:O20" si="12">IF(ISNUMBER(FIND("Ifc",F8)),CONCATENATE("Classe IFC:   ",F8),F8)</f>
        <v>Motor.de.Acoplamento</v>
      </c>
      <c r="P8" s="30" t="s">
        <v>119</v>
      </c>
      <c r="Q8" s="30" t="s">
        <v>123</v>
      </c>
      <c r="R8" s="30" t="s">
        <v>193</v>
      </c>
      <c r="S8" s="30" t="s">
        <v>9</v>
      </c>
      <c r="T8" s="30" t="str">
        <f t="shared" si="6"/>
        <v>De.Motricidade</v>
      </c>
      <c r="U8" s="30" t="str">
        <f t="shared" si="7"/>
        <v>Elementos.Motrizes</v>
      </c>
      <c r="V8" s="30" t="str">
        <f t="shared" si="8"/>
        <v>Motorizados</v>
      </c>
      <c r="W8" s="30" t="s">
        <v>106</v>
      </c>
      <c r="X8" s="59" t="str">
        <f t="shared" si="2"/>
        <v>Key-FMOT-8</v>
      </c>
      <c r="Y8" s="30" t="s">
        <v>130</v>
      </c>
      <c r="Z8" s="67" t="s">
        <v>9</v>
      </c>
      <c r="AA8" s="29" t="s">
        <v>100</v>
      </c>
      <c r="AB8" s="67" t="s">
        <v>9</v>
      </c>
      <c r="AC8" s="30" t="s">
        <v>144</v>
      </c>
      <c r="AD8" s="67" t="s">
        <v>9</v>
      </c>
    </row>
    <row r="9" spans="1:30" ht="6.65" customHeight="1" x14ac:dyDescent="0.4">
      <c r="A9" s="57">
        <v>9</v>
      </c>
      <c r="B9" s="1" t="s">
        <v>170</v>
      </c>
      <c r="C9" s="33" t="s">
        <v>171</v>
      </c>
      <c r="D9" s="1" t="s">
        <v>188</v>
      </c>
      <c r="E9" s="1" t="s">
        <v>185</v>
      </c>
      <c r="F9" s="54" t="s">
        <v>105</v>
      </c>
      <c r="G9" s="58" t="s">
        <v>9</v>
      </c>
      <c r="H9" s="58" t="s">
        <v>9</v>
      </c>
      <c r="I9" s="58" t="s">
        <v>9</v>
      </c>
      <c r="J9" s="58" t="s">
        <v>9</v>
      </c>
      <c r="K9" s="58" t="s">
        <v>9</v>
      </c>
      <c r="L9" s="34" t="str">
        <f t="shared" si="3"/>
        <v>De.Motricidade</v>
      </c>
      <c r="M9" s="34" t="str">
        <f t="shared" si="4"/>
        <v>Elementos.Motrizes</v>
      </c>
      <c r="N9" s="34" t="str">
        <f t="shared" si="5"/>
        <v>Motorizados</v>
      </c>
      <c r="O9" s="30" t="str">
        <f t="shared" si="12"/>
        <v>Motor.de.Acionamento.Correia</v>
      </c>
      <c r="P9" s="30" t="s">
        <v>117</v>
      </c>
      <c r="Q9" s="30" t="s">
        <v>124</v>
      </c>
      <c r="R9" s="30" t="s">
        <v>194</v>
      </c>
      <c r="S9" s="30" t="s">
        <v>9</v>
      </c>
      <c r="T9" s="30" t="str">
        <f t="shared" si="6"/>
        <v>De.Motricidade</v>
      </c>
      <c r="U9" s="30" t="str">
        <f t="shared" si="7"/>
        <v>Elementos.Motrizes</v>
      </c>
      <c r="V9" s="30" t="str">
        <f t="shared" si="8"/>
        <v>Motorizados</v>
      </c>
      <c r="W9" s="30" t="s">
        <v>106</v>
      </c>
      <c r="X9" s="59" t="str">
        <f t="shared" si="2"/>
        <v>Key-FMOT-9</v>
      </c>
      <c r="Y9" s="30" t="s">
        <v>130</v>
      </c>
      <c r="Z9" s="67" t="s">
        <v>9</v>
      </c>
      <c r="AA9" s="29" t="s">
        <v>101</v>
      </c>
      <c r="AB9" s="67" t="s">
        <v>9</v>
      </c>
      <c r="AC9" s="30" t="s">
        <v>144</v>
      </c>
      <c r="AD9" s="67" t="s">
        <v>9</v>
      </c>
    </row>
    <row r="10" spans="1:30" ht="6.65" customHeight="1" x14ac:dyDescent="0.4">
      <c r="A10" s="57">
        <v>10</v>
      </c>
      <c r="B10" s="1" t="s">
        <v>170</v>
      </c>
      <c r="C10" s="33" t="s">
        <v>171</v>
      </c>
      <c r="D10" s="1" t="s">
        <v>188</v>
      </c>
      <c r="E10" s="1" t="s">
        <v>185</v>
      </c>
      <c r="F10" s="54" t="s">
        <v>104</v>
      </c>
      <c r="G10" s="58" t="s">
        <v>9</v>
      </c>
      <c r="H10" s="58" t="s">
        <v>9</v>
      </c>
      <c r="I10" s="58" t="s">
        <v>9</v>
      </c>
      <c r="J10" s="58" t="s">
        <v>9</v>
      </c>
      <c r="K10" s="58" t="s">
        <v>9</v>
      </c>
      <c r="L10" s="34" t="str">
        <f t="shared" ref="L10" si="13">CONCATENATE("", C10)</f>
        <v>De.Motricidade</v>
      </c>
      <c r="M10" s="34" t="str">
        <f t="shared" ref="M10" si="14">CONCATENATE("", D10)</f>
        <v>Elementos.Motrizes</v>
      </c>
      <c r="N10" s="34" t="str">
        <f t="shared" ref="N10" si="15">(SUBSTITUTE(SUBSTITUTE(CONCATENATE("",E10),"."," ")," De "," de "))</f>
        <v>Motorizados</v>
      </c>
      <c r="O10" s="30" t="str">
        <f t="shared" si="12"/>
        <v>Motor.de.Acionamento.Direto</v>
      </c>
      <c r="P10" s="30" t="s">
        <v>118</v>
      </c>
      <c r="Q10" s="30" t="s">
        <v>125</v>
      </c>
      <c r="R10" s="30" t="s">
        <v>195</v>
      </c>
      <c r="S10" s="30" t="s">
        <v>9</v>
      </c>
      <c r="T10" s="30" t="str">
        <f t="shared" si="6"/>
        <v>De.Motricidade</v>
      </c>
      <c r="U10" s="30" t="str">
        <f t="shared" si="7"/>
        <v>Elementos.Motrizes</v>
      </c>
      <c r="V10" s="30" t="str">
        <f t="shared" si="8"/>
        <v>Motorizados</v>
      </c>
      <c r="W10" s="30" t="s">
        <v>106</v>
      </c>
      <c r="X10" s="59" t="str">
        <f t="shared" si="2"/>
        <v>Key-FMOT-10</v>
      </c>
      <c r="Y10" s="30" t="s">
        <v>130</v>
      </c>
      <c r="Z10" s="67" t="s">
        <v>9</v>
      </c>
      <c r="AA10" s="29" t="s">
        <v>102</v>
      </c>
      <c r="AB10" s="67" t="s">
        <v>9</v>
      </c>
      <c r="AC10" s="30" t="s">
        <v>144</v>
      </c>
      <c r="AD10" s="67" t="s">
        <v>9</v>
      </c>
    </row>
    <row r="11" spans="1:30" ht="6.65" customHeight="1" x14ac:dyDescent="0.4">
      <c r="A11" s="57">
        <v>11</v>
      </c>
      <c r="B11" s="1" t="s">
        <v>170</v>
      </c>
      <c r="C11" s="33" t="s">
        <v>171</v>
      </c>
      <c r="D11" s="1" t="s">
        <v>188</v>
      </c>
      <c r="E11" s="1" t="s">
        <v>186</v>
      </c>
      <c r="F11" s="54" t="s">
        <v>113</v>
      </c>
      <c r="G11" s="58" t="s">
        <v>9</v>
      </c>
      <c r="H11" s="58" t="s">
        <v>9</v>
      </c>
      <c r="I11" s="58" t="s">
        <v>9</v>
      </c>
      <c r="J11" s="58" t="s">
        <v>9</v>
      </c>
      <c r="K11" s="58" t="s">
        <v>9</v>
      </c>
      <c r="L11" s="34" t="str">
        <f t="shared" ref="L11:M18" si="16">CONCATENATE("", C11)</f>
        <v>De.Motricidade</v>
      </c>
      <c r="M11" s="34" t="str">
        <f t="shared" si="16"/>
        <v>Elementos.Motrizes</v>
      </c>
      <c r="N11" s="34" t="str">
        <f>(SUBSTITUTE(SUBSTITUTE(CONCATENATE("",E11),"."," ")," De "," de "))</f>
        <v>Maquinizados</v>
      </c>
      <c r="O11" s="30" t="str">
        <f t="shared" si="12"/>
        <v>Máquina.Motriz</v>
      </c>
      <c r="P11" s="30" t="s">
        <v>116</v>
      </c>
      <c r="Q11" s="30" t="s">
        <v>126</v>
      </c>
      <c r="R11" s="30" t="s">
        <v>196</v>
      </c>
      <c r="S11" s="30" t="s">
        <v>9</v>
      </c>
      <c r="T11" s="30" t="str">
        <f t="shared" si="6"/>
        <v>De.Motricidade</v>
      </c>
      <c r="U11" s="30" t="str">
        <f t="shared" si="7"/>
        <v>Elementos.Motrizes</v>
      </c>
      <c r="V11" s="30" t="str">
        <f t="shared" si="8"/>
        <v>Maquinizados</v>
      </c>
      <c r="W11" s="30" t="s">
        <v>106</v>
      </c>
      <c r="X11" s="59" t="str">
        <f t="shared" si="2"/>
        <v>Key-FMOT-11</v>
      </c>
      <c r="Y11" s="30" t="s">
        <v>130</v>
      </c>
      <c r="Z11" s="67" t="s">
        <v>9</v>
      </c>
      <c r="AA11" s="29" t="s">
        <v>108</v>
      </c>
      <c r="AB11" s="67" t="s">
        <v>9</v>
      </c>
      <c r="AC11" s="30" t="s">
        <v>144</v>
      </c>
      <c r="AD11" s="67" t="s">
        <v>9</v>
      </c>
    </row>
    <row r="12" spans="1:30" ht="6.65" customHeight="1" x14ac:dyDescent="0.4">
      <c r="A12" s="57">
        <v>12</v>
      </c>
      <c r="B12" s="1" t="s">
        <v>170</v>
      </c>
      <c r="C12" s="33" t="s">
        <v>171</v>
      </c>
      <c r="D12" s="1" t="s">
        <v>188</v>
      </c>
      <c r="E12" s="1" t="s">
        <v>186</v>
      </c>
      <c r="F12" s="54" t="s">
        <v>111</v>
      </c>
      <c r="G12" s="58" t="s">
        <v>9</v>
      </c>
      <c r="H12" s="58" t="s">
        <v>9</v>
      </c>
      <c r="I12" s="58" t="s">
        <v>9</v>
      </c>
      <c r="J12" s="58" t="s">
        <v>9</v>
      </c>
      <c r="K12" s="58" t="s">
        <v>9</v>
      </c>
      <c r="L12" s="34" t="str">
        <f t="shared" si="16"/>
        <v>De.Motricidade</v>
      </c>
      <c r="M12" s="34" t="str">
        <f t="shared" si="16"/>
        <v>Elementos.Motrizes</v>
      </c>
      <c r="N12" s="34" t="str">
        <f>(SUBSTITUTE(SUBSTITUTE(CONCATENATE("",E12),"."," ")," De "," de "))</f>
        <v>Maquinizados</v>
      </c>
      <c r="O12" s="30" t="str">
        <f t="shared" si="12"/>
        <v>Máquina.de.Combustão.Externa</v>
      </c>
      <c r="P12" s="30" t="s">
        <v>114</v>
      </c>
      <c r="Q12" s="30" t="s">
        <v>127</v>
      </c>
      <c r="R12" s="30" t="s">
        <v>197</v>
      </c>
      <c r="S12" s="30" t="s">
        <v>9</v>
      </c>
      <c r="T12" s="30" t="str">
        <f t="shared" si="6"/>
        <v>De.Motricidade</v>
      </c>
      <c r="U12" s="30" t="str">
        <f t="shared" si="7"/>
        <v>Elementos.Motrizes</v>
      </c>
      <c r="V12" s="30" t="str">
        <f t="shared" si="8"/>
        <v>Maquinizados</v>
      </c>
      <c r="W12" s="30" t="s">
        <v>106</v>
      </c>
      <c r="X12" s="59" t="str">
        <f t="shared" si="2"/>
        <v>Key-FMOT-12</v>
      </c>
      <c r="Y12" s="30" t="s">
        <v>130</v>
      </c>
      <c r="Z12" s="67" t="s">
        <v>9</v>
      </c>
      <c r="AA12" s="29" t="s">
        <v>110</v>
      </c>
      <c r="AB12" s="67" t="s">
        <v>9</v>
      </c>
      <c r="AC12" s="30" t="s">
        <v>144</v>
      </c>
      <c r="AD12" s="67" t="s">
        <v>9</v>
      </c>
    </row>
    <row r="13" spans="1:30" ht="6.65" customHeight="1" x14ac:dyDescent="0.4">
      <c r="A13" s="57">
        <v>13</v>
      </c>
      <c r="B13" s="1" t="s">
        <v>170</v>
      </c>
      <c r="C13" s="33" t="s">
        <v>171</v>
      </c>
      <c r="D13" s="1" t="s">
        <v>188</v>
      </c>
      <c r="E13" s="1" t="s">
        <v>186</v>
      </c>
      <c r="F13" s="54" t="s">
        <v>112</v>
      </c>
      <c r="G13" s="58" t="s">
        <v>9</v>
      </c>
      <c r="H13" s="58" t="s">
        <v>9</v>
      </c>
      <c r="I13" s="58" t="s">
        <v>9</v>
      </c>
      <c r="J13" s="58" t="s">
        <v>9</v>
      </c>
      <c r="K13" s="58" t="s">
        <v>9</v>
      </c>
      <c r="L13" s="34" t="str">
        <f t="shared" si="16"/>
        <v>De.Motricidade</v>
      </c>
      <c r="M13" s="34" t="str">
        <f t="shared" si="16"/>
        <v>Elementos.Motrizes</v>
      </c>
      <c r="N13" s="34" t="str">
        <f>(SUBSTITUTE(SUBSTITUTE(CONCATENATE("",E13),"."," ")," De "," de "))</f>
        <v>Maquinizados</v>
      </c>
      <c r="O13" s="30" t="str">
        <f t="shared" si="12"/>
        <v>Máquina.de.Combustão.Interna</v>
      </c>
      <c r="P13" s="30" t="s">
        <v>115</v>
      </c>
      <c r="Q13" s="30" t="s">
        <v>128</v>
      </c>
      <c r="R13" s="30" t="s">
        <v>198</v>
      </c>
      <c r="S13" s="30" t="s">
        <v>9</v>
      </c>
      <c r="T13" s="30" t="str">
        <f t="shared" si="6"/>
        <v>De.Motricidade</v>
      </c>
      <c r="U13" s="30" t="str">
        <f t="shared" si="7"/>
        <v>Elementos.Motrizes</v>
      </c>
      <c r="V13" s="30" t="str">
        <f t="shared" si="8"/>
        <v>Maquinizados</v>
      </c>
      <c r="W13" s="30" t="s">
        <v>106</v>
      </c>
      <c r="X13" s="59" t="str">
        <f t="shared" si="2"/>
        <v>Key-FMOT-13</v>
      </c>
      <c r="Y13" s="30" t="s">
        <v>130</v>
      </c>
      <c r="Z13" s="67" t="s">
        <v>9</v>
      </c>
      <c r="AA13" s="29" t="s">
        <v>109</v>
      </c>
      <c r="AB13" s="67" t="s">
        <v>9</v>
      </c>
      <c r="AC13" s="30" t="s">
        <v>144</v>
      </c>
      <c r="AD13" s="67" t="s">
        <v>9</v>
      </c>
    </row>
    <row r="14" spans="1:30" ht="6.65" customHeight="1" x14ac:dyDescent="0.4">
      <c r="A14" s="57">
        <v>14</v>
      </c>
      <c r="B14" s="1" t="s">
        <v>170</v>
      </c>
      <c r="C14" s="33" t="s">
        <v>171</v>
      </c>
      <c r="D14" s="1" t="s">
        <v>188</v>
      </c>
      <c r="E14" s="1" t="s">
        <v>187</v>
      </c>
      <c r="F14" s="54" t="s">
        <v>150</v>
      </c>
      <c r="G14" s="58" t="s">
        <v>9</v>
      </c>
      <c r="H14" s="58" t="s">
        <v>9</v>
      </c>
      <c r="I14" s="58" t="s">
        <v>9</v>
      </c>
      <c r="J14" s="58" t="s">
        <v>9</v>
      </c>
      <c r="K14" s="58" t="s">
        <v>9</v>
      </c>
      <c r="L14" s="34" t="str">
        <f t="shared" si="16"/>
        <v>De.Motricidade</v>
      </c>
      <c r="M14" s="34" t="str">
        <f t="shared" si="16"/>
        <v>Elementos.Motrizes</v>
      </c>
      <c r="N14" s="34" t="str">
        <f t="shared" ref="N14:N16" si="17">(SUBSTITUTE(SUBSTITUTE(CONCATENATE("",E14),"."," ")," De "," de "))</f>
        <v>Elevadores</v>
      </c>
      <c r="O14" s="30" t="str">
        <f>IF(ISNUMBER(FIND("Ifc",F14)),CONCATENATE("Classe IFC:   ",F14),F14)</f>
        <v>Elevador.Hidráulico</v>
      </c>
      <c r="P14" s="30" t="s">
        <v>151</v>
      </c>
      <c r="Q14" s="30" t="s">
        <v>155</v>
      </c>
      <c r="R14" s="30" t="s">
        <v>199</v>
      </c>
      <c r="S14" s="30" t="s">
        <v>9</v>
      </c>
      <c r="T14" s="30" t="str">
        <f t="shared" ref="T14:T19" si="18">SUBSTITUTE(C14, "_", " ")</f>
        <v>De.Motricidade</v>
      </c>
      <c r="U14" s="30" t="str">
        <f t="shared" ref="U14:U19" si="19">SUBSTITUTE(D14, "_", " ")</f>
        <v>Elementos.Motrizes</v>
      </c>
      <c r="V14" s="30" t="str">
        <f t="shared" ref="V14:V19" si="20">SUBSTITUTE(E14, "_", " ")</f>
        <v>Elevadores</v>
      </c>
      <c r="W14" s="30" t="s">
        <v>106</v>
      </c>
      <c r="X14" s="59" t="str">
        <f t="shared" si="2"/>
        <v>Key-FMOT-14</v>
      </c>
      <c r="Y14" s="30" t="s">
        <v>173</v>
      </c>
      <c r="Z14" s="67" t="s">
        <v>9</v>
      </c>
      <c r="AA14" s="29" t="s">
        <v>163</v>
      </c>
      <c r="AB14" s="67" t="s">
        <v>9</v>
      </c>
      <c r="AC14" s="30" t="s">
        <v>164</v>
      </c>
      <c r="AD14" s="67" t="s">
        <v>9</v>
      </c>
    </row>
    <row r="15" spans="1:30" ht="6.65" customHeight="1" x14ac:dyDescent="0.4">
      <c r="A15" s="57">
        <v>15</v>
      </c>
      <c r="B15" s="1" t="s">
        <v>170</v>
      </c>
      <c r="C15" s="33" t="s">
        <v>171</v>
      </c>
      <c r="D15" s="1" t="s">
        <v>188</v>
      </c>
      <c r="E15" s="1" t="s">
        <v>187</v>
      </c>
      <c r="F15" s="54" t="s">
        <v>147</v>
      </c>
      <c r="G15" s="58" t="s">
        <v>9</v>
      </c>
      <c r="H15" s="58" t="s">
        <v>9</v>
      </c>
      <c r="I15" s="58" t="s">
        <v>9</v>
      </c>
      <c r="J15" s="58" t="s">
        <v>9</v>
      </c>
      <c r="K15" s="58" t="s">
        <v>9</v>
      </c>
      <c r="L15" s="34" t="str">
        <f t="shared" si="16"/>
        <v>De.Motricidade</v>
      </c>
      <c r="M15" s="34" t="str">
        <f t="shared" si="16"/>
        <v>Elementos.Motrizes</v>
      </c>
      <c r="N15" s="34" t="str">
        <f t="shared" si="17"/>
        <v>Elevadores</v>
      </c>
      <c r="O15" s="30" t="str">
        <f t="shared" ref="O15:O19" si="21">IF(ISNUMBER(FIND("Ifc",F15)),CONCATENATE("Classe IFC:   ",F15),F15)</f>
        <v>Elevador.MR</v>
      </c>
      <c r="P15" s="30" t="s">
        <v>148</v>
      </c>
      <c r="Q15" s="30" t="s">
        <v>157</v>
      </c>
      <c r="R15" s="30" t="s">
        <v>200</v>
      </c>
      <c r="S15" s="30" t="s">
        <v>9</v>
      </c>
      <c r="T15" s="30" t="str">
        <f t="shared" si="18"/>
        <v>De.Motricidade</v>
      </c>
      <c r="U15" s="30" t="str">
        <f t="shared" si="19"/>
        <v>Elementos.Motrizes</v>
      </c>
      <c r="V15" s="30" t="str">
        <f t="shared" si="20"/>
        <v>Elevadores</v>
      </c>
      <c r="W15" s="30" t="s">
        <v>106</v>
      </c>
      <c r="X15" s="59" t="str">
        <f t="shared" si="2"/>
        <v>Key-FMOT-15</v>
      </c>
      <c r="Y15" s="30" t="s">
        <v>173</v>
      </c>
      <c r="Z15" s="67" t="s">
        <v>9</v>
      </c>
      <c r="AA15" s="29" t="s">
        <v>163</v>
      </c>
      <c r="AB15" s="67" t="s">
        <v>9</v>
      </c>
      <c r="AC15" s="30" t="s">
        <v>164</v>
      </c>
      <c r="AD15" s="67" t="s">
        <v>9</v>
      </c>
    </row>
    <row r="16" spans="1:30" ht="6.65" customHeight="1" x14ac:dyDescent="0.4">
      <c r="A16" s="57">
        <v>16</v>
      </c>
      <c r="B16" s="1" t="s">
        <v>170</v>
      </c>
      <c r="C16" s="33" t="s">
        <v>171</v>
      </c>
      <c r="D16" s="1" t="s">
        <v>188</v>
      </c>
      <c r="E16" s="1" t="s">
        <v>187</v>
      </c>
      <c r="F16" s="54" t="s">
        <v>146</v>
      </c>
      <c r="G16" s="58" t="s">
        <v>9</v>
      </c>
      <c r="H16" s="58" t="s">
        <v>9</v>
      </c>
      <c r="I16" s="58" t="s">
        <v>9</v>
      </c>
      <c r="J16" s="58" t="s">
        <v>9</v>
      </c>
      <c r="K16" s="58" t="s">
        <v>9</v>
      </c>
      <c r="L16" s="34" t="str">
        <f t="shared" si="16"/>
        <v>De.Motricidade</v>
      </c>
      <c r="M16" s="34" t="str">
        <f t="shared" si="16"/>
        <v>Elementos.Motrizes</v>
      </c>
      <c r="N16" s="34" t="str">
        <f t="shared" si="17"/>
        <v>Elevadores</v>
      </c>
      <c r="O16" s="30" t="str">
        <f t="shared" si="21"/>
        <v>Elevador.MRL</v>
      </c>
      <c r="P16" s="30" t="s">
        <v>149</v>
      </c>
      <c r="Q16" s="30" t="s">
        <v>156</v>
      </c>
      <c r="R16" s="30" t="s">
        <v>201</v>
      </c>
      <c r="S16" s="30" t="s">
        <v>9</v>
      </c>
      <c r="T16" s="30" t="str">
        <f t="shared" si="18"/>
        <v>De.Motricidade</v>
      </c>
      <c r="U16" s="30" t="str">
        <f t="shared" si="19"/>
        <v>Elementos.Motrizes</v>
      </c>
      <c r="V16" s="30" t="str">
        <f t="shared" si="20"/>
        <v>Elevadores</v>
      </c>
      <c r="W16" s="30" t="s">
        <v>106</v>
      </c>
      <c r="X16" s="59" t="str">
        <f t="shared" si="2"/>
        <v>Key-FMOT-16</v>
      </c>
      <c r="Y16" s="30" t="s">
        <v>173</v>
      </c>
      <c r="Z16" s="67" t="s">
        <v>9</v>
      </c>
      <c r="AA16" s="29" t="s">
        <v>163</v>
      </c>
      <c r="AB16" s="67" t="s">
        <v>9</v>
      </c>
      <c r="AC16" s="30" t="s">
        <v>164</v>
      </c>
      <c r="AD16" s="67" t="s">
        <v>9</v>
      </c>
    </row>
    <row r="17" spans="1:30" ht="6.65" customHeight="1" x14ac:dyDescent="0.4">
      <c r="A17" s="57">
        <v>17</v>
      </c>
      <c r="B17" s="1" t="s">
        <v>170</v>
      </c>
      <c r="C17" s="33" t="s">
        <v>171</v>
      </c>
      <c r="D17" s="1" t="s">
        <v>188</v>
      </c>
      <c r="E17" s="1" t="s">
        <v>187</v>
      </c>
      <c r="F17" s="54" t="s">
        <v>152</v>
      </c>
      <c r="G17" s="58" t="s">
        <v>9</v>
      </c>
      <c r="H17" s="58" t="s">
        <v>9</v>
      </c>
      <c r="I17" s="58" t="s">
        <v>9</v>
      </c>
      <c r="J17" s="58" t="s">
        <v>9</v>
      </c>
      <c r="K17" s="58" t="s">
        <v>9</v>
      </c>
      <c r="L17" s="34" t="str">
        <f t="shared" si="16"/>
        <v>De.Motricidade</v>
      </c>
      <c r="M17" s="34" t="str">
        <f t="shared" si="16"/>
        <v>Elementos.Motrizes</v>
      </c>
      <c r="N17" s="34" t="str">
        <f>(SUBSTITUTE(SUBSTITUTE(CONCATENATE("",E17),"."," ")," De "," de "))</f>
        <v>Elevadores</v>
      </c>
      <c r="O17" s="30" t="str">
        <f t="shared" ref="O17:O18" si="22">IF(ISNUMBER(FIND("Ifc",F17)),CONCATENATE("Classe IFC:   ",F17),F17)</f>
        <v>Plataforma</v>
      </c>
      <c r="P17" s="30" t="s">
        <v>160</v>
      </c>
      <c r="Q17" s="30" t="s">
        <v>152</v>
      </c>
      <c r="R17" s="30" t="s">
        <v>202</v>
      </c>
      <c r="S17" s="30" t="s">
        <v>9</v>
      </c>
      <c r="T17" s="30" t="str">
        <f t="shared" ref="T17:T18" si="23">SUBSTITUTE(C17, "_", " ")</f>
        <v>De.Motricidade</v>
      </c>
      <c r="U17" s="30" t="str">
        <f t="shared" ref="U17:U18" si="24">SUBSTITUTE(D17, "_", " ")</f>
        <v>Elementos.Motrizes</v>
      </c>
      <c r="V17" s="30" t="str">
        <f t="shared" ref="V17:V18" si="25">SUBSTITUTE(E17, "_", " ")</f>
        <v>Elevadores</v>
      </c>
      <c r="W17" s="30" t="s">
        <v>106</v>
      </c>
      <c r="X17" s="59" t="str">
        <f t="shared" si="2"/>
        <v>Key-FMOT-17</v>
      </c>
      <c r="Y17" s="30" t="s">
        <v>173</v>
      </c>
      <c r="Z17" s="67" t="s">
        <v>9</v>
      </c>
      <c r="AA17" s="29" t="s">
        <v>163</v>
      </c>
      <c r="AB17" s="67" t="s">
        <v>9</v>
      </c>
      <c r="AC17" s="30" t="s">
        <v>165</v>
      </c>
      <c r="AD17" s="67" t="s">
        <v>9</v>
      </c>
    </row>
    <row r="18" spans="1:30" ht="6.65" customHeight="1" x14ac:dyDescent="0.4">
      <c r="A18" s="57">
        <v>18</v>
      </c>
      <c r="B18" s="1" t="s">
        <v>170</v>
      </c>
      <c r="C18" s="33" t="s">
        <v>171</v>
      </c>
      <c r="D18" s="1" t="s">
        <v>188</v>
      </c>
      <c r="E18" s="1" t="s">
        <v>187</v>
      </c>
      <c r="F18" s="54" t="s">
        <v>153</v>
      </c>
      <c r="G18" s="58" t="s">
        <v>9</v>
      </c>
      <c r="H18" s="58" t="s">
        <v>9</v>
      </c>
      <c r="I18" s="58" t="s">
        <v>9</v>
      </c>
      <c r="J18" s="58" t="s">
        <v>9</v>
      </c>
      <c r="K18" s="58" t="s">
        <v>9</v>
      </c>
      <c r="L18" s="34" t="str">
        <f t="shared" si="16"/>
        <v>De.Motricidade</v>
      </c>
      <c r="M18" s="34" t="str">
        <f t="shared" si="16"/>
        <v>Elementos.Motrizes</v>
      </c>
      <c r="N18" s="34" t="str">
        <f>(SUBSTITUTE(SUBSTITUTE(CONCATENATE("",E18),"."," ")," De "," de "))</f>
        <v>Elevadores</v>
      </c>
      <c r="O18" s="30" t="str">
        <f t="shared" si="22"/>
        <v>Plataforma.Articulada</v>
      </c>
      <c r="P18" s="30" t="s">
        <v>161</v>
      </c>
      <c r="Q18" s="30" t="s">
        <v>159</v>
      </c>
      <c r="R18" s="30" t="s">
        <v>203</v>
      </c>
      <c r="S18" s="30" t="s">
        <v>9</v>
      </c>
      <c r="T18" s="30" t="str">
        <f t="shared" si="23"/>
        <v>De.Motricidade</v>
      </c>
      <c r="U18" s="30" t="str">
        <f t="shared" si="24"/>
        <v>Elementos.Motrizes</v>
      </c>
      <c r="V18" s="30" t="str">
        <f t="shared" si="25"/>
        <v>Elevadores</v>
      </c>
      <c r="W18" s="30" t="s">
        <v>106</v>
      </c>
      <c r="X18" s="59" t="str">
        <f t="shared" si="2"/>
        <v>Key-FMOT-18</v>
      </c>
      <c r="Y18" s="30" t="s">
        <v>173</v>
      </c>
      <c r="Z18" s="67" t="s">
        <v>9</v>
      </c>
      <c r="AA18" s="29" t="s">
        <v>163</v>
      </c>
      <c r="AB18" s="67" t="s">
        <v>9</v>
      </c>
      <c r="AC18" s="30" t="s">
        <v>165</v>
      </c>
      <c r="AD18" s="67" t="s">
        <v>9</v>
      </c>
    </row>
    <row r="19" spans="1:30" ht="6.65" customHeight="1" x14ac:dyDescent="0.4">
      <c r="A19" s="57">
        <v>19</v>
      </c>
      <c r="B19" s="1" t="s">
        <v>170</v>
      </c>
      <c r="C19" s="33" t="s">
        <v>171</v>
      </c>
      <c r="D19" s="1" t="s">
        <v>188</v>
      </c>
      <c r="E19" s="1" t="s">
        <v>187</v>
      </c>
      <c r="F19" s="54" t="s">
        <v>154</v>
      </c>
      <c r="G19" s="58" t="s">
        <v>9</v>
      </c>
      <c r="H19" s="58" t="s">
        <v>9</v>
      </c>
      <c r="I19" s="58" t="s">
        <v>9</v>
      </c>
      <c r="J19" s="58" t="s">
        <v>9</v>
      </c>
      <c r="K19" s="58" t="s">
        <v>9</v>
      </c>
      <c r="L19" s="34" t="str">
        <f t="shared" ref="L19" si="26">CONCATENATE("", C19)</f>
        <v>De.Motricidade</v>
      </c>
      <c r="M19" s="34" t="str">
        <f t="shared" ref="M19" si="27">CONCATENATE("", D19)</f>
        <v>Elementos.Motrizes</v>
      </c>
      <c r="N19" s="34" t="str">
        <f>(SUBSTITUTE(SUBSTITUTE(CONCATENATE("",E19),"."," ")," De "," de "))</f>
        <v>Elevadores</v>
      </c>
      <c r="O19" s="30" t="str">
        <f t="shared" si="21"/>
        <v>Plataforma.Cesto</v>
      </c>
      <c r="P19" s="30" t="s">
        <v>162</v>
      </c>
      <c r="Q19" s="30" t="s">
        <v>158</v>
      </c>
      <c r="R19" s="30" t="s">
        <v>204</v>
      </c>
      <c r="S19" s="30" t="s">
        <v>9</v>
      </c>
      <c r="T19" s="30" t="str">
        <f t="shared" si="18"/>
        <v>De.Motricidade</v>
      </c>
      <c r="U19" s="30" t="str">
        <f t="shared" si="19"/>
        <v>Elementos.Motrizes</v>
      </c>
      <c r="V19" s="30" t="str">
        <f t="shared" si="20"/>
        <v>Elevadores</v>
      </c>
      <c r="W19" s="30" t="s">
        <v>106</v>
      </c>
      <c r="X19" s="59" t="str">
        <f t="shared" si="2"/>
        <v>Key-FMOT-19</v>
      </c>
      <c r="Y19" s="30" t="s">
        <v>173</v>
      </c>
      <c r="Z19" s="67" t="s">
        <v>9</v>
      </c>
      <c r="AA19" s="29" t="s">
        <v>163</v>
      </c>
      <c r="AB19" s="67" t="s">
        <v>9</v>
      </c>
      <c r="AC19" s="30" t="s">
        <v>165</v>
      </c>
      <c r="AD19" s="67" t="s">
        <v>9</v>
      </c>
    </row>
    <row r="20" spans="1:30" ht="6.65" customHeight="1" x14ac:dyDescent="0.4">
      <c r="A20" s="57">
        <v>20</v>
      </c>
      <c r="B20" s="1" t="s">
        <v>170</v>
      </c>
      <c r="C20" s="33" t="s">
        <v>171</v>
      </c>
      <c r="D20" s="1" t="s">
        <v>188</v>
      </c>
      <c r="E20" s="44" t="s">
        <v>189</v>
      </c>
      <c r="F20" s="62" t="s">
        <v>190</v>
      </c>
      <c r="G20" s="63" t="s">
        <v>9</v>
      </c>
      <c r="H20" s="58" t="s">
        <v>9</v>
      </c>
      <c r="I20" s="58" t="s">
        <v>9</v>
      </c>
      <c r="J20" s="58" t="s">
        <v>9</v>
      </c>
      <c r="K20" s="58" t="s">
        <v>9</v>
      </c>
      <c r="L20" s="34" t="str">
        <f t="shared" ref="L20:M20" si="28">CONCATENATE("", C20)</f>
        <v>De.Motricidade</v>
      </c>
      <c r="M20" s="34" t="str">
        <f t="shared" si="28"/>
        <v>Elementos.Motrizes</v>
      </c>
      <c r="N20" s="34" t="str">
        <f t="shared" ref="N20" si="29">(SUBSTITUTE(SUBSTITUTE(CONCATENATE("",E20),"."," ")," De "," de "))</f>
        <v>Acessórios Motrizes</v>
      </c>
      <c r="O20" s="30" t="str">
        <f t="shared" si="12"/>
        <v>Acessório.Motriz</v>
      </c>
      <c r="P20" s="30" t="s">
        <v>121</v>
      </c>
      <c r="Q20" s="30" t="s">
        <v>129</v>
      </c>
      <c r="R20" s="30" t="s">
        <v>205</v>
      </c>
      <c r="S20" s="30" t="s">
        <v>9</v>
      </c>
      <c r="T20" s="30" t="str">
        <f t="shared" si="6"/>
        <v>De.Motricidade</v>
      </c>
      <c r="U20" s="30" t="str">
        <f t="shared" si="7"/>
        <v>Elementos.Motrizes</v>
      </c>
      <c r="V20" s="30" t="str">
        <f t="shared" si="8"/>
        <v>Acessórios.Motrizes</v>
      </c>
      <c r="W20" s="30" t="s">
        <v>106</v>
      </c>
      <c r="X20" s="59" t="str">
        <f t="shared" si="2"/>
        <v>Key-FMOT-20</v>
      </c>
      <c r="Y20" s="30" t="s">
        <v>130</v>
      </c>
      <c r="Z20" s="67" t="s">
        <v>9</v>
      </c>
      <c r="AA20" s="29" t="s">
        <v>98</v>
      </c>
      <c r="AB20" s="67" t="s">
        <v>9</v>
      </c>
      <c r="AC20" s="30" t="s">
        <v>144</v>
      </c>
      <c r="AD20" s="67" t="s">
        <v>9</v>
      </c>
    </row>
    <row r="21" spans="1:30" ht="6.65" customHeight="1" x14ac:dyDescent="0.4">
      <c r="A21" s="57">
        <v>21</v>
      </c>
      <c r="B21" s="1" t="s">
        <v>172</v>
      </c>
      <c r="C21" s="33" t="s">
        <v>174</v>
      </c>
      <c r="D21" s="1" t="s">
        <v>175</v>
      </c>
      <c r="E21" s="44" t="s">
        <v>184</v>
      </c>
      <c r="F21" s="62" t="s">
        <v>176</v>
      </c>
      <c r="G21" s="63" t="s">
        <v>9</v>
      </c>
      <c r="H21" s="58" t="s">
        <v>9</v>
      </c>
      <c r="I21" s="58" t="s">
        <v>9</v>
      </c>
      <c r="J21" s="58" t="s">
        <v>9</v>
      </c>
      <c r="K21" s="58" t="s">
        <v>9</v>
      </c>
      <c r="L21" s="34" t="str">
        <f t="shared" ref="L21" si="30">CONCATENATE("", C21)</f>
        <v>De.Força.Motriz</v>
      </c>
      <c r="M21" s="34" t="str">
        <f t="shared" ref="M21" si="31">CONCATENATE("", D21)</f>
        <v>Maquinárias</v>
      </c>
      <c r="N21" s="34" t="str">
        <f t="shared" ref="N21" si="32">(SUBSTITUTE(SUBSTITUTE(CONCATENATE("",E21),"."," ")," De "," de "))</f>
        <v>Máquinas</v>
      </c>
      <c r="O21" s="30" t="str">
        <f t="shared" ref="O21" si="33">IF(ISNUMBER(FIND("Ifc",F21)),CONCATENATE("Classe IFC:   ",F21),F21)</f>
        <v>Máquina</v>
      </c>
      <c r="P21" s="30" t="s">
        <v>176</v>
      </c>
      <c r="Q21" s="30" t="s">
        <v>176</v>
      </c>
      <c r="R21" s="30" t="s">
        <v>206</v>
      </c>
      <c r="S21" s="30" t="s">
        <v>9</v>
      </c>
      <c r="T21" s="30" t="str">
        <f t="shared" ref="T21" si="34">SUBSTITUTE(C21, "_", " ")</f>
        <v>De.Força.Motriz</v>
      </c>
      <c r="U21" s="30" t="str">
        <f t="shared" ref="U21" si="35">SUBSTITUTE(D21, "_", " ")</f>
        <v>Maquinárias</v>
      </c>
      <c r="V21" s="30" t="str">
        <f t="shared" ref="V21" si="36">SUBSTITUTE(E21, "_", " ")</f>
        <v>Máquinas</v>
      </c>
      <c r="W21" s="30" t="s">
        <v>106</v>
      </c>
      <c r="X21" s="59" t="str">
        <f t="shared" si="2"/>
        <v>Key-FMOT-21</v>
      </c>
      <c r="Y21" s="30" t="s">
        <v>130</v>
      </c>
      <c r="Z21" s="67" t="s">
        <v>9</v>
      </c>
      <c r="AA21" s="29" t="s">
        <v>98</v>
      </c>
      <c r="AB21" s="67" t="s">
        <v>9</v>
      </c>
      <c r="AC21" s="30" t="s">
        <v>144</v>
      </c>
      <c r="AD21" s="67" t="s">
        <v>9</v>
      </c>
    </row>
    <row r="22" spans="1:30" ht="6.65" customHeight="1" x14ac:dyDescent="0.4">
      <c r="A22" s="57">
        <v>22</v>
      </c>
      <c r="B22" s="1" t="s">
        <v>172</v>
      </c>
      <c r="C22" s="33" t="s">
        <v>174</v>
      </c>
      <c r="D22" s="1" t="s">
        <v>175</v>
      </c>
      <c r="E22" s="44" t="s">
        <v>184</v>
      </c>
      <c r="F22" s="62" t="s">
        <v>177</v>
      </c>
      <c r="G22" s="63" t="s">
        <v>9</v>
      </c>
      <c r="H22" s="58" t="s">
        <v>9</v>
      </c>
      <c r="I22" s="58" t="s">
        <v>9</v>
      </c>
      <c r="J22" s="58" t="s">
        <v>9</v>
      </c>
      <c r="K22" s="58" t="s">
        <v>9</v>
      </c>
      <c r="L22" s="34" t="str">
        <f t="shared" ref="L22:L23" si="37">CONCATENATE("", C22)</f>
        <v>De.Força.Motriz</v>
      </c>
      <c r="M22" s="34" t="str">
        <f t="shared" ref="M22:M23" si="38">CONCATENATE("", D22)</f>
        <v>Maquinárias</v>
      </c>
      <c r="N22" s="34" t="str">
        <f t="shared" ref="N22:N23" si="39">(SUBSTITUTE(SUBSTITUTE(CONCATENATE("",E22),"."," ")," De "," de "))</f>
        <v>Máquinas</v>
      </c>
      <c r="O22" s="30" t="str">
        <f t="shared" ref="O22:O23" si="40">IF(ISNUMBER(FIND("Ifc",F22)),CONCATENATE("Classe IFC:   ",F22),F22)</f>
        <v>Bomba</v>
      </c>
      <c r="P22" s="30" t="s">
        <v>177</v>
      </c>
      <c r="Q22" s="30" t="s">
        <v>177</v>
      </c>
      <c r="R22" s="30" t="s">
        <v>207</v>
      </c>
      <c r="S22" s="30" t="s">
        <v>9</v>
      </c>
      <c r="T22" s="30" t="str">
        <f t="shared" ref="T22:T23" si="41">SUBSTITUTE(C22, "_", " ")</f>
        <v>De.Força.Motriz</v>
      </c>
      <c r="U22" s="30" t="str">
        <f t="shared" ref="U22:U23" si="42">SUBSTITUTE(D22, "_", " ")</f>
        <v>Maquinárias</v>
      </c>
      <c r="V22" s="30" t="str">
        <f t="shared" ref="V22:V23" si="43">SUBSTITUTE(E22, "_", " ")</f>
        <v>Máquinas</v>
      </c>
      <c r="W22" s="30" t="s">
        <v>106</v>
      </c>
      <c r="X22" s="59" t="str">
        <f t="shared" si="2"/>
        <v>Key-FMOT-22</v>
      </c>
      <c r="Y22" s="30" t="s">
        <v>130</v>
      </c>
      <c r="Z22" s="67" t="s">
        <v>9</v>
      </c>
      <c r="AA22" s="29" t="s">
        <v>98</v>
      </c>
      <c r="AB22" s="67" t="s">
        <v>9</v>
      </c>
      <c r="AC22" s="30" t="s">
        <v>144</v>
      </c>
      <c r="AD22" s="67" t="s">
        <v>9</v>
      </c>
    </row>
    <row r="23" spans="1:30" ht="6.65" customHeight="1" x14ac:dyDescent="0.4">
      <c r="A23" s="57">
        <v>23</v>
      </c>
      <c r="B23" s="1" t="s">
        <v>172</v>
      </c>
      <c r="C23" s="33" t="s">
        <v>174</v>
      </c>
      <c r="D23" s="1" t="s">
        <v>175</v>
      </c>
      <c r="E23" s="44" t="s">
        <v>184</v>
      </c>
      <c r="F23" s="62" t="s">
        <v>178</v>
      </c>
      <c r="G23" s="63" t="s">
        <v>9</v>
      </c>
      <c r="H23" s="58" t="s">
        <v>9</v>
      </c>
      <c r="I23" s="58" t="s">
        <v>9</v>
      </c>
      <c r="J23" s="58" t="s">
        <v>9</v>
      </c>
      <c r="K23" s="58" t="s">
        <v>9</v>
      </c>
      <c r="L23" s="34" t="str">
        <f t="shared" si="37"/>
        <v>De.Força.Motriz</v>
      </c>
      <c r="M23" s="34" t="str">
        <f t="shared" si="38"/>
        <v>Maquinárias</v>
      </c>
      <c r="N23" s="34" t="str">
        <f t="shared" si="39"/>
        <v>Máquinas</v>
      </c>
      <c r="O23" s="30" t="str">
        <f t="shared" si="40"/>
        <v>Motor</v>
      </c>
      <c r="P23" s="30" t="s">
        <v>178</v>
      </c>
      <c r="Q23" s="30" t="s">
        <v>178</v>
      </c>
      <c r="R23" s="30" t="s">
        <v>208</v>
      </c>
      <c r="S23" s="30" t="s">
        <v>9</v>
      </c>
      <c r="T23" s="30" t="str">
        <f t="shared" si="41"/>
        <v>De.Força.Motriz</v>
      </c>
      <c r="U23" s="30" t="str">
        <f t="shared" si="42"/>
        <v>Maquinárias</v>
      </c>
      <c r="V23" s="30" t="str">
        <f t="shared" si="43"/>
        <v>Máquinas</v>
      </c>
      <c r="W23" s="30" t="s">
        <v>106</v>
      </c>
      <c r="X23" s="59" t="str">
        <f t="shared" si="2"/>
        <v>Key-FMOT-23</v>
      </c>
      <c r="Y23" s="30" t="s">
        <v>130</v>
      </c>
      <c r="Z23" s="67" t="s">
        <v>9</v>
      </c>
      <c r="AA23" s="29" t="s">
        <v>98</v>
      </c>
      <c r="AB23" s="67" t="s">
        <v>9</v>
      </c>
      <c r="AC23" s="30" t="s">
        <v>144</v>
      </c>
      <c r="AD23" s="67" t="s">
        <v>9</v>
      </c>
    </row>
    <row r="24" spans="1:30" ht="6.65" customHeight="1" x14ac:dyDescent="0.4">
      <c r="A24" s="57">
        <v>24</v>
      </c>
      <c r="B24" s="1" t="s">
        <v>172</v>
      </c>
      <c r="C24" s="33" t="s">
        <v>174</v>
      </c>
      <c r="D24" s="1" t="s">
        <v>175</v>
      </c>
      <c r="E24" s="44" t="s">
        <v>184</v>
      </c>
      <c r="F24" s="62" t="s">
        <v>179</v>
      </c>
      <c r="G24" s="63" t="s">
        <v>9</v>
      </c>
      <c r="H24" s="58" t="s">
        <v>9</v>
      </c>
      <c r="I24" s="58" t="s">
        <v>9</v>
      </c>
      <c r="J24" s="58" t="s">
        <v>9</v>
      </c>
      <c r="K24" s="58" t="s">
        <v>9</v>
      </c>
      <c r="L24" s="34" t="str">
        <f t="shared" ref="L24" si="44">CONCATENATE("", C24)</f>
        <v>De.Força.Motriz</v>
      </c>
      <c r="M24" s="34" t="str">
        <f t="shared" ref="M24" si="45">CONCATENATE("", D24)</f>
        <v>Maquinárias</v>
      </c>
      <c r="N24" s="34" t="str">
        <f t="shared" ref="N24" si="46">(SUBSTITUTE(SUBSTITUTE(CONCATENATE("",E24),"."," ")," De "," de "))</f>
        <v>Máquinas</v>
      </c>
      <c r="O24" s="30" t="str">
        <f t="shared" ref="O24" si="47">IF(ISNUMBER(FIND("Ifc",F24)),CONCATENATE("Classe IFC:   ",F24),F24)</f>
        <v>Elevador</v>
      </c>
      <c r="P24" s="30" t="s">
        <v>179</v>
      </c>
      <c r="Q24" s="30" t="s">
        <v>183</v>
      </c>
      <c r="R24" s="30" t="s">
        <v>209</v>
      </c>
      <c r="S24" s="30" t="s">
        <v>9</v>
      </c>
      <c r="T24" s="30" t="str">
        <f t="shared" ref="T24" si="48">SUBSTITUTE(C24, "_", " ")</f>
        <v>De.Força.Motriz</v>
      </c>
      <c r="U24" s="30" t="str">
        <f t="shared" ref="U24" si="49">SUBSTITUTE(D24, "_", " ")</f>
        <v>Maquinárias</v>
      </c>
      <c r="V24" s="30" t="str">
        <f t="shared" ref="V24" si="50">SUBSTITUTE(E24, "_", " ")</f>
        <v>Máquinas</v>
      </c>
      <c r="W24" s="30" t="s">
        <v>106</v>
      </c>
      <c r="X24" s="59" t="str">
        <f t="shared" si="2"/>
        <v>Key-FMOT-24</v>
      </c>
      <c r="Y24" s="30" t="s">
        <v>130</v>
      </c>
      <c r="Z24" s="67" t="s">
        <v>9</v>
      </c>
      <c r="AA24" s="29" t="s">
        <v>98</v>
      </c>
      <c r="AB24" s="67" t="s">
        <v>9</v>
      </c>
      <c r="AC24" s="30" t="s">
        <v>144</v>
      </c>
      <c r="AD24" s="67" t="s">
        <v>9</v>
      </c>
    </row>
    <row r="25" spans="1:30" ht="6.65" customHeight="1" x14ac:dyDescent="0.4">
      <c r="A25" s="57">
        <v>25</v>
      </c>
      <c r="B25" s="1" t="s">
        <v>172</v>
      </c>
      <c r="C25" s="33" t="s">
        <v>174</v>
      </c>
      <c r="D25" s="1" t="s">
        <v>175</v>
      </c>
      <c r="E25" s="44" t="s">
        <v>184</v>
      </c>
      <c r="F25" s="62" t="s">
        <v>180</v>
      </c>
      <c r="G25" s="63" t="s">
        <v>9</v>
      </c>
      <c r="H25" s="58" t="s">
        <v>9</v>
      </c>
      <c r="I25" s="58" t="s">
        <v>9</v>
      </c>
      <c r="J25" s="58" t="s">
        <v>9</v>
      </c>
      <c r="K25" s="58" t="s">
        <v>9</v>
      </c>
      <c r="L25" s="34" t="str">
        <f t="shared" ref="L25" si="51">CONCATENATE("", C25)</f>
        <v>De.Força.Motriz</v>
      </c>
      <c r="M25" s="34" t="str">
        <f t="shared" ref="M25" si="52">CONCATENATE("", D25)</f>
        <v>Maquinárias</v>
      </c>
      <c r="N25" s="34" t="str">
        <f t="shared" ref="N25" si="53">(SUBSTITUTE(SUBSTITUTE(CONCATENATE("",E25),"."," ")," De "," de "))</f>
        <v>Máquinas</v>
      </c>
      <c r="O25" s="30" t="str">
        <f t="shared" ref="O25" si="54">IF(ISNUMBER(FIND("Ifc",F25)),CONCATENATE("Classe IFC:   ",F25),F25)</f>
        <v>Escada.Rolante</v>
      </c>
      <c r="P25" s="30" t="s">
        <v>181</v>
      </c>
      <c r="Q25" s="30" t="s">
        <v>182</v>
      </c>
      <c r="R25" s="30" t="s">
        <v>210</v>
      </c>
      <c r="S25" s="30" t="s">
        <v>9</v>
      </c>
      <c r="T25" s="30" t="str">
        <f t="shared" ref="T25" si="55">SUBSTITUTE(C25, "_", " ")</f>
        <v>De.Força.Motriz</v>
      </c>
      <c r="U25" s="30" t="str">
        <f t="shared" ref="U25" si="56">SUBSTITUTE(D25, "_", " ")</f>
        <v>Maquinárias</v>
      </c>
      <c r="V25" s="30" t="str">
        <f t="shared" ref="V25" si="57">SUBSTITUTE(E25, "_", " ")</f>
        <v>Máquinas</v>
      </c>
      <c r="W25" s="30" t="s">
        <v>106</v>
      </c>
      <c r="X25" s="59" t="str">
        <f t="shared" si="2"/>
        <v>Key-FMOT-25</v>
      </c>
      <c r="Y25" s="30" t="s">
        <v>130</v>
      </c>
      <c r="Z25" s="67" t="s">
        <v>9</v>
      </c>
      <c r="AA25" s="29" t="s">
        <v>98</v>
      </c>
      <c r="AB25" s="67" t="s">
        <v>9</v>
      </c>
      <c r="AC25" s="30" t="s">
        <v>144</v>
      </c>
      <c r="AD25" s="67" t="s">
        <v>9</v>
      </c>
    </row>
    <row r="26" spans="1:30" s="68" customFormat="1" ht="6.75" customHeight="1" x14ac:dyDescent="0.25">
      <c r="A26" s="57">
        <v>26</v>
      </c>
      <c r="B26" s="1" t="s">
        <v>172</v>
      </c>
      <c r="C26" s="62" t="s">
        <v>215</v>
      </c>
      <c r="D26" s="62" t="s">
        <v>217</v>
      </c>
      <c r="E26" s="62" t="s">
        <v>216</v>
      </c>
      <c r="F26" s="62" t="s">
        <v>218</v>
      </c>
      <c r="G26" s="58" t="s">
        <v>9</v>
      </c>
      <c r="H26" s="58" t="s">
        <v>9</v>
      </c>
      <c r="I26" s="58" t="s">
        <v>9</v>
      </c>
      <c r="J26" s="58" t="s">
        <v>9</v>
      </c>
      <c r="K26" s="58" t="s">
        <v>9</v>
      </c>
      <c r="L26" s="34" t="str">
        <f t="shared" ref="L26:O30" si="58">SUBSTITUTE(CONCATENATE("", C26), ".", " ")</f>
        <v>De API</v>
      </c>
      <c r="M26" s="34" t="str">
        <f t="shared" si="58"/>
        <v>Macros</v>
      </c>
      <c r="N26" s="34" t="str">
        <f t="shared" si="58"/>
        <v>Métodos</v>
      </c>
      <c r="O26" s="34" t="str">
        <f t="shared" si="58"/>
        <v>Função Auxiliar</v>
      </c>
      <c r="P26" s="30" t="s">
        <v>219</v>
      </c>
      <c r="Q26" s="30" t="s">
        <v>220</v>
      </c>
      <c r="R26" s="30" t="s">
        <v>221</v>
      </c>
      <c r="S26" s="30" t="s">
        <v>9</v>
      </c>
      <c r="T26" s="30" t="str">
        <f t="shared" ref="T26:V30" si="59">SUBSTITUTE(C26, ".", " ")</f>
        <v>De API</v>
      </c>
      <c r="U26" s="30" t="str">
        <f t="shared" si="59"/>
        <v>Macros</v>
      </c>
      <c r="V26" s="66" t="str">
        <f t="shared" si="59"/>
        <v>Métodos</v>
      </c>
      <c r="W26" s="30" t="s">
        <v>106</v>
      </c>
      <c r="X26" s="59" t="str">
        <f t="shared" si="2"/>
        <v>Key-FMOT-26</v>
      </c>
      <c r="Y26" s="67" t="s">
        <v>9</v>
      </c>
      <c r="Z26" s="67" t="s">
        <v>9</v>
      </c>
      <c r="AA26" s="67" t="s">
        <v>9</v>
      </c>
      <c r="AB26" s="67" t="s">
        <v>9</v>
      </c>
      <c r="AC26" s="67" t="s">
        <v>9</v>
      </c>
      <c r="AD26" s="67" t="s">
        <v>9</v>
      </c>
    </row>
    <row r="27" spans="1:30" s="68" customFormat="1" ht="6.75" customHeight="1" x14ac:dyDescent="0.25">
      <c r="A27" s="57">
        <v>27</v>
      </c>
      <c r="B27" s="1" t="s">
        <v>172</v>
      </c>
      <c r="C27" s="62" t="s">
        <v>215</v>
      </c>
      <c r="D27" s="62" t="s">
        <v>217</v>
      </c>
      <c r="E27" s="62" t="s">
        <v>216</v>
      </c>
      <c r="F27" s="62" t="s">
        <v>222</v>
      </c>
      <c r="G27" s="58" t="s">
        <v>9</v>
      </c>
      <c r="H27" s="58" t="s">
        <v>9</v>
      </c>
      <c r="I27" s="58" t="s">
        <v>9</v>
      </c>
      <c r="J27" s="58" t="s">
        <v>9</v>
      </c>
      <c r="K27" s="58" t="s">
        <v>9</v>
      </c>
      <c r="L27" s="34" t="str">
        <f t="shared" si="58"/>
        <v>De API</v>
      </c>
      <c r="M27" s="34" t="str">
        <f t="shared" si="58"/>
        <v>Macros</v>
      </c>
      <c r="N27" s="34" t="str">
        <f t="shared" si="58"/>
        <v>Métodos</v>
      </c>
      <c r="O27" s="34" t="str">
        <f t="shared" si="58"/>
        <v>Função Global</v>
      </c>
      <c r="P27" s="30" t="s">
        <v>223</v>
      </c>
      <c r="Q27" s="30" t="s">
        <v>224</v>
      </c>
      <c r="R27" s="30" t="s">
        <v>225</v>
      </c>
      <c r="S27" s="30" t="s">
        <v>9</v>
      </c>
      <c r="T27" s="30" t="str">
        <f t="shared" si="59"/>
        <v>De API</v>
      </c>
      <c r="U27" s="30" t="str">
        <f t="shared" si="59"/>
        <v>Macros</v>
      </c>
      <c r="V27" s="66" t="str">
        <f t="shared" si="59"/>
        <v>Métodos</v>
      </c>
      <c r="W27" s="30" t="s">
        <v>106</v>
      </c>
      <c r="X27" s="59" t="str">
        <f t="shared" si="2"/>
        <v>Key-FMOT-27</v>
      </c>
      <c r="Y27" s="67" t="s">
        <v>9</v>
      </c>
      <c r="Z27" s="67" t="s">
        <v>9</v>
      </c>
      <c r="AA27" s="67" t="s">
        <v>9</v>
      </c>
      <c r="AB27" s="67" t="s">
        <v>9</v>
      </c>
      <c r="AC27" s="67" t="s">
        <v>9</v>
      </c>
      <c r="AD27" s="67" t="s">
        <v>9</v>
      </c>
    </row>
    <row r="28" spans="1:30" s="68" customFormat="1" ht="6.75" customHeight="1" x14ac:dyDescent="0.25">
      <c r="A28" s="57">
        <v>28</v>
      </c>
      <c r="B28" s="1" t="s">
        <v>172</v>
      </c>
      <c r="C28" s="62" t="s">
        <v>215</v>
      </c>
      <c r="D28" s="62" t="s">
        <v>217</v>
      </c>
      <c r="E28" s="62" t="s">
        <v>216</v>
      </c>
      <c r="F28" s="62" t="s">
        <v>226</v>
      </c>
      <c r="G28" s="58" t="s">
        <v>9</v>
      </c>
      <c r="H28" s="58" t="s">
        <v>9</v>
      </c>
      <c r="I28" s="58" t="s">
        <v>9</v>
      </c>
      <c r="J28" s="58" t="s">
        <v>9</v>
      </c>
      <c r="K28" s="58" t="s">
        <v>9</v>
      </c>
      <c r="L28" s="34" t="str">
        <f t="shared" si="58"/>
        <v>De API</v>
      </c>
      <c r="M28" s="34" t="str">
        <f t="shared" si="58"/>
        <v>Macros</v>
      </c>
      <c r="N28" s="34" t="str">
        <f t="shared" si="58"/>
        <v>Métodos</v>
      </c>
      <c r="O28" s="34" t="str">
        <f t="shared" si="58"/>
        <v>Função Local</v>
      </c>
      <c r="P28" s="30" t="s">
        <v>227</v>
      </c>
      <c r="Q28" s="30" t="s">
        <v>228</v>
      </c>
      <c r="R28" s="30" t="s">
        <v>229</v>
      </c>
      <c r="S28" s="30" t="s">
        <v>9</v>
      </c>
      <c r="T28" s="30" t="str">
        <f t="shared" si="59"/>
        <v>De API</v>
      </c>
      <c r="U28" s="30" t="str">
        <f t="shared" si="59"/>
        <v>Macros</v>
      </c>
      <c r="V28" s="66" t="str">
        <f t="shared" si="59"/>
        <v>Métodos</v>
      </c>
      <c r="W28" s="30" t="s">
        <v>106</v>
      </c>
      <c r="X28" s="59" t="str">
        <f t="shared" si="2"/>
        <v>Key-FMOT-28</v>
      </c>
      <c r="Y28" s="67" t="s">
        <v>9</v>
      </c>
      <c r="Z28" s="67" t="s">
        <v>9</v>
      </c>
      <c r="AA28" s="67" t="s">
        <v>9</v>
      </c>
      <c r="AB28" s="67" t="s">
        <v>9</v>
      </c>
      <c r="AC28" s="67" t="s">
        <v>9</v>
      </c>
      <c r="AD28" s="67" t="s">
        <v>9</v>
      </c>
    </row>
    <row r="29" spans="1:30" s="68" customFormat="1" ht="6.75" customHeight="1" x14ac:dyDescent="0.25">
      <c r="A29" s="57">
        <v>29</v>
      </c>
      <c r="B29" s="1" t="s">
        <v>172</v>
      </c>
      <c r="C29" s="62" t="s">
        <v>215</v>
      </c>
      <c r="D29" s="62" t="s">
        <v>217</v>
      </c>
      <c r="E29" s="62" t="s">
        <v>216</v>
      </c>
      <c r="F29" s="62" t="s">
        <v>230</v>
      </c>
      <c r="G29" s="58" t="s">
        <v>9</v>
      </c>
      <c r="H29" s="58" t="s">
        <v>9</v>
      </c>
      <c r="I29" s="58" t="s">
        <v>9</v>
      </c>
      <c r="J29" s="58" t="s">
        <v>9</v>
      </c>
      <c r="K29" s="58" t="s">
        <v>9</v>
      </c>
      <c r="L29" s="34" t="str">
        <f t="shared" si="58"/>
        <v>De API</v>
      </c>
      <c r="M29" s="34" t="str">
        <f t="shared" si="58"/>
        <v>Macros</v>
      </c>
      <c r="N29" s="34" t="str">
        <f t="shared" si="58"/>
        <v>Métodos</v>
      </c>
      <c r="O29" s="34" t="str">
        <f t="shared" si="58"/>
        <v>Função Filtro</v>
      </c>
      <c r="P29" s="30" t="s">
        <v>231</v>
      </c>
      <c r="Q29" s="30" t="s">
        <v>232</v>
      </c>
      <c r="R29" s="30" t="s">
        <v>233</v>
      </c>
      <c r="S29" s="30" t="s">
        <v>9</v>
      </c>
      <c r="T29" s="30" t="str">
        <f t="shared" si="59"/>
        <v>De API</v>
      </c>
      <c r="U29" s="30" t="str">
        <f t="shared" si="59"/>
        <v>Macros</v>
      </c>
      <c r="V29" s="66" t="str">
        <f t="shared" si="59"/>
        <v>Métodos</v>
      </c>
      <c r="W29" s="30" t="s">
        <v>106</v>
      </c>
      <c r="X29" s="59" t="str">
        <f t="shared" si="2"/>
        <v>Key-FMOT-29</v>
      </c>
      <c r="Y29" s="67" t="s">
        <v>9</v>
      </c>
      <c r="Z29" s="67" t="s">
        <v>9</v>
      </c>
      <c r="AA29" s="67" t="s">
        <v>9</v>
      </c>
      <c r="AB29" s="67" t="s">
        <v>9</v>
      </c>
      <c r="AC29" s="67" t="s">
        <v>9</v>
      </c>
      <c r="AD29" s="67" t="s">
        <v>9</v>
      </c>
    </row>
    <row r="30" spans="1:30" s="68" customFormat="1" ht="6.75" customHeight="1" x14ac:dyDescent="0.25">
      <c r="A30" s="57">
        <v>30</v>
      </c>
      <c r="B30" s="1" t="s">
        <v>172</v>
      </c>
      <c r="C30" s="62" t="s">
        <v>215</v>
      </c>
      <c r="D30" s="62" t="s">
        <v>217</v>
      </c>
      <c r="E30" s="62" t="s">
        <v>234</v>
      </c>
      <c r="F30" s="62" t="s">
        <v>235</v>
      </c>
      <c r="G30" s="58" t="s">
        <v>9</v>
      </c>
      <c r="H30" s="58" t="s">
        <v>9</v>
      </c>
      <c r="I30" s="58" t="s">
        <v>9</v>
      </c>
      <c r="J30" s="58" t="s">
        <v>9</v>
      </c>
      <c r="K30" s="58" t="s">
        <v>9</v>
      </c>
      <c r="L30" s="34" t="str">
        <f t="shared" si="58"/>
        <v>De API</v>
      </c>
      <c r="M30" s="34" t="str">
        <f t="shared" si="58"/>
        <v>Macros</v>
      </c>
      <c r="N30" s="34" t="str">
        <f t="shared" si="58"/>
        <v>Códigos Visuais</v>
      </c>
      <c r="O30" s="34" t="str">
        <f t="shared" si="58"/>
        <v>Bloco de Código</v>
      </c>
      <c r="P30" s="30" t="s">
        <v>236</v>
      </c>
      <c r="Q30" s="30" t="s">
        <v>237</v>
      </c>
      <c r="R30" s="30" t="s">
        <v>238</v>
      </c>
      <c r="S30" s="30" t="s">
        <v>9</v>
      </c>
      <c r="T30" s="30" t="str">
        <f t="shared" si="59"/>
        <v>De API</v>
      </c>
      <c r="U30" s="30" t="str">
        <f t="shared" si="59"/>
        <v>Macros</v>
      </c>
      <c r="V30" s="66" t="str">
        <f t="shared" si="59"/>
        <v>Códigos Visuais</v>
      </c>
      <c r="W30" s="30" t="s">
        <v>106</v>
      </c>
      <c r="X30" s="59" t="str">
        <f t="shared" si="2"/>
        <v>Key-FMOT-30</v>
      </c>
      <c r="Y30" s="67" t="s">
        <v>9</v>
      </c>
      <c r="Z30" s="67" t="s">
        <v>9</v>
      </c>
      <c r="AA30" s="67" t="s">
        <v>9</v>
      </c>
      <c r="AB30" s="67" t="s">
        <v>9</v>
      </c>
      <c r="AC30" s="67" t="s">
        <v>9</v>
      </c>
      <c r="AD30" s="67" t="s">
        <v>9</v>
      </c>
    </row>
  </sheetData>
  <sortState xmlns:xlrd2="http://schemas.microsoft.com/office/spreadsheetml/2017/richdata2" ref="A7:AC745">
    <sortCondition ref="F7:F745"/>
  </sortState>
  <phoneticPr fontId="1" type="noConversion"/>
  <conditionalFormatting sqref="A1:O1 S1:Y1 AC1:AD1">
    <cfRule type="cellIs" dxfId="33" priority="251" operator="equal">
      <formula>"null"</formula>
    </cfRule>
  </conditionalFormatting>
  <conditionalFormatting sqref="E30:F30">
    <cfRule type="duplicateValues" dxfId="32" priority="8"/>
  </conditionalFormatting>
  <conditionalFormatting sqref="F1">
    <cfRule type="duplicateValues" dxfId="31" priority="1687"/>
  </conditionalFormatting>
  <conditionalFormatting sqref="F2:F6">
    <cfRule type="duplicateValues" dxfId="30" priority="2"/>
    <cfRule type="duplicateValues" dxfId="29" priority="3"/>
    <cfRule type="duplicateValues" dxfId="28" priority="4"/>
    <cfRule type="duplicateValues" dxfId="27" priority="5"/>
    <cfRule type="duplicateValues" dxfId="26" priority="6"/>
  </conditionalFormatting>
  <conditionalFormatting sqref="F7:F10">
    <cfRule type="duplicateValues" dxfId="25" priority="2085"/>
  </conditionalFormatting>
  <conditionalFormatting sqref="F11:F13">
    <cfRule type="duplicateValues" dxfId="24" priority="51"/>
    <cfRule type="duplicateValues" dxfId="23" priority="52"/>
    <cfRule type="duplicateValues" dxfId="22" priority="53"/>
    <cfRule type="duplicateValues" dxfId="21" priority="54"/>
    <cfRule type="duplicateValues" dxfId="20" priority="55"/>
    <cfRule type="duplicateValues" dxfId="19" priority="56"/>
  </conditionalFormatting>
  <conditionalFormatting sqref="F14:F19">
    <cfRule type="duplicateValues" dxfId="18" priority="2122"/>
  </conditionalFormatting>
  <conditionalFormatting sqref="F20:F25 F1 F31:F1048576">
    <cfRule type="duplicateValues" dxfId="17" priority="2030"/>
  </conditionalFormatting>
  <conditionalFormatting sqref="F20:F25 F31:F1048576">
    <cfRule type="duplicateValues" dxfId="16" priority="2040"/>
    <cfRule type="duplicateValues" dxfId="15" priority="2046"/>
    <cfRule type="duplicateValues" dxfId="14" priority="2047"/>
    <cfRule type="duplicateValues" dxfId="13" priority="2048"/>
    <cfRule type="duplicateValues" dxfId="12" priority="2090"/>
  </conditionalFormatting>
  <conditionalFormatting sqref="F20:F25">
    <cfRule type="duplicateValues" dxfId="11" priority="159"/>
  </conditionalFormatting>
  <conditionalFormatting sqref="F26:F29">
    <cfRule type="duplicateValues" dxfId="10" priority="9"/>
  </conditionalFormatting>
  <conditionalFormatting sqref="R7:R19">
    <cfRule type="cellIs" dxfId="9" priority="21" operator="equal">
      <formula>"null"</formula>
    </cfRule>
  </conditionalFormatting>
  <conditionalFormatting sqref="Y2:Y6 AA2:AA6 AC2:AC6 A2:B30">
    <cfRule type="cellIs" dxfId="8" priority="1" operator="equal">
      <formula>"null"</formula>
    </cfRule>
  </conditionalFormatting>
  <conditionalFormatting sqref="Y7:Y25">
    <cfRule type="containsText" dxfId="7" priority="78" operator="containsText" text="null">
      <formula>NOT(ISERROR(SEARCH("null",Y7)))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0"/>
  <sheetViews>
    <sheetView zoomScale="205" zoomScaleNormal="205" workbookViewId="0">
      <selection activeCell="B11" sqref="B11"/>
    </sheetView>
  </sheetViews>
  <sheetFormatPr defaultColWidth="11.53515625" defaultRowHeight="7.5" customHeight="1" x14ac:dyDescent="0.4"/>
  <cols>
    <col min="1" max="1" width="2.53515625" bestFit="1" customWidth="1"/>
    <col min="2" max="2" width="9.3046875" bestFit="1" customWidth="1"/>
    <col min="3" max="3" width="6.4609375" bestFit="1" customWidth="1"/>
    <col min="4" max="4" width="7.53515625" customWidth="1"/>
    <col min="5" max="5" width="5.921875" customWidth="1"/>
    <col min="6" max="6" width="4.07421875" bestFit="1" customWidth="1"/>
    <col min="7" max="7" width="27.69140625" customWidth="1"/>
    <col min="8" max="8" width="6.69140625" customWidth="1"/>
    <col min="9" max="9" width="11.84375" customWidth="1"/>
    <col min="10" max="10" width="4.84375" bestFit="1" customWidth="1"/>
    <col min="11" max="11" width="5.53515625" customWidth="1"/>
    <col min="12" max="12" width="3" customWidth="1"/>
    <col min="13" max="13" width="2.84375" customWidth="1"/>
    <col min="14" max="14" width="7.3046875" customWidth="1"/>
    <col min="15" max="15" width="13.84375" customWidth="1"/>
    <col min="16" max="16" width="5.69140625" bestFit="1" customWidth="1"/>
    <col min="17" max="17" width="8.3046875" bestFit="1" customWidth="1"/>
    <col min="18" max="18" width="6" customWidth="1"/>
    <col min="19" max="19" width="6.53515625" style="35" bestFit="1" customWidth="1"/>
  </cols>
  <sheetData>
    <row r="1" spans="1:19" ht="17.25" customHeight="1" x14ac:dyDescent="0.4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50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7" t="s">
        <v>78</v>
      </c>
    </row>
    <row r="2" spans="1:19" ht="7.5" customHeight="1" x14ac:dyDescent="0.4">
      <c r="A2" s="20">
        <v>2</v>
      </c>
      <c r="B2" s="21" t="s">
        <v>267</v>
      </c>
      <c r="C2" s="33" t="s">
        <v>174</v>
      </c>
      <c r="D2" s="52" t="s">
        <v>9</v>
      </c>
      <c r="E2" s="53" t="s">
        <v>9</v>
      </c>
      <c r="F2" s="22" t="s">
        <v>77</v>
      </c>
      <c r="G2" s="23" t="s">
        <v>268</v>
      </c>
      <c r="H2" s="51" t="s">
        <v>9</v>
      </c>
      <c r="I2" s="24" t="s">
        <v>9</v>
      </c>
      <c r="J2" s="51" t="s">
        <v>9</v>
      </c>
      <c r="K2" s="24" t="s">
        <v>9</v>
      </c>
      <c r="L2" s="51" t="s">
        <v>9</v>
      </c>
      <c r="M2" s="24" t="s">
        <v>9</v>
      </c>
      <c r="N2" s="51" t="s">
        <v>9</v>
      </c>
      <c r="O2" s="24" t="s">
        <v>9</v>
      </c>
      <c r="P2" s="51" t="s">
        <v>9</v>
      </c>
      <c r="Q2" s="24" t="s">
        <v>9</v>
      </c>
      <c r="R2" s="51" t="s">
        <v>9</v>
      </c>
      <c r="S2" s="56" t="s">
        <v>9</v>
      </c>
    </row>
    <row r="3" spans="1:19" ht="7.5" customHeight="1" x14ac:dyDescent="0.4">
      <c r="A3" s="20">
        <v>3</v>
      </c>
      <c r="B3" s="49" t="s">
        <v>131</v>
      </c>
      <c r="C3" s="62" t="s">
        <v>176</v>
      </c>
      <c r="D3" s="52" t="s">
        <v>96</v>
      </c>
      <c r="E3" s="36" t="s">
        <v>267</v>
      </c>
      <c r="F3" s="22" t="s">
        <v>77</v>
      </c>
      <c r="G3" s="23" t="s">
        <v>191</v>
      </c>
      <c r="H3" s="51" t="s">
        <v>166</v>
      </c>
      <c r="I3" s="24" t="s">
        <v>169</v>
      </c>
      <c r="J3" s="51" t="s">
        <v>97</v>
      </c>
      <c r="K3" s="24" t="s">
        <v>139</v>
      </c>
      <c r="L3" s="51" t="s">
        <v>9</v>
      </c>
      <c r="M3" s="24" t="s">
        <v>9</v>
      </c>
      <c r="N3" s="51" t="s">
        <v>95</v>
      </c>
      <c r="O3" s="24" t="s">
        <v>167</v>
      </c>
      <c r="P3" s="51" t="s">
        <v>94</v>
      </c>
      <c r="Q3" s="24" t="s">
        <v>168</v>
      </c>
      <c r="R3" s="51" t="s">
        <v>93</v>
      </c>
      <c r="S3" s="56" t="s">
        <v>145</v>
      </c>
    </row>
    <row r="4" spans="1:19" ht="7.5" customHeight="1" x14ac:dyDescent="0.4">
      <c r="A4" s="20">
        <v>4</v>
      </c>
      <c r="B4" s="49" t="s">
        <v>132</v>
      </c>
      <c r="C4" s="62" t="s">
        <v>176</v>
      </c>
      <c r="D4" s="52" t="s">
        <v>96</v>
      </c>
      <c r="E4" s="36" t="s">
        <v>267</v>
      </c>
      <c r="F4" s="22" t="s">
        <v>77</v>
      </c>
      <c r="G4" s="23" t="s">
        <v>191</v>
      </c>
      <c r="H4" s="51" t="s">
        <v>166</v>
      </c>
      <c r="I4" s="24" t="s">
        <v>169</v>
      </c>
      <c r="J4" s="51" t="s">
        <v>97</v>
      </c>
      <c r="K4" s="24" t="s">
        <v>139</v>
      </c>
      <c r="L4" s="51" t="s">
        <v>9</v>
      </c>
      <c r="M4" s="24" t="s">
        <v>9</v>
      </c>
      <c r="N4" s="51" t="s">
        <v>95</v>
      </c>
      <c r="O4" s="24" t="s">
        <v>167</v>
      </c>
      <c r="P4" s="51" t="s">
        <v>94</v>
      </c>
      <c r="Q4" s="24" t="s">
        <v>168</v>
      </c>
      <c r="R4" s="51" t="s">
        <v>93</v>
      </c>
      <c r="S4" s="56" t="s">
        <v>145</v>
      </c>
    </row>
    <row r="5" spans="1:19" ht="7.5" customHeight="1" x14ac:dyDescent="0.4">
      <c r="A5" s="20">
        <v>5</v>
      </c>
      <c r="B5" s="49" t="s">
        <v>133</v>
      </c>
      <c r="C5" s="62" t="s">
        <v>176</v>
      </c>
      <c r="D5" s="52" t="s">
        <v>96</v>
      </c>
      <c r="E5" s="36" t="s">
        <v>267</v>
      </c>
      <c r="F5" s="22" t="s">
        <v>77</v>
      </c>
      <c r="G5" s="23" t="s">
        <v>191</v>
      </c>
      <c r="H5" s="51" t="s">
        <v>166</v>
      </c>
      <c r="I5" s="24" t="s">
        <v>169</v>
      </c>
      <c r="J5" s="51" t="s">
        <v>97</v>
      </c>
      <c r="K5" s="24" t="s">
        <v>139</v>
      </c>
      <c r="L5" s="51" t="s">
        <v>9</v>
      </c>
      <c r="M5" s="24" t="s">
        <v>9</v>
      </c>
      <c r="N5" s="51" t="s">
        <v>95</v>
      </c>
      <c r="O5" s="24" t="s">
        <v>167</v>
      </c>
      <c r="P5" s="51" t="s">
        <v>94</v>
      </c>
      <c r="Q5" s="24" t="s">
        <v>168</v>
      </c>
      <c r="R5" s="51" t="s">
        <v>93</v>
      </c>
      <c r="S5" s="56" t="s">
        <v>145</v>
      </c>
    </row>
    <row r="6" spans="1:19" ht="7.5" customHeight="1" x14ac:dyDescent="0.4">
      <c r="A6" s="20">
        <v>6</v>
      </c>
      <c r="B6" s="49" t="s">
        <v>134</v>
      </c>
      <c r="C6" s="62" t="s">
        <v>176</v>
      </c>
      <c r="D6" s="52" t="s">
        <v>96</v>
      </c>
      <c r="E6" s="36" t="s">
        <v>267</v>
      </c>
      <c r="F6" s="22" t="s">
        <v>77</v>
      </c>
      <c r="G6" s="23" t="s">
        <v>191</v>
      </c>
      <c r="H6" s="51" t="s">
        <v>166</v>
      </c>
      <c r="I6" s="24" t="s">
        <v>169</v>
      </c>
      <c r="J6" s="51" t="s">
        <v>97</v>
      </c>
      <c r="K6" s="24" t="s">
        <v>139</v>
      </c>
      <c r="L6" s="51" t="s">
        <v>9</v>
      </c>
      <c r="M6" s="24" t="s">
        <v>9</v>
      </c>
      <c r="N6" s="51" t="s">
        <v>95</v>
      </c>
      <c r="O6" s="24" t="s">
        <v>167</v>
      </c>
      <c r="P6" s="51" t="s">
        <v>94</v>
      </c>
      <c r="Q6" s="24" t="s">
        <v>168</v>
      </c>
      <c r="R6" s="51" t="s">
        <v>93</v>
      </c>
      <c r="S6" s="56" t="s">
        <v>145</v>
      </c>
    </row>
    <row r="7" spans="1:19" ht="7.5" customHeight="1" x14ac:dyDescent="0.4">
      <c r="A7" s="20">
        <v>7</v>
      </c>
      <c r="B7" s="49" t="s">
        <v>135</v>
      </c>
      <c r="C7" s="62" t="s">
        <v>176</v>
      </c>
      <c r="D7" s="52" t="s">
        <v>96</v>
      </c>
      <c r="E7" s="36" t="s">
        <v>267</v>
      </c>
      <c r="F7" s="22" t="s">
        <v>77</v>
      </c>
      <c r="G7" s="23" t="s">
        <v>191</v>
      </c>
      <c r="H7" s="51" t="s">
        <v>166</v>
      </c>
      <c r="I7" s="24" t="s">
        <v>169</v>
      </c>
      <c r="J7" s="51" t="s">
        <v>97</v>
      </c>
      <c r="K7" s="24" t="s">
        <v>139</v>
      </c>
      <c r="L7" s="51" t="s">
        <v>9</v>
      </c>
      <c r="M7" s="24" t="s">
        <v>9</v>
      </c>
      <c r="N7" s="51" t="s">
        <v>95</v>
      </c>
      <c r="O7" s="24" t="s">
        <v>167</v>
      </c>
      <c r="P7" s="51" t="s">
        <v>94</v>
      </c>
      <c r="Q7" s="24" t="s">
        <v>168</v>
      </c>
      <c r="R7" s="51" t="s">
        <v>93</v>
      </c>
      <c r="S7" s="56" t="s">
        <v>145</v>
      </c>
    </row>
    <row r="8" spans="1:19" ht="7.5" customHeight="1" x14ac:dyDescent="0.4">
      <c r="A8" s="20">
        <v>8</v>
      </c>
      <c r="B8" s="49" t="s">
        <v>136</v>
      </c>
      <c r="C8" s="62" t="s">
        <v>176</v>
      </c>
      <c r="D8" s="52" t="s">
        <v>96</v>
      </c>
      <c r="E8" s="36" t="s">
        <v>267</v>
      </c>
      <c r="F8" s="22" t="s">
        <v>77</v>
      </c>
      <c r="G8" s="23" t="s">
        <v>191</v>
      </c>
      <c r="H8" s="51" t="s">
        <v>166</v>
      </c>
      <c r="I8" s="24" t="s">
        <v>169</v>
      </c>
      <c r="J8" s="51" t="s">
        <v>97</v>
      </c>
      <c r="K8" s="24" t="s">
        <v>139</v>
      </c>
      <c r="L8" s="51" t="s">
        <v>9</v>
      </c>
      <c r="M8" s="24" t="s">
        <v>9</v>
      </c>
      <c r="N8" s="51" t="s">
        <v>95</v>
      </c>
      <c r="O8" s="24" t="s">
        <v>167</v>
      </c>
      <c r="P8" s="51" t="s">
        <v>94</v>
      </c>
      <c r="Q8" s="24" t="s">
        <v>168</v>
      </c>
      <c r="R8" s="51" t="s">
        <v>93</v>
      </c>
      <c r="S8" s="56" t="s">
        <v>145</v>
      </c>
    </row>
    <row r="9" spans="1:19" ht="7.5" customHeight="1" x14ac:dyDescent="0.4">
      <c r="A9" s="20">
        <v>9</v>
      </c>
      <c r="B9" s="49" t="s">
        <v>137</v>
      </c>
      <c r="C9" s="62" t="s">
        <v>176</v>
      </c>
      <c r="D9" s="52" t="s">
        <v>96</v>
      </c>
      <c r="E9" s="36" t="s">
        <v>267</v>
      </c>
      <c r="F9" s="22" t="s">
        <v>77</v>
      </c>
      <c r="G9" s="23" t="s">
        <v>191</v>
      </c>
      <c r="H9" s="51" t="s">
        <v>166</v>
      </c>
      <c r="I9" s="24" t="s">
        <v>169</v>
      </c>
      <c r="J9" s="51" t="s">
        <v>97</v>
      </c>
      <c r="K9" s="24" t="s">
        <v>139</v>
      </c>
      <c r="L9" s="51" t="s">
        <v>9</v>
      </c>
      <c r="M9" s="24" t="s">
        <v>9</v>
      </c>
      <c r="N9" s="51" t="s">
        <v>95</v>
      </c>
      <c r="O9" s="24" t="s">
        <v>167</v>
      </c>
      <c r="P9" s="51" t="s">
        <v>94</v>
      </c>
      <c r="Q9" s="24" t="s">
        <v>168</v>
      </c>
      <c r="R9" s="51" t="s">
        <v>93</v>
      </c>
      <c r="S9" s="56" t="s">
        <v>145</v>
      </c>
    </row>
    <row r="10" spans="1:19" ht="7.5" customHeight="1" x14ac:dyDescent="0.4">
      <c r="A10" s="20">
        <v>10</v>
      </c>
      <c r="B10" s="49" t="s">
        <v>138</v>
      </c>
      <c r="C10" s="62" t="s">
        <v>176</v>
      </c>
      <c r="D10" s="52" t="s">
        <v>96</v>
      </c>
      <c r="E10" s="36" t="s">
        <v>267</v>
      </c>
      <c r="F10" s="22" t="s">
        <v>77</v>
      </c>
      <c r="G10" s="23" t="s">
        <v>191</v>
      </c>
      <c r="H10" s="51" t="s">
        <v>166</v>
      </c>
      <c r="I10" s="24" t="s">
        <v>169</v>
      </c>
      <c r="J10" s="51" t="s">
        <v>97</v>
      </c>
      <c r="K10" s="24" t="s">
        <v>139</v>
      </c>
      <c r="L10" s="51" t="s">
        <v>9</v>
      </c>
      <c r="M10" s="24" t="s">
        <v>9</v>
      </c>
      <c r="N10" s="51" t="s">
        <v>95</v>
      </c>
      <c r="O10" s="24" t="s">
        <v>167</v>
      </c>
      <c r="P10" s="51" t="s">
        <v>94</v>
      </c>
      <c r="Q10" s="24" t="s">
        <v>168</v>
      </c>
      <c r="R10" s="51" t="s">
        <v>93</v>
      </c>
      <c r="S10" s="56" t="s">
        <v>145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2026-09-06T00:21:54Z</dcterms:modified>
  <dc:language>pt-BR</dc:language>
</cp:coreProperties>
</file>