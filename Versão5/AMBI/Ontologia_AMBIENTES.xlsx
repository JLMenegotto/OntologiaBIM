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D261DB1F-DC58-43BA-ABDD-47653F3D2B62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59" i="9" l="1"/>
  <c r="U159" i="9"/>
  <c r="T159" i="9"/>
  <c r="S159" i="9"/>
  <c r="O159" i="9"/>
  <c r="N159" i="9"/>
  <c r="M159" i="9"/>
  <c r="L159" i="9"/>
  <c r="W158" i="9"/>
  <c r="U158" i="9"/>
  <c r="T158" i="9"/>
  <c r="S158" i="9"/>
  <c r="O158" i="9"/>
  <c r="N158" i="9"/>
  <c r="M158" i="9"/>
  <c r="L158" i="9"/>
  <c r="W157" i="9"/>
  <c r="U157" i="9"/>
  <c r="T157" i="9"/>
  <c r="S157" i="9"/>
  <c r="O157" i="9"/>
  <c r="N157" i="9"/>
  <c r="M157" i="9"/>
  <c r="L157" i="9"/>
  <c r="W156" i="9"/>
  <c r="U156" i="9"/>
  <c r="T156" i="9"/>
  <c r="S156" i="9"/>
  <c r="O156" i="9"/>
  <c r="N156" i="9"/>
  <c r="M156" i="9"/>
  <c r="L156" i="9"/>
  <c r="W155" i="9"/>
  <c r="U155" i="9"/>
  <c r="T155" i="9"/>
  <c r="S155" i="9"/>
  <c r="O155" i="9"/>
  <c r="N155" i="9"/>
  <c r="M155" i="9"/>
  <c r="L155" i="9"/>
  <c r="W42" i="9"/>
  <c r="U42" i="9"/>
  <c r="T42" i="9"/>
  <c r="S42" i="9"/>
  <c r="O42" i="9"/>
  <c r="N42" i="9"/>
  <c r="M42" i="9"/>
  <c r="L42" i="9"/>
  <c r="W59" i="9"/>
  <c r="U59" i="9"/>
  <c r="T59" i="9"/>
  <c r="S59" i="9"/>
  <c r="O59" i="9"/>
  <c r="N59" i="9"/>
  <c r="M59" i="9"/>
  <c r="L59" i="9"/>
  <c r="Q42" i="9"/>
  <c r="AA42" i="9"/>
  <c r="AA59" i="9"/>
  <c r="Q59" i="9"/>
  <c r="AA159" i="9"/>
  <c r="Q157" i="9"/>
  <c r="Q159" i="9"/>
  <c r="AA156" i="9"/>
  <c r="AA158" i="9"/>
  <c r="Q156" i="9"/>
  <c r="Q158" i="9"/>
  <c r="AA155" i="9"/>
  <c r="AA157" i="9"/>
  <c r="Q155" i="9"/>
  <c r="W123" i="9" l="1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45" i="9"/>
  <c r="U145" i="9"/>
  <c r="T145" i="9"/>
  <c r="S145" i="9"/>
  <c r="O145" i="9"/>
  <c r="N145" i="9"/>
  <c r="M145" i="9"/>
  <c r="L145" i="9"/>
  <c r="W40" i="9"/>
  <c r="U40" i="9"/>
  <c r="T40" i="9"/>
  <c r="S40" i="9"/>
  <c r="O40" i="9"/>
  <c r="N40" i="9"/>
  <c r="M40" i="9"/>
  <c r="L40" i="9"/>
  <c r="W58" i="9"/>
  <c r="U58" i="9"/>
  <c r="T58" i="9"/>
  <c r="S58" i="9"/>
  <c r="O58" i="9"/>
  <c r="N58" i="9"/>
  <c r="M58" i="9"/>
  <c r="L58" i="9"/>
  <c r="W63" i="9"/>
  <c r="U63" i="9"/>
  <c r="T63" i="9"/>
  <c r="S63" i="9"/>
  <c r="O63" i="9"/>
  <c r="N63" i="9"/>
  <c r="M63" i="9"/>
  <c r="L63" i="9"/>
  <c r="W57" i="9"/>
  <c r="U57" i="9"/>
  <c r="T57" i="9"/>
  <c r="S57" i="9"/>
  <c r="O57" i="9"/>
  <c r="N57" i="9"/>
  <c r="M57" i="9"/>
  <c r="L57" i="9"/>
  <c r="W60" i="9"/>
  <c r="U60" i="9"/>
  <c r="T60" i="9"/>
  <c r="S60" i="9"/>
  <c r="O60" i="9"/>
  <c r="N60" i="9"/>
  <c r="M60" i="9"/>
  <c r="L60" i="9"/>
  <c r="W73" i="9"/>
  <c r="U73" i="9"/>
  <c r="T73" i="9"/>
  <c r="S73" i="9"/>
  <c r="O73" i="9"/>
  <c r="N73" i="9"/>
  <c r="M73" i="9"/>
  <c r="L73" i="9"/>
  <c r="W129" i="9"/>
  <c r="U129" i="9"/>
  <c r="T129" i="9"/>
  <c r="S129" i="9"/>
  <c r="O129" i="9"/>
  <c r="N129" i="9"/>
  <c r="M129" i="9"/>
  <c r="L129" i="9"/>
  <c r="W126" i="9"/>
  <c r="U126" i="9"/>
  <c r="T126" i="9"/>
  <c r="S126" i="9"/>
  <c r="O126" i="9"/>
  <c r="N126" i="9"/>
  <c r="M126" i="9"/>
  <c r="L126" i="9"/>
  <c r="W127" i="9"/>
  <c r="U127" i="9"/>
  <c r="T127" i="9"/>
  <c r="S127" i="9"/>
  <c r="O127" i="9"/>
  <c r="N127" i="9"/>
  <c r="M127" i="9"/>
  <c r="L127" i="9"/>
  <c r="W125" i="9"/>
  <c r="U125" i="9"/>
  <c r="T125" i="9"/>
  <c r="S125" i="9"/>
  <c r="O125" i="9"/>
  <c r="N125" i="9"/>
  <c r="M125" i="9"/>
  <c r="L125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44" i="9"/>
  <c r="U44" i="9"/>
  <c r="T44" i="9"/>
  <c r="S44" i="9"/>
  <c r="O44" i="9"/>
  <c r="N44" i="9"/>
  <c r="M44" i="9"/>
  <c r="L44" i="9"/>
  <c r="W45" i="9"/>
  <c r="U45" i="9"/>
  <c r="T45" i="9"/>
  <c r="S45" i="9"/>
  <c r="O45" i="9"/>
  <c r="N45" i="9"/>
  <c r="M45" i="9"/>
  <c r="L45" i="9"/>
  <c r="W83" i="9"/>
  <c r="U83" i="9"/>
  <c r="T83" i="9"/>
  <c r="S83" i="9"/>
  <c r="O83" i="9"/>
  <c r="N83" i="9"/>
  <c r="M83" i="9"/>
  <c r="L83" i="9"/>
  <c r="W84" i="9"/>
  <c r="U84" i="9"/>
  <c r="T84" i="9"/>
  <c r="S84" i="9"/>
  <c r="O84" i="9"/>
  <c r="N84" i="9"/>
  <c r="M84" i="9"/>
  <c r="L84" i="9"/>
  <c r="W80" i="9"/>
  <c r="U80" i="9"/>
  <c r="T80" i="9"/>
  <c r="S80" i="9"/>
  <c r="O80" i="9"/>
  <c r="N80" i="9"/>
  <c r="M80" i="9"/>
  <c r="L80" i="9"/>
  <c r="W91" i="9"/>
  <c r="U91" i="9"/>
  <c r="T91" i="9"/>
  <c r="S91" i="9"/>
  <c r="O91" i="9"/>
  <c r="N91" i="9"/>
  <c r="M91" i="9"/>
  <c r="L91" i="9"/>
  <c r="O86" i="9"/>
  <c r="W86" i="9"/>
  <c r="U86" i="9"/>
  <c r="T86" i="9"/>
  <c r="S86" i="9"/>
  <c r="N86" i="9"/>
  <c r="M86" i="9"/>
  <c r="L86" i="9"/>
  <c r="W35" i="9"/>
  <c r="U35" i="9"/>
  <c r="T35" i="9"/>
  <c r="S35" i="9"/>
  <c r="O35" i="9"/>
  <c r="N35" i="9"/>
  <c r="M35" i="9"/>
  <c r="L35" i="9"/>
  <c r="W56" i="9"/>
  <c r="U56" i="9"/>
  <c r="T56" i="9"/>
  <c r="S56" i="9"/>
  <c r="O56" i="9"/>
  <c r="N56" i="9"/>
  <c r="M56" i="9"/>
  <c r="L56" i="9"/>
  <c r="W54" i="9"/>
  <c r="U54" i="9"/>
  <c r="T54" i="9"/>
  <c r="S54" i="9"/>
  <c r="O54" i="9"/>
  <c r="N54" i="9"/>
  <c r="M54" i="9"/>
  <c r="L54" i="9"/>
  <c r="W69" i="9"/>
  <c r="U69" i="9"/>
  <c r="T69" i="9"/>
  <c r="S69" i="9"/>
  <c r="O69" i="9"/>
  <c r="N69" i="9"/>
  <c r="M69" i="9"/>
  <c r="L69" i="9"/>
  <c r="W65" i="9"/>
  <c r="U65" i="9"/>
  <c r="T65" i="9"/>
  <c r="S65" i="9"/>
  <c r="O65" i="9"/>
  <c r="N65" i="9"/>
  <c r="M65" i="9"/>
  <c r="L65" i="9"/>
  <c r="W53" i="9"/>
  <c r="U53" i="9"/>
  <c r="T53" i="9"/>
  <c r="S53" i="9"/>
  <c r="O53" i="9"/>
  <c r="N53" i="9"/>
  <c r="M53" i="9"/>
  <c r="L53" i="9"/>
  <c r="W50" i="9"/>
  <c r="U50" i="9"/>
  <c r="T50" i="9"/>
  <c r="S50" i="9"/>
  <c r="O50" i="9"/>
  <c r="N50" i="9"/>
  <c r="M50" i="9"/>
  <c r="L50" i="9"/>
  <c r="W49" i="9"/>
  <c r="U49" i="9"/>
  <c r="T49" i="9"/>
  <c r="S49" i="9"/>
  <c r="O49" i="9"/>
  <c r="N49" i="9"/>
  <c r="M49" i="9"/>
  <c r="L49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105" i="9"/>
  <c r="U105" i="9"/>
  <c r="T105" i="9"/>
  <c r="S105" i="9"/>
  <c r="O105" i="9"/>
  <c r="N105" i="9"/>
  <c r="M105" i="9"/>
  <c r="L105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18" i="9"/>
  <c r="U118" i="9"/>
  <c r="T118" i="9"/>
  <c r="S118" i="9"/>
  <c r="O118" i="9"/>
  <c r="N118" i="9"/>
  <c r="M118" i="9"/>
  <c r="L118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6" i="9"/>
  <c r="U106" i="9"/>
  <c r="T106" i="9"/>
  <c r="S106" i="9"/>
  <c r="O106" i="9"/>
  <c r="N106" i="9"/>
  <c r="M106" i="9"/>
  <c r="L106" i="9"/>
  <c r="W102" i="9"/>
  <c r="U102" i="9"/>
  <c r="T102" i="9"/>
  <c r="S102" i="9"/>
  <c r="O102" i="9"/>
  <c r="N102" i="9"/>
  <c r="M102" i="9"/>
  <c r="L102" i="9"/>
  <c r="W107" i="9"/>
  <c r="U107" i="9"/>
  <c r="T107" i="9"/>
  <c r="S107" i="9"/>
  <c r="O107" i="9"/>
  <c r="N107" i="9"/>
  <c r="M107" i="9"/>
  <c r="L107" i="9"/>
  <c r="W72" i="9"/>
  <c r="U72" i="9"/>
  <c r="T72" i="9"/>
  <c r="S72" i="9"/>
  <c r="O72" i="9"/>
  <c r="N72" i="9"/>
  <c r="M72" i="9"/>
  <c r="L72" i="9"/>
  <c r="W47" i="9"/>
  <c r="U47" i="9"/>
  <c r="T47" i="9"/>
  <c r="S47" i="9"/>
  <c r="O47" i="9"/>
  <c r="N47" i="9"/>
  <c r="M47" i="9"/>
  <c r="L47" i="9"/>
  <c r="W48" i="9"/>
  <c r="U48" i="9"/>
  <c r="T48" i="9"/>
  <c r="S48" i="9"/>
  <c r="O48" i="9"/>
  <c r="N48" i="9"/>
  <c r="M48" i="9"/>
  <c r="L48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6" i="9"/>
  <c r="W37" i="9"/>
  <c r="W38" i="9"/>
  <c r="W39" i="9"/>
  <c r="W41" i="9"/>
  <c r="W43" i="9"/>
  <c r="W46" i="9"/>
  <c r="W51" i="9"/>
  <c r="W52" i="9"/>
  <c r="W55" i="9"/>
  <c r="W61" i="9"/>
  <c r="W62" i="9"/>
  <c r="W64" i="9"/>
  <c r="W66" i="9"/>
  <c r="W67" i="9"/>
  <c r="W68" i="9"/>
  <c r="W70" i="9"/>
  <c r="W71" i="9"/>
  <c r="W74" i="9"/>
  <c r="W75" i="9"/>
  <c r="W76" i="9"/>
  <c r="W77" i="9"/>
  <c r="W78" i="9"/>
  <c r="W79" i="9"/>
  <c r="W81" i="9"/>
  <c r="W82" i="9"/>
  <c r="W85" i="9"/>
  <c r="W87" i="9"/>
  <c r="W88" i="9"/>
  <c r="W89" i="9"/>
  <c r="W90" i="9"/>
  <c r="W92" i="9"/>
  <c r="W97" i="9"/>
  <c r="W98" i="9"/>
  <c r="W101" i="9"/>
  <c r="W108" i="9"/>
  <c r="W109" i="9"/>
  <c r="W110" i="9"/>
  <c r="W111" i="9"/>
  <c r="W112" i="9"/>
  <c r="W113" i="9"/>
  <c r="W114" i="9"/>
  <c r="W115" i="9"/>
  <c r="W116" i="9"/>
  <c r="W117" i="9"/>
  <c r="W124" i="9"/>
  <c r="W128" i="9"/>
  <c r="W130" i="9"/>
  <c r="W131" i="9"/>
  <c r="W132" i="9"/>
  <c r="W133" i="9"/>
  <c r="W134" i="9"/>
  <c r="W135" i="9"/>
  <c r="W136" i="9"/>
  <c r="W137" i="9"/>
  <c r="W138" i="9"/>
  <c r="W139" i="9"/>
  <c r="W140" i="9"/>
  <c r="W141" i="9"/>
  <c r="W142" i="9"/>
  <c r="W143" i="9"/>
  <c r="W144" i="9"/>
  <c r="W146" i="9"/>
  <c r="W147" i="9"/>
  <c r="W148" i="9"/>
  <c r="W149" i="9"/>
  <c r="W150" i="9"/>
  <c r="W151" i="9"/>
  <c r="W152" i="9"/>
  <c r="W153" i="9"/>
  <c r="W154" i="9"/>
  <c r="W2" i="9"/>
  <c r="U12" i="9"/>
  <c r="T12" i="9"/>
  <c r="S12" i="9"/>
  <c r="O12" i="9"/>
  <c r="N12" i="9"/>
  <c r="M12" i="9"/>
  <c r="L12" i="9"/>
  <c r="U24" i="9"/>
  <c r="T24" i="9"/>
  <c r="S24" i="9"/>
  <c r="O24" i="9"/>
  <c r="N24" i="9"/>
  <c r="M24" i="9"/>
  <c r="L24" i="9"/>
  <c r="U25" i="9"/>
  <c r="T25" i="9"/>
  <c r="S25" i="9"/>
  <c r="O25" i="9"/>
  <c r="N25" i="9"/>
  <c r="M25" i="9"/>
  <c r="L25" i="9"/>
  <c r="U32" i="9"/>
  <c r="T32" i="9"/>
  <c r="S32" i="9"/>
  <c r="O32" i="9"/>
  <c r="N32" i="9"/>
  <c r="M32" i="9"/>
  <c r="L32" i="9"/>
  <c r="U33" i="9"/>
  <c r="T33" i="9"/>
  <c r="S33" i="9"/>
  <c r="O33" i="9"/>
  <c r="N33" i="9"/>
  <c r="M33" i="9"/>
  <c r="L33" i="9"/>
  <c r="U34" i="9"/>
  <c r="T34" i="9"/>
  <c r="S34" i="9"/>
  <c r="O34" i="9"/>
  <c r="N34" i="9"/>
  <c r="M34" i="9"/>
  <c r="L34" i="9"/>
  <c r="Q72" i="9"/>
  <c r="Q49" i="9"/>
  <c r="Q109" i="9"/>
  <c r="Q126" i="9"/>
  <c r="Q70" i="9"/>
  <c r="Q144" i="9"/>
  <c r="Q33" i="9"/>
  <c r="Q58" i="9"/>
  <c r="Q64" i="9"/>
  <c r="Q63" i="9"/>
  <c r="Q100" i="9"/>
  <c r="Q140" i="9"/>
  <c r="AA107" i="9"/>
  <c r="Q53" i="9"/>
  <c r="AA118" i="9"/>
  <c r="AA49" i="9"/>
  <c r="Q74" i="9"/>
  <c r="Q122" i="9"/>
  <c r="Q75" i="9"/>
  <c r="Q34" i="9"/>
  <c r="Q92" i="9"/>
  <c r="Q103" i="9"/>
  <c r="Q47" i="9"/>
  <c r="Q32" i="9"/>
  <c r="AA103" i="9"/>
  <c r="AA129" i="9"/>
  <c r="AA25" i="9"/>
  <c r="Q83" i="9"/>
  <c r="Q110" i="9"/>
  <c r="AA12" i="9"/>
  <c r="Q139" i="9"/>
  <c r="AA99" i="9"/>
  <c r="Q128" i="9"/>
  <c r="AA126" i="9"/>
  <c r="AA45" i="9"/>
  <c r="Q79" i="9"/>
  <c r="Q61" i="9"/>
  <c r="Q98" i="9"/>
  <c r="Q138" i="9"/>
  <c r="Q112" i="9"/>
  <c r="AA102" i="9"/>
  <c r="Q69" i="9"/>
  <c r="Q120" i="9"/>
  <c r="Q143" i="9"/>
  <c r="Q101" i="9"/>
  <c r="Q119" i="9"/>
  <c r="Q145" i="9"/>
  <c r="Q124" i="9"/>
  <c r="Q12" i="9"/>
  <c r="Q115" i="9"/>
  <c r="AA48" i="9"/>
  <c r="AA96" i="9"/>
  <c r="AA95" i="9"/>
  <c r="AA63" i="9"/>
  <c r="AA33" i="9"/>
  <c r="Q62" i="9"/>
  <c r="Q117" i="9"/>
  <c r="Q134" i="9"/>
  <c r="AA32" i="9"/>
  <c r="Q67" i="9"/>
  <c r="Q43" i="9"/>
  <c r="Q133" i="9"/>
  <c r="AA50" i="9"/>
  <c r="Q50" i="9"/>
  <c r="Q86" i="9"/>
  <c r="Q56" i="9"/>
  <c r="Q121" i="9"/>
  <c r="Q130" i="9"/>
  <c r="Q78" i="9"/>
  <c r="AA72" i="9"/>
  <c r="Q25" i="9"/>
  <c r="Q146" i="9"/>
  <c r="AA145" i="9"/>
  <c r="Q90" i="9"/>
  <c r="Q71" i="9"/>
  <c r="AA93" i="9"/>
  <c r="Q107" i="9"/>
  <c r="AA106" i="9"/>
  <c r="AA94" i="9"/>
  <c r="Q135" i="9"/>
  <c r="Q106" i="9"/>
  <c r="AA121" i="9"/>
  <c r="AA120" i="9"/>
  <c r="Q68" i="9"/>
  <c r="Q113" i="9"/>
  <c r="AA56" i="9"/>
  <c r="Q96" i="9"/>
  <c r="AA40" i="9"/>
  <c r="AA86" i="9"/>
  <c r="Q73" i="9"/>
  <c r="Q85" i="9"/>
  <c r="Q88" i="9"/>
  <c r="Q127" i="9"/>
  <c r="Q54" i="9"/>
  <c r="AA73" i="9"/>
  <c r="Q141" i="9"/>
  <c r="Q51" i="9"/>
  <c r="Q108" i="9"/>
  <c r="Q116" i="9"/>
  <c r="Q45" i="9"/>
  <c r="Q137" i="9"/>
  <c r="Q94" i="9"/>
  <c r="Q81" i="9"/>
  <c r="AA58" i="9"/>
  <c r="Q147" i="9"/>
  <c r="Q55" i="9"/>
  <c r="AA119" i="9"/>
  <c r="AA53" i="9"/>
  <c r="Q114" i="9"/>
  <c r="AA65" i="9"/>
  <c r="Q57" i="9"/>
  <c r="Q82" i="9"/>
  <c r="Q87" i="9"/>
  <c r="AA122" i="9"/>
  <c r="Q131" i="9"/>
  <c r="Q142" i="9"/>
  <c r="AA105" i="9"/>
  <c r="AA84" i="9"/>
  <c r="Q91" i="9"/>
  <c r="Q95" i="9"/>
  <c r="Q118" i="9"/>
  <c r="Q104" i="9"/>
  <c r="AA60" i="9"/>
  <c r="Q93" i="9"/>
  <c r="Q65" i="9"/>
  <c r="AA125" i="9"/>
  <c r="Q52" i="9"/>
  <c r="AA104" i="9"/>
  <c r="Q99" i="9"/>
  <c r="AA57" i="9"/>
  <c r="AA47" i="9"/>
  <c r="AA44" i="9"/>
  <c r="Q48" i="9"/>
  <c r="Q136" i="9"/>
  <c r="Q125" i="9"/>
  <c r="AA127" i="9"/>
  <c r="AA54" i="9"/>
  <c r="Q111" i="9"/>
  <c r="AA123" i="9"/>
  <c r="Q40" i="9"/>
  <c r="AA24" i="9"/>
  <c r="Q24" i="9"/>
  <c r="Q35" i="9"/>
  <c r="AA69" i="9"/>
  <c r="AA83" i="9"/>
  <c r="Q89" i="9"/>
  <c r="Q132" i="9"/>
  <c r="Q129" i="9"/>
  <c r="AA91" i="9"/>
  <c r="Q80" i="9"/>
  <c r="Q44" i="9"/>
  <c r="Q77" i="9"/>
  <c r="Q46" i="9"/>
  <c r="Q60" i="9"/>
  <c r="AA80" i="9"/>
  <c r="Q123" i="9"/>
  <c r="Q66" i="9"/>
  <c r="Q97" i="9"/>
  <c r="AA35" i="9"/>
  <c r="Q84" i="9"/>
  <c r="Q21" i="9"/>
  <c r="Q76" i="9"/>
  <c r="AA100" i="9"/>
  <c r="AA34" i="9"/>
  <c r="Q102" i="9"/>
  <c r="Q105" i="9"/>
  <c r="Q154" i="9"/>
  <c r="Q153" i="9"/>
  <c r="Q152" i="9"/>
  <c r="Q151" i="9"/>
  <c r="Q150" i="9"/>
  <c r="Q149" i="9"/>
  <c r="Q148" i="9"/>
  <c r="S148" i="9" l="1"/>
  <c r="T148" i="9"/>
  <c r="U148" i="9"/>
  <c r="S149" i="9"/>
  <c r="T149" i="9"/>
  <c r="U149" i="9"/>
  <c r="S150" i="9"/>
  <c r="T150" i="9"/>
  <c r="U150" i="9"/>
  <c r="S151" i="9"/>
  <c r="T151" i="9"/>
  <c r="U151" i="9"/>
  <c r="S152" i="9"/>
  <c r="T152" i="9"/>
  <c r="U152" i="9"/>
  <c r="S153" i="9"/>
  <c r="T153" i="9"/>
  <c r="U153" i="9"/>
  <c r="S154" i="9"/>
  <c r="T154" i="9"/>
  <c r="U154" i="9"/>
  <c r="L149" i="9"/>
  <c r="M149" i="9"/>
  <c r="N149" i="9"/>
  <c r="O149" i="9"/>
  <c r="L150" i="9"/>
  <c r="M150" i="9"/>
  <c r="N150" i="9"/>
  <c r="O150" i="9"/>
  <c r="L151" i="9"/>
  <c r="M151" i="9"/>
  <c r="N151" i="9"/>
  <c r="O151" i="9"/>
  <c r="L152" i="9"/>
  <c r="M152" i="9"/>
  <c r="N152" i="9"/>
  <c r="O152" i="9"/>
  <c r="L153" i="9"/>
  <c r="M153" i="9"/>
  <c r="N153" i="9"/>
  <c r="O153" i="9"/>
  <c r="L154" i="9"/>
  <c r="M154" i="9"/>
  <c r="N154" i="9"/>
  <c r="O154" i="9"/>
  <c r="O148" i="9"/>
  <c r="N148" i="9"/>
  <c r="M148" i="9"/>
  <c r="L148" i="9"/>
  <c r="O131" i="9"/>
  <c r="AA154" i="9"/>
  <c r="AA153" i="9"/>
  <c r="AA152" i="9"/>
  <c r="AA151" i="9"/>
  <c r="AA150" i="9"/>
  <c r="AA149" i="9"/>
  <c r="AA148" i="9"/>
  <c r="U98" i="9" l="1"/>
  <c r="T98" i="9"/>
  <c r="S98" i="9"/>
  <c r="O98" i="9"/>
  <c r="N98" i="9"/>
  <c r="M98" i="9"/>
  <c r="L98" i="9"/>
  <c r="U36" i="9"/>
  <c r="T36" i="9"/>
  <c r="S36" i="9"/>
  <c r="O36" i="9"/>
  <c r="N36" i="9"/>
  <c r="M36" i="9"/>
  <c r="L36" i="9"/>
  <c r="U131" i="9"/>
  <c r="T131" i="9"/>
  <c r="S131" i="9"/>
  <c r="N131" i="9"/>
  <c r="M131" i="9"/>
  <c r="L131" i="9"/>
  <c r="U134" i="9"/>
  <c r="T134" i="9"/>
  <c r="S134" i="9"/>
  <c r="O134" i="9"/>
  <c r="N134" i="9"/>
  <c r="M134" i="9"/>
  <c r="L134" i="9"/>
  <c r="U133" i="9"/>
  <c r="T133" i="9"/>
  <c r="S133" i="9"/>
  <c r="O133" i="9"/>
  <c r="N133" i="9"/>
  <c r="M133" i="9"/>
  <c r="L133" i="9"/>
  <c r="U132" i="9"/>
  <c r="T132" i="9"/>
  <c r="S132" i="9"/>
  <c r="O132" i="9"/>
  <c r="N132" i="9"/>
  <c r="M132" i="9"/>
  <c r="L132" i="9"/>
  <c r="U87" i="9"/>
  <c r="T87" i="9"/>
  <c r="S87" i="9"/>
  <c r="O87" i="9"/>
  <c r="N87" i="9"/>
  <c r="M87" i="9"/>
  <c r="L87" i="9"/>
  <c r="U64" i="9"/>
  <c r="T64" i="9"/>
  <c r="S64" i="9"/>
  <c r="O64" i="9"/>
  <c r="N64" i="9"/>
  <c r="M64" i="9"/>
  <c r="L64" i="9"/>
  <c r="U62" i="9"/>
  <c r="T62" i="9"/>
  <c r="S62" i="9"/>
  <c r="O62" i="9"/>
  <c r="N62" i="9"/>
  <c r="M62" i="9"/>
  <c r="L62" i="9"/>
  <c r="U61" i="9"/>
  <c r="T61" i="9"/>
  <c r="S61" i="9"/>
  <c r="O61" i="9"/>
  <c r="N61" i="9"/>
  <c r="M61" i="9"/>
  <c r="L61" i="9"/>
  <c r="S4" i="9"/>
  <c r="S5" i="9"/>
  <c r="S6" i="9"/>
  <c r="S7" i="9"/>
  <c r="S8" i="9"/>
  <c r="S9" i="9"/>
  <c r="S10" i="9"/>
  <c r="S11" i="9"/>
  <c r="S13" i="9"/>
  <c r="S14" i="9"/>
  <c r="S15" i="9"/>
  <c r="S16" i="9"/>
  <c r="S17" i="9"/>
  <c r="S18" i="9"/>
  <c r="S19" i="9"/>
  <c r="S20" i="9"/>
  <c r="S21" i="9"/>
  <c r="S22" i="9"/>
  <c r="S23" i="9"/>
  <c r="S26" i="9"/>
  <c r="S27" i="9"/>
  <c r="S28" i="9"/>
  <c r="S29" i="9"/>
  <c r="S30" i="9"/>
  <c r="S31" i="9"/>
  <c r="S37" i="9"/>
  <c r="S38" i="9"/>
  <c r="S39" i="9"/>
  <c r="S41" i="9"/>
  <c r="S43" i="9"/>
  <c r="S46" i="9"/>
  <c r="S51" i="9"/>
  <c r="S52" i="9"/>
  <c r="S55" i="9"/>
  <c r="S66" i="9"/>
  <c r="S67" i="9"/>
  <c r="S68" i="9"/>
  <c r="S70" i="9"/>
  <c r="S71" i="9"/>
  <c r="S74" i="9"/>
  <c r="S75" i="9"/>
  <c r="S76" i="9"/>
  <c r="S77" i="9"/>
  <c r="S78" i="9"/>
  <c r="S79" i="9"/>
  <c r="S81" i="9"/>
  <c r="S82" i="9"/>
  <c r="S85" i="9"/>
  <c r="S88" i="9"/>
  <c r="S89" i="9"/>
  <c r="S90" i="9"/>
  <c r="S92" i="9"/>
  <c r="S97" i="9"/>
  <c r="S101" i="9"/>
  <c r="S108" i="9"/>
  <c r="S109" i="9"/>
  <c r="S110" i="9"/>
  <c r="S111" i="9"/>
  <c r="S112" i="9"/>
  <c r="S113" i="9"/>
  <c r="S114" i="9"/>
  <c r="S115" i="9"/>
  <c r="S116" i="9"/>
  <c r="S117" i="9"/>
  <c r="S124" i="9"/>
  <c r="S128" i="9"/>
  <c r="S130" i="9"/>
  <c r="S135" i="9"/>
  <c r="S136" i="9"/>
  <c r="S137" i="9"/>
  <c r="S138" i="9"/>
  <c r="S139" i="9"/>
  <c r="S140" i="9"/>
  <c r="S141" i="9"/>
  <c r="S142" i="9"/>
  <c r="S143" i="9"/>
  <c r="S144" i="9"/>
  <c r="S146" i="9"/>
  <c r="S147" i="9"/>
  <c r="T4" i="9"/>
  <c r="U4" i="9"/>
  <c r="T5" i="9"/>
  <c r="U5" i="9"/>
  <c r="T6" i="9"/>
  <c r="U6" i="9"/>
  <c r="T7" i="9"/>
  <c r="U7" i="9"/>
  <c r="T8" i="9"/>
  <c r="U8" i="9"/>
  <c r="T9" i="9"/>
  <c r="U9" i="9"/>
  <c r="T10" i="9"/>
  <c r="U10" i="9"/>
  <c r="T11" i="9"/>
  <c r="U11" i="9"/>
  <c r="T13" i="9"/>
  <c r="U13" i="9"/>
  <c r="T14" i="9"/>
  <c r="U14" i="9"/>
  <c r="T15" i="9"/>
  <c r="U15" i="9"/>
  <c r="T16" i="9"/>
  <c r="U16" i="9"/>
  <c r="T17" i="9"/>
  <c r="U17" i="9"/>
  <c r="T18" i="9"/>
  <c r="U18" i="9"/>
  <c r="T19" i="9"/>
  <c r="U19" i="9"/>
  <c r="T20" i="9"/>
  <c r="U20" i="9"/>
  <c r="T21" i="9"/>
  <c r="U21" i="9"/>
  <c r="T22" i="9"/>
  <c r="U22" i="9"/>
  <c r="T23" i="9"/>
  <c r="U23" i="9"/>
  <c r="T26" i="9"/>
  <c r="U26" i="9"/>
  <c r="T27" i="9"/>
  <c r="U27" i="9"/>
  <c r="T28" i="9"/>
  <c r="U28" i="9"/>
  <c r="T29" i="9"/>
  <c r="U29" i="9"/>
  <c r="T30" i="9"/>
  <c r="U30" i="9"/>
  <c r="T31" i="9"/>
  <c r="U31" i="9"/>
  <c r="T37" i="9"/>
  <c r="U37" i="9"/>
  <c r="T38" i="9"/>
  <c r="U38" i="9"/>
  <c r="T39" i="9"/>
  <c r="U39" i="9"/>
  <c r="T41" i="9"/>
  <c r="U41" i="9"/>
  <c r="T43" i="9"/>
  <c r="U43" i="9"/>
  <c r="T46" i="9"/>
  <c r="U46" i="9"/>
  <c r="T51" i="9"/>
  <c r="U51" i="9"/>
  <c r="T52" i="9"/>
  <c r="U52" i="9"/>
  <c r="T55" i="9"/>
  <c r="U55" i="9"/>
  <c r="T66" i="9"/>
  <c r="U66" i="9"/>
  <c r="T67" i="9"/>
  <c r="U67" i="9"/>
  <c r="T68" i="9"/>
  <c r="U68" i="9"/>
  <c r="T70" i="9"/>
  <c r="U70" i="9"/>
  <c r="T71" i="9"/>
  <c r="U71" i="9"/>
  <c r="T74" i="9"/>
  <c r="U74" i="9"/>
  <c r="T75" i="9"/>
  <c r="U75" i="9"/>
  <c r="T76" i="9"/>
  <c r="U76" i="9"/>
  <c r="T77" i="9"/>
  <c r="U77" i="9"/>
  <c r="T78" i="9"/>
  <c r="U78" i="9"/>
  <c r="T79" i="9"/>
  <c r="U79" i="9"/>
  <c r="T81" i="9"/>
  <c r="U81" i="9"/>
  <c r="T82" i="9"/>
  <c r="U82" i="9"/>
  <c r="T85" i="9"/>
  <c r="U85" i="9"/>
  <c r="T88" i="9"/>
  <c r="U88" i="9"/>
  <c r="T89" i="9"/>
  <c r="U89" i="9"/>
  <c r="T90" i="9"/>
  <c r="U90" i="9"/>
  <c r="T92" i="9"/>
  <c r="U92" i="9"/>
  <c r="T97" i="9"/>
  <c r="U97" i="9"/>
  <c r="T101" i="9"/>
  <c r="U101" i="9"/>
  <c r="T108" i="9"/>
  <c r="U108" i="9"/>
  <c r="T109" i="9"/>
  <c r="U109" i="9"/>
  <c r="T110" i="9"/>
  <c r="U110" i="9"/>
  <c r="T111" i="9"/>
  <c r="U111" i="9"/>
  <c r="T112" i="9"/>
  <c r="U112" i="9"/>
  <c r="T113" i="9"/>
  <c r="U113" i="9"/>
  <c r="T114" i="9"/>
  <c r="U114" i="9"/>
  <c r="T115" i="9"/>
  <c r="U115" i="9"/>
  <c r="T116" i="9"/>
  <c r="U116" i="9"/>
  <c r="T117" i="9"/>
  <c r="U117" i="9"/>
  <c r="T124" i="9"/>
  <c r="U124" i="9"/>
  <c r="T128" i="9"/>
  <c r="U128" i="9"/>
  <c r="T130" i="9"/>
  <c r="U130" i="9"/>
  <c r="T135" i="9"/>
  <c r="U135" i="9"/>
  <c r="T136" i="9"/>
  <c r="U136" i="9"/>
  <c r="T137" i="9"/>
  <c r="U137" i="9"/>
  <c r="T138" i="9"/>
  <c r="U138" i="9"/>
  <c r="T139" i="9"/>
  <c r="U139" i="9"/>
  <c r="T140" i="9"/>
  <c r="U140" i="9"/>
  <c r="T141" i="9"/>
  <c r="U141" i="9"/>
  <c r="T142" i="9"/>
  <c r="U142" i="9"/>
  <c r="T143" i="9"/>
  <c r="U143" i="9"/>
  <c r="T144" i="9"/>
  <c r="U144" i="9"/>
  <c r="T146" i="9"/>
  <c r="U146" i="9"/>
  <c r="T147" i="9"/>
  <c r="U147" i="9"/>
  <c r="O128" i="9"/>
  <c r="N128" i="9"/>
  <c r="M128" i="9"/>
  <c r="L128" i="9"/>
  <c r="O81" i="9"/>
  <c r="N81" i="9"/>
  <c r="M81" i="9"/>
  <c r="L81" i="9"/>
  <c r="O92" i="9"/>
  <c r="N92" i="9"/>
  <c r="M92" i="9"/>
  <c r="L92" i="9"/>
  <c r="O85" i="9"/>
  <c r="N85" i="9"/>
  <c r="M85" i="9"/>
  <c r="L85" i="9"/>
  <c r="O101" i="9"/>
  <c r="N101" i="9"/>
  <c r="M101" i="9"/>
  <c r="L101" i="9"/>
  <c r="O97" i="9"/>
  <c r="N97" i="9"/>
  <c r="M97" i="9"/>
  <c r="L97" i="9"/>
  <c r="O89" i="9"/>
  <c r="N89" i="9"/>
  <c r="M89" i="9"/>
  <c r="L89" i="9"/>
  <c r="O90" i="9"/>
  <c r="N90" i="9"/>
  <c r="M90" i="9"/>
  <c r="L90" i="9"/>
  <c r="O88" i="9"/>
  <c r="N88" i="9"/>
  <c r="M88" i="9"/>
  <c r="L88" i="9"/>
  <c r="O79" i="9"/>
  <c r="N79" i="9"/>
  <c r="M79" i="9"/>
  <c r="L79" i="9"/>
  <c r="O78" i="9"/>
  <c r="N78" i="9"/>
  <c r="M78" i="9"/>
  <c r="L78" i="9"/>
  <c r="O77" i="9"/>
  <c r="N77" i="9"/>
  <c r="M77" i="9"/>
  <c r="L77" i="9"/>
  <c r="O37" i="9"/>
  <c r="N37" i="9"/>
  <c r="M37" i="9"/>
  <c r="L37" i="9"/>
  <c r="O31" i="9"/>
  <c r="N31" i="9"/>
  <c r="M31" i="9"/>
  <c r="L31" i="9"/>
  <c r="V2" i="9"/>
  <c r="U2" i="9"/>
  <c r="T2" i="9"/>
  <c r="S2" i="9"/>
  <c r="O2" i="9"/>
  <c r="N2" i="9"/>
  <c r="M2" i="9"/>
  <c r="L2" i="9"/>
  <c r="L3" i="9"/>
  <c r="M3" i="9"/>
  <c r="N3" i="9"/>
  <c r="O3" i="9"/>
  <c r="S3" i="9"/>
  <c r="T3" i="9"/>
  <c r="U3" i="9"/>
  <c r="Q14" i="9"/>
  <c r="Q10" i="9"/>
  <c r="Q28" i="9"/>
  <c r="AA37" i="9"/>
  <c r="AA133" i="9"/>
  <c r="Q17" i="9"/>
  <c r="Q11" i="9"/>
  <c r="AA132" i="9"/>
  <c r="AA128" i="9"/>
  <c r="Q30" i="9"/>
  <c r="Q38" i="9"/>
  <c r="AA79" i="9"/>
  <c r="Q16" i="9"/>
  <c r="Q3" i="9"/>
  <c r="AA36" i="9"/>
  <c r="Q9" i="9"/>
  <c r="AA131" i="9"/>
  <c r="AA101" i="9"/>
  <c r="Q4" i="9"/>
  <c r="Q23" i="9"/>
  <c r="Q29" i="9"/>
  <c r="Q36" i="9"/>
  <c r="AA81" i="9"/>
  <c r="Q19" i="9"/>
  <c r="Q22" i="9"/>
  <c r="AA88" i="9"/>
  <c r="Q6" i="9"/>
  <c r="AA3" i="9"/>
  <c r="Q27" i="9"/>
  <c r="AA62" i="9"/>
  <c r="Q26" i="9"/>
  <c r="Q13" i="9"/>
  <c r="Q31" i="9"/>
  <c r="AA87" i="9"/>
  <c r="Q39" i="9"/>
  <c r="Q20" i="9"/>
  <c r="Q37" i="9"/>
  <c r="AA92" i="9"/>
  <c r="Q8" i="9"/>
  <c r="Q15" i="9"/>
  <c r="AA31" i="9"/>
  <c r="Q18" i="9"/>
  <c r="AA78" i="9"/>
  <c r="AA64" i="9"/>
  <c r="Q41" i="9"/>
  <c r="AA77" i="9"/>
  <c r="AA61" i="9"/>
  <c r="AA85" i="9"/>
  <c r="AA90" i="9"/>
  <c r="AA134" i="9"/>
  <c r="Q5" i="9"/>
  <c r="AA89" i="9"/>
  <c r="AA97" i="9"/>
  <c r="AA98" i="9"/>
  <c r="Q7" i="9"/>
  <c r="O26" i="9" l="1"/>
  <c r="N26" i="9"/>
  <c r="M26" i="9"/>
  <c r="L26" i="9"/>
  <c r="O23" i="9"/>
  <c r="N23" i="9"/>
  <c r="M23" i="9"/>
  <c r="L23" i="9"/>
  <c r="O22" i="9"/>
  <c r="N22" i="9"/>
  <c r="M22" i="9"/>
  <c r="L22" i="9"/>
  <c r="O21" i="9"/>
  <c r="N21" i="9"/>
  <c r="M21" i="9"/>
  <c r="L21" i="9"/>
  <c r="B21" i="13"/>
  <c r="B20" i="13"/>
  <c r="B26" i="13"/>
  <c r="AA29" i="9"/>
  <c r="AA124" i="9"/>
  <c r="AA52" i="9"/>
  <c r="AA115" i="9"/>
  <c r="AA5" i="9"/>
  <c r="AA110" i="9"/>
  <c r="AA6" i="9"/>
  <c r="AA51" i="9"/>
  <c r="AA19" i="9"/>
  <c r="AA28" i="9"/>
  <c r="AA114" i="9"/>
  <c r="AA139" i="9"/>
  <c r="AA20" i="9"/>
  <c r="AA39" i="9"/>
  <c r="AA13" i="9"/>
  <c r="AA21" i="9"/>
  <c r="AA109" i="9"/>
  <c r="AA141" i="9"/>
  <c r="AA82" i="9"/>
  <c r="AA11" i="9"/>
  <c r="AA17" i="9"/>
  <c r="AA23" i="9"/>
  <c r="AA16" i="9"/>
  <c r="AA46" i="9"/>
  <c r="AA27" i="9"/>
  <c r="AA71" i="9"/>
  <c r="AA138" i="9"/>
  <c r="AA67" i="9"/>
  <c r="AA41" i="9"/>
  <c r="AA70" i="9"/>
  <c r="AA15" i="9"/>
  <c r="AA135" i="9"/>
  <c r="AA9" i="9"/>
  <c r="AA146" i="9"/>
  <c r="AA74" i="9"/>
  <c r="AA111" i="9"/>
  <c r="AA76" i="9"/>
  <c r="AA7" i="9"/>
  <c r="AA143" i="9"/>
  <c r="AA117" i="9"/>
  <c r="AA66" i="9"/>
  <c r="AA55" i="9"/>
  <c r="AA142" i="9"/>
  <c r="AA136" i="9"/>
  <c r="AA108" i="9"/>
  <c r="AA4" i="9"/>
  <c r="AA43" i="9"/>
  <c r="AA38" i="9"/>
  <c r="AA140" i="9"/>
  <c r="AA144" i="9"/>
  <c r="AA30" i="9"/>
  <c r="AA113" i="9"/>
  <c r="AA68" i="9"/>
  <c r="AA137" i="9"/>
  <c r="AA10" i="9"/>
  <c r="AA116" i="9"/>
  <c r="AA147" i="9"/>
  <c r="AA130" i="9"/>
  <c r="AA14" i="9"/>
  <c r="AA112" i="9"/>
  <c r="AA18" i="9"/>
  <c r="AA26" i="9"/>
  <c r="AA75" i="9"/>
  <c r="AA8" i="9"/>
  <c r="AA22" i="9"/>
  <c r="O147" i="9" l="1"/>
  <c r="N147" i="9"/>
  <c r="M147" i="9"/>
  <c r="L147" i="9"/>
  <c r="O146" i="9"/>
  <c r="N146" i="9"/>
  <c r="M146" i="9"/>
  <c r="L146" i="9"/>
  <c r="O144" i="9"/>
  <c r="N144" i="9"/>
  <c r="M144" i="9"/>
  <c r="L144" i="9"/>
  <c r="O143" i="9"/>
  <c r="N143" i="9"/>
  <c r="M143" i="9"/>
  <c r="L143" i="9"/>
  <c r="O142" i="9"/>
  <c r="N142" i="9"/>
  <c r="M142" i="9"/>
  <c r="L142" i="9"/>
  <c r="O141" i="9"/>
  <c r="N141" i="9"/>
  <c r="M141" i="9"/>
  <c r="L141" i="9"/>
  <c r="O140" i="9"/>
  <c r="N140" i="9"/>
  <c r="M140" i="9"/>
  <c r="L140" i="9"/>
  <c r="O139" i="9"/>
  <c r="N139" i="9"/>
  <c r="M139" i="9"/>
  <c r="L139" i="9"/>
  <c r="O138" i="9"/>
  <c r="N138" i="9"/>
  <c r="M138" i="9"/>
  <c r="L138" i="9"/>
  <c r="O137" i="9"/>
  <c r="N137" i="9"/>
  <c r="M137" i="9"/>
  <c r="L137" i="9"/>
  <c r="O136" i="9"/>
  <c r="N136" i="9"/>
  <c r="M136" i="9"/>
  <c r="L136" i="9"/>
  <c r="O135" i="9"/>
  <c r="N135" i="9"/>
  <c r="M135" i="9"/>
  <c r="L135" i="9"/>
  <c r="O130" i="9"/>
  <c r="N130" i="9"/>
  <c r="M130" i="9"/>
  <c r="L130" i="9"/>
  <c r="O124" i="9"/>
  <c r="N124" i="9"/>
  <c r="M124" i="9"/>
  <c r="L124" i="9"/>
  <c r="O117" i="9"/>
  <c r="N117" i="9"/>
  <c r="M117" i="9"/>
  <c r="L117" i="9"/>
  <c r="O116" i="9"/>
  <c r="N116" i="9"/>
  <c r="M116" i="9"/>
  <c r="L116" i="9"/>
  <c r="O115" i="9"/>
  <c r="N115" i="9"/>
  <c r="M115" i="9"/>
  <c r="L115" i="9"/>
  <c r="O114" i="9"/>
  <c r="N114" i="9"/>
  <c r="M114" i="9"/>
  <c r="L114" i="9"/>
  <c r="O113" i="9"/>
  <c r="N113" i="9"/>
  <c r="M113" i="9"/>
  <c r="L113" i="9"/>
  <c r="O112" i="9"/>
  <c r="N112" i="9"/>
  <c r="M112" i="9"/>
  <c r="L112" i="9"/>
  <c r="O111" i="9"/>
  <c r="N111" i="9"/>
  <c r="M111" i="9"/>
  <c r="L111" i="9"/>
  <c r="O110" i="9"/>
  <c r="N110" i="9"/>
  <c r="M110" i="9"/>
  <c r="L110" i="9"/>
  <c r="O109" i="9"/>
  <c r="N109" i="9"/>
  <c r="M109" i="9"/>
  <c r="L109" i="9"/>
  <c r="O108" i="9"/>
  <c r="N108" i="9"/>
  <c r="M108" i="9"/>
  <c r="L108" i="9"/>
  <c r="O82" i="9"/>
  <c r="N82" i="9"/>
  <c r="M82" i="9"/>
  <c r="L82" i="9"/>
  <c r="O76" i="9"/>
  <c r="N76" i="9"/>
  <c r="M76" i="9"/>
  <c r="L76" i="9"/>
  <c r="O75" i="9"/>
  <c r="N75" i="9"/>
  <c r="M75" i="9"/>
  <c r="L75" i="9"/>
  <c r="O74" i="9"/>
  <c r="N74" i="9"/>
  <c r="M74" i="9"/>
  <c r="L74" i="9"/>
  <c r="O71" i="9"/>
  <c r="N71" i="9"/>
  <c r="M71" i="9"/>
  <c r="L71" i="9"/>
  <c r="O70" i="9"/>
  <c r="N70" i="9"/>
  <c r="M70" i="9"/>
  <c r="L70" i="9"/>
  <c r="O68" i="9"/>
  <c r="N68" i="9"/>
  <c r="M68" i="9"/>
  <c r="L68" i="9"/>
  <c r="O67" i="9"/>
  <c r="N67" i="9"/>
  <c r="M67" i="9"/>
  <c r="L67" i="9"/>
  <c r="O66" i="9"/>
  <c r="N66" i="9"/>
  <c r="M66" i="9"/>
  <c r="L66" i="9"/>
  <c r="O55" i="9"/>
  <c r="N55" i="9"/>
  <c r="M55" i="9"/>
  <c r="L55" i="9"/>
  <c r="O52" i="9"/>
  <c r="N52" i="9"/>
  <c r="M52" i="9"/>
  <c r="L52" i="9"/>
  <c r="O51" i="9"/>
  <c r="N51" i="9"/>
  <c r="M51" i="9"/>
  <c r="L51" i="9"/>
  <c r="O46" i="9"/>
  <c r="N46" i="9"/>
  <c r="M46" i="9"/>
  <c r="L46" i="9"/>
  <c r="O43" i="9"/>
  <c r="N43" i="9"/>
  <c r="M43" i="9"/>
  <c r="L43" i="9"/>
  <c r="O41" i="9"/>
  <c r="N41" i="9"/>
  <c r="M41" i="9"/>
  <c r="L41" i="9"/>
  <c r="O39" i="9"/>
  <c r="N39" i="9"/>
  <c r="M39" i="9"/>
  <c r="L39" i="9"/>
  <c r="O38" i="9"/>
  <c r="N38" i="9"/>
  <c r="M38" i="9"/>
  <c r="L38" i="9"/>
  <c r="O30" i="9"/>
  <c r="N30" i="9"/>
  <c r="M30" i="9"/>
  <c r="L30" i="9"/>
  <c r="O29" i="9"/>
  <c r="N29" i="9"/>
  <c r="M29" i="9"/>
  <c r="L29" i="9"/>
  <c r="O28" i="9"/>
  <c r="N28" i="9"/>
  <c r="M28" i="9"/>
  <c r="L28" i="9"/>
  <c r="O27" i="9"/>
  <c r="N27" i="9"/>
  <c r="M27" i="9"/>
  <c r="L27" i="9"/>
  <c r="O20" i="9"/>
  <c r="N20" i="9"/>
  <c r="M20" i="9"/>
  <c r="L20" i="9"/>
  <c r="O19" i="9"/>
  <c r="N19" i="9"/>
  <c r="M19" i="9"/>
  <c r="L19" i="9"/>
  <c r="O18" i="9"/>
  <c r="N18" i="9"/>
  <c r="M18" i="9"/>
  <c r="L18" i="9"/>
  <c r="O17" i="9"/>
  <c r="N17" i="9"/>
  <c r="M17" i="9"/>
  <c r="L17" i="9"/>
  <c r="O16" i="9"/>
  <c r="N16" i="9"/>
  <c r="M16" i="9"/>
  <c r="L16" i="9"/>
  <c r="O15" i="9"/>
  <c r="N15" i="9"/>
  <c r="M15" i="9"/>
  <c r="L15" i="9"/>
  <c r="O14" i="9"/>
  <c r="N14" i="9"/>
  <c r="M14" i="9"/>
  <c r="L14" i="9"/>
  <c r="O13" i="9"/>
  <c r="N13" i="9"/>
  <c r="M13" i="9"/>
  <c r="L13" i="9"/>
  <c r="O11" i="9"/>
  <c r="N11" i="9"/>
  <c r="M11" i="9"/>
  <c r="L11" i="9"/>
  <c r="O10" i="9"/>
  <c r="N10" i="9"/>
  <c r="M10" i="9"/>
  <c r="L10" i="9"/>
  <c r="O9" i="9"/>
  <c r="N9" i="9"/>
  <c r="M9" i="9"/>
  <c r="L9" i="9"/>
  <c r="O8" i="9"/>
  <c r="N8" i="9"/>
  <c r="M8" i="9"/>
  <c r="L8" i="9"/>
  <c r="O7" i="9"/>
  <c r="N7" i="9"/>
  <c r="M7" i="9"/>
  <c r="L7" i="9"/>
  <c r="O6" i="9"/>
  <c r="N6" i="9"/>
  <c r="M6" i="9"/>
  <c r="L6" i="9"/>
  <c r="O5" i="9"/>
  <c r="N5" i="9"/>
  <c r="M5" i="9"/>
  <c r="L5" i="9"/>
  <c r="O4" i="9"/>
  <c r="N4" i="9"/>
  <c r="M4" i="9"/>
  <c r="L4" i="9"/>
  <c r="B18" i="13" l="1"/>
  <c r="B6" i="13"/>
  <c r="B5" i="1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<sst xmlns="http://schemas.openxmlformats.org/spreadsheetml/2006/main" count="3785" uniqueCount="694">
  <si>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</si>
  <si>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</si>
  <si>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</si>
  <si>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</si>
  <si>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</si>
  <si>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</si>
  <si>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</si>
  <si>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</si>
  <si>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</si>
  <si>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</si>
  <si>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</si>
  <si>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</si>
  <si>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</si>
  <si>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</si>
  <si>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</si>
  <si>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</si>
  <si>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</si>
  <si>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</si>
  <si>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</si>
  <si>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</si>
  <si>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</si>
  <si>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</si>
  <si>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</si>
  <si>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</si>
  <si>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</si>
  <si>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</si>
  <si>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</si>
  <si>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</si>
  <si>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</si>
  <si>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</si>
  <si>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</si>
  <si>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</si>
  <si>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</si>
  <si>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</si>
  <si>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</si>
  <si>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</si>
  <si>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</si>
  <si>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</si>
  <si>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</si>
  <si>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</si>
  <si>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</si>
  <si>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</si>
  <si>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</si>
  <si>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</si>
  <si>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</si>
  <si>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</si>
  <si>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</si>
  <si>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</si>
  <si>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</si>
  <si>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</si>
  <si>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</si>
  <si>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</si>
  <si>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</si>
  <si>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</si>
  <si>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</si>
  <si>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</si>
  <si>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</si>
  <si>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</si>
  <si>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</si>
  <si>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</si>
  <si>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</si>
  <si>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</si>
  <si>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</si>
  <si>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</si>
  <si>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</si>
  <si>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</si>
  <si>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</si>
  <si>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</si>
  <si>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</si>
  <si>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</si>
  <si>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</si>
  <si>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</si>
  <si>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</si>
  <si>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</si>
  <si>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</si>
  <si>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</si>
  <si>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</si>
  <si>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</si>
  <si>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</si>
  <si>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</si>
  <si>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</si>
  <si>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</si>
  <si>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</si>
  <si>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</si>
  <si>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Coppe</t>
  </si>
  <si>
    <t>"Instituto Alberto Luiz Coimbra"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</si>
  <si>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</si>
  <si>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</si>
  <si>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</si>
  <si>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</si>
  <si>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</si>
  <si>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</si>
  <si>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</si>
  <si>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</si>
  <si>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</si>
  <si>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</si>
  <si>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</si>
  <si>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</si>
  <si>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</si>
  <si>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Campus.01</t>
  </si>
  <si>
    <t>Escola.de.Química</t>
  </si>
  <si>
    <t>Projeto.01</t>
  </si>
  <si>
    <t>"UFRJ - Cidade Universitária - RJ"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</si>
  <si>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</si>
  <si>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</si>
  <si>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</si>
  <si>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</si>
  <si>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</si>
  <si>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</si>
  <si>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"Campus Cidade Universitária de Rio de Janeiro"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</si>
  <si>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</si>
  <si>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</si>
  <si>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</si>
  <si>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</si>
  <si>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</si>
  <si>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</si>
  <si>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</si>
  <si>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</si>
  <si>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</si>
  <si>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</si>
  <si>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</si>
  <si>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</si>
  <si>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</si>
  <si>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</si>
  <si>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</si>
  <si>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</si>
  <si>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</si>
  <si>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</si>
  <si>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</si>
  <si>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</si>
  <si>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</si>
  <si>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</si>
  <si>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</si>
  <si>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</si>
  <si>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</si>
  <si>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</si>
  <si>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</si>
  <si>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</si>
  <si>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</si>
  <si>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</si>
  <si>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</si>
  <si>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</si>
  <si>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</si>
  <si>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</si>
  <si>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</si>
  <si>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</si>
  <si>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</si>
  <si>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</si>
  <si>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</si>
  <si>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</si>
  <si>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</si>
  <si>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</si>
  <si>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</si>
  <si>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</si>
  <si>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</si>
  <si>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</si>
  <si>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</si>
  <si>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</si>
  <si>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</si>
  <si>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</si>
  <si>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</si>
  <si>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</si>
  <si>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</si>
  <si>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</si>
  <si>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</si>
  <si>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</si>
  <si>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</si>
  <si>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</si>
  <si>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</si>
  <si>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</si>
  <si>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</si>
  <si>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</si>
  <si>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</si>
  <si>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</si>
  <si>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</si>
  <si>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</si>
  <si>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</si>
  <si>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</si>
  <si>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</si>
  <si>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</si>
  <si>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</si>
  <si>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</si>
  <si>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</si>
  <si>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</si>
  <si>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</si>
  <si>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</si>
  <si>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</si>
  <si>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</si>
  <si>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</si>
  <si>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</si>
  <si>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</si>
  <si>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</si>
  <si>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</si>
  <si>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</si>
  <si>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</si>
  <si>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</si>
  <si>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</si>
  <si>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</si>
  <si>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</si>
  <si>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</si>
  <si>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</si>
  <si>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</si>
  <si>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</si>
  <si>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</si>
  <si>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</si>
  <si>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</si>
  <si>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</si>
  <si>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</si>
  <si>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</si>
  <si>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</si>
  <si>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</si>
  <si>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</si>
  <si>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</si>
  <si>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</si>
  <si>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</si>
  <si>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 que define o nível da camada superior da água subterrânea.</t>
  </si>
  <si>
    <t>Gabarito.Subterrâneo</t>
  </si>
  <si>
    <t>Gabarito de profundidade. Pode ser usado para definir a cota superior de um projeto subterrâneo, como linha de metrô ou instalações especiais urbanas. Usado como limite de penetração em profundidade.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</si>
  <si>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</si>
  <si>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</si>
  <si>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</si>
  <si>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 que define o nível de um corpo de água natural como o mar ou níveis de crescentes máximas e mínimas de rios ou lagoas. Referência para projetos em zonas litorais ou alagáveis.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</si>
  <si>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</si>
  <si>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</si>
  <si>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Eixos.Estruturais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</si>
  <si>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</si>
  <si>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</si>
  <si>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</si>
  <si>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</si>
  <si>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</si>
  <si>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</si>
  <si>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</si>
  <si>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</si>
  <si>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</si>
  <si>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</si>
  <si>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</si>
  <si>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</si>
  <si>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Local.Esportivo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</si>
  <si>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</si>
  <si>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</si>
  <si>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</si>
  <si>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</si>
  <si>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</si>
  <si>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</si>
  <si>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</si>
  <si>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</si>
  <si>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</si>
  <si>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</si>
  <si>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</si>
  <si>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</si>
  <si>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</si>
  <si>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</si>
  <si>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</si>
  <si>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</si>
  <si>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</si>
  <si>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Zonas.Construtivas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</si>
  <si>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</si>
  <si>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</si>
  <si>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</si>
  <si>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</si>
  <si>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</si>
  <si>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</si>
  <si>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</si>
  <si>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</si>
  <si>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</si>
  <si>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</si>
  <si>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</si>
  <si>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</si>
  <si>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</si>
  <si>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</si>
  <si>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</si>
  <si>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</si>
  <si>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</si>
  <si>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</si>
  <si>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</si>
  <si>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</si>
  <si>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</si>
  <si>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</si>
  <si>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</si>
  <si>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Zona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</si>
  <si>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</si>
  <si>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</si>
  <si>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</si>
  <si>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</si>
  <si>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</si>
  <si>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</si>
  <si>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</si>
  <si>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</si>
  <si>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</si>
  <si>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</si>
  <si>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"-"</t>
  </si>
  <si>
    <t>categoria.revit</t>
  </si>
  <si>
    <t>classe.ifc</t>
  </si>
  <si>
    <t>"Bloco da COPPE"</t>
  </si>
  <si>
    <t>"Campus da UFRJ na Cidade Universitária de Rio de Janeiro"</t>
  </si>
  <si>
    <t>"Bloco do Insituto de Macromoléculas"</t>
  </si>
  <si>
    <t>"OST_Mass"</t>
  </si>
  <si>
    <t>"OST_Levels"</t>
  </si>
  <si>
    <t>"IfcBuildingStorey"</t>
  </si>
  <si>
    <t>"IfcSpace"</t>
  </si>
  <si>
    <t>"[ OST_Rooms , OST_MEPSpaces ]"</t>
  </si>
  <si>
    <t>"Bloco da COPPE na UFRJ"</t>
  </si>
  <si>
    <t>"Bloco da POLI na UFRJ"</t>
  </si>
  <si>
    <t>"Bloco do CCMN na UFRJ"</t>
  </si>
  <si>
    <t>"Bloco do Centro de Tecnologia da UFRJ"</t>
  </si>
  <si>
    <t>"Bloco da POLI A no CT da UFRJ"</t>
  </si>
  <si>
    <t>"Bloco da POLI AB no CT da UFRJ"</t>
  </si>
  <si>
    <t>"Bloco da POLI ABC no CT da UFRJ"</t>
  </si>
  <si>
    <t>"Bloco da POLI B no CT da UFRJ"</t>
  </si>
  <si>
    <t>"Bloco da POLI C no CT da UFRJ"</t>
  </si>
  <si>
    <t>"Bloco da POLI D no CT da UFRJ"</t>
  </si>
  <si>
    <t>"Bloco da POLI-COPPE F no CT da UFRJ"</t>
  </si>
  <si>
    <t>"Bloco da E da Escola de Química no CT da UFRJ"</t>
  </si>
  <si>
    <t>"Bloco da POLI-COPPE G no CT da UFRJ"</t>
  </si>
  <si>
    <t>"Bloco da POLI-COPPE H no CT da UFRJ"</t>
  </si>
  <si>
    <t>"Bloco da POLI-COPPE I no CT da UFRJ"</t>
  </si>
  <si>
    <t>"Bloco K da POLI-COPPE na UFRJ"</t>
  </si>
  <si>
    <t>"Bloco L da COPPE na UFRJ"</t>
  </si>
  <si>
    <t>"Bloco M da COPPE na UFRJ"</t>
  </si>
  <si>
    <t>"Bloco N da COPPE na UFRJ"</t>
  </si>
  <si>
    <t>"Bloco O da COPPE na UFRJ"</t>
  </si>
  <si>
    <t>"Bloco P da COPPE na UFRJ"</t>
  </si>
  <si>
    <t>"Bloco Q da COPPE na UFRJ"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</si>
  <si>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</si>
  <si>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</si>
  <si>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</si>
  <si>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</si>
  <si>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</si>
  <si>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nome.do.ambiente</t>
  </si>
  <si>
    <t>"Laboratório de Informática"</t>
  </si>
  <si>
    <t>código.do.ambiente</t>
  </si>
  <si>
    <t>"D104"</t>
  </si>
  <si>
    <t>"LIG da POLI dedicado ao ensino de Expressão Gráfica"</t>
  </si>
  <si>
    <t>Sala.D101</t>
  </si>
  <si>
    <t>"Departamento de Expressão Gráfica"</t>
  </si>
  <si>
    <t>"D101"</t>
  </si>
  <si>
    <t>"Departamento de Expressão Gráfica da Escola Politécnica"</t>
  </si>
  <si>
    <t>Elementos.Horizontais</t>
  </si>
  <si>
    <t>Elementos.Prediais</t>
  </si>
  <si>
    <t>Cotas.de.Fundações</t>
  </si>
  <si>
    <t>Elementos.Estruturantes</t>
  </si>
  <si>
    <t>Gestão</t>
  </si>
  <si>
    <t>Produzido</t>
  </si>
  <si>
    <t>Informação</t>
  </si>
  <si>
    <t>Contêiner</t>
  </si>
  <si>
    <t>Define um contêiner de informação de acordo à norma NBR 19650-1.</t>
  </si>
  <si>
    <t>Define un contenedor de información de acuerdo con la norma NBR 19650-1.</t>
  </si>
  <si>
    <t>Defines an information container in accordance with the NBR 19650-1 standard.</t>
  </si>
  <si>
    <t>Vistas.do.Projeto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</si>
  <si>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</si>
  <si>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</si>
  <si>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</si>
  <si>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</si>
  <si>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</si>
  <si>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</si>
  <si>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</si>
  <si>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</si>
  <si>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</si>
  <si>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</si>
  <si>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</si>
  <si>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</si>
  <si>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</si>
  <si>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Quadra.Esportiva</t>
  </si>
  <si>
    <t>Piscina.Esportiva</t>
  </si>
  <si>
    <t>Vestiário.Esportivo</t>
  </si>
  <si>
    <t>[ 4A.01 ]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</si>
  <si>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</si>
  <si>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</si>
  <si>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</si>
  <si>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</si>
  <si>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</si>
  <si>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</si>
  <si>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</si>
  <si>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</si>
  <si>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</si>
  <si>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</si>
  <si>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</si>
  <si>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</si>
  <si>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</si>
  <si>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</si>
  <si>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</si>
  <si>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</si>
  <si>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</si>
  <si>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</si>
  <si>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</si>
  <si>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</si>
  <si>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</si>
  <si>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</si>
  <si>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</si>
  <si>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</si>
  <si>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</si>
  <si>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</si>
  <si>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</si>
  <si>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</si>
  <si>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</si>
  <si>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</si>
  <si>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</si>
  <si>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Elementos.Zonais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</si>
  <si>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</si>
  <si>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</si>
  <si>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</si>
  <si>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</si>
  <si>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</si>
  <si>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</si>
  <si>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</si>
  <si>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</si>
  <si>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</si>
  <si>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</si>
  <si>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</si>
  <si>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</si>
  <si>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</si>
  <si>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</si>
  <si>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</si>
  <si>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</si>
  <si>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</si>
  <si>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"Sala de aula de Desenho com pranchetas"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</si>
  <si>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</si>
  <si>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</si>
  <si>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</si>
  <si>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</si>
  <si>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</si>
  <si>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</si>
  <si>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</si>
  <si>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Tipos.de.Andares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</si>
  <si>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</si>
  <si>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</si>
  <si>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</si>
  <si>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</si>
  <si>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</si>
  <si>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</si>
  <si>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</si>
  <si>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</si>
  <si>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</si>
  <si>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</si>
  <si>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</si>
  <si>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</si>
  <si>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</si>
  <si>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</si>
  <si>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</si>
  <si>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</si>
  <si>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</si>
  <si>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</si>
  <si>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Espacialidade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</si>
  <si>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</si>
  <si>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</si>
  <si>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</si>
  <si>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</si>
  <si>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</si>
  <si>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</si>
  <si>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</si>
  <si>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</si>
  <si>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</si>
  <si>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</si>
  <si>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</si>
  <si>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Cotas.Gabaritadas</t>
  </si>
  <si>
    <t>Elementos.de.Elevações</t>
  </si>
  <si>
    <t>Ambientes.Gerais</t>
  </si>
  <si>
    <t>Pavto1</t>
  </si>
  <si>
    <t>Pavto2</t>
  </si>
  <si>
    <t>Pavto3</t>
  </si>
  <si>
    <t>Pavto4</t>
  </si>
  <si>
    <t>"Pavimento 1"</t>
  </si>
  <si>
    <t>"Pavimento 2"</t>
  </si>
  <si>
    <t>"Pavimento 3"</t>
  </si>
  <si>
    <t>"Pavimento 4"</t>
  </si>
  <si>
    <t>"1° Pavimento do Edifício"</t>
  </si>
  <si>
    <t>"2° Pavimento do Edifício"</t>
  </si>
  <si>
    <t>"3° Pavimento do Edifício"</t>
  </si>
  <si>
    <t>"4° Pavimento do Edifício"</t>
  </si>
  <si>
    <t>"Simbolo de tipo de Level usado em Revit"</t>
  </si>
  <si>
    <t>Sala.Trabalho</t>
  </si>
  <si>
    <t>Sala.Vendas</t>
  </si>
  <si>
    <t>Sala.Logística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</si>
  <si>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</si>
  <si>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</si>
  <si>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</si>
  <si>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</si>
  <si>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</si>
  <si>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>Sala.Acústica</t>
  </si>
  <si>
    <t>Sala.Anecóica</t>
  </si>
  <si>
    <t>Sala.Grande</t>
  </si>
  <si>
    <t>Sala.Expositiva</t>
  </si>
  <si>
    <t>Sala.Teca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</si>
  <si>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</si>
  <si>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</si>
  <si>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Arquibancada.Esportiva</t>
  </si>
  <si>
    <t>Sala.Infantil</t>
  </si>
  <si>
    <t>Sala.Ensino</t>
  </si>
  <si>
    <t>Sala.Ensino.Artístico</t>
  </si>
  <si>
    <t>Sala.Ensino.Científico</t>
  </si>
  <si>
    <t>Sala.Ensino.Informática</t>
  </si>
  <si>
    <t>Sala.Ensino.Química</t>
  </si>
  <si>
    <t>Sala.Ensino.Física</t>
  </si>
  <si>
    <t>Sala.Ensino.Música</t>
  </si>
  <si>
    <t>Sala.Ensino.FabLab</t>
  </si>
  <si>
    <t>Sala.Recreativo</t>
  </si>
  <si>
    <t>Sala.Social</t>
  </si>
  <si>
    <t>Sala.Intimo</t>
  </si>
  <si>
    <t>Sala.Higiene</t>
  </si>
  <si>
    <t>Sala.Serviço</t>
  </si>
  <si>
    <t xml:space="preserve">Sala.Lazer </t>
  </si>
  <si>
    <t>Sala.Profissional</t>
  </si>
  <si>
    <t>Sala.Análises</t>
  </si>
  <si>
    <t>Sala.Quirúrgico</t>
  </si>
  <si>
    <t>Sala.Triagem</t>
  </si>
  <si>
    <t>Sala.Veicular</t>
  </si>
  <si>
    <t>Sala.Espera</t>
  </si>
  <si>
    <t>Sanitário.WC</t>
  </si>
  <si>
    <t>Sanitário.PNE</t>
  </si>
  <si>
    <t>Manufatura</t>
  </si>
  <si>
    <t>Sala.Fria</t>
  </si>
  <si>
    <t>Siderúrgica</t>
  </si>
  <si>
    <t>Sala.Telemática</t>
  </si>
  <si>
    <t>Sala.Reverberante</t>
  </si>
  <si>
    <t>Sanitários.Coletivos</t>
  </si>
  <si>
    <t>Sala.Terapia</t>
  </si>
  <si>
    <t>Sala.Emergência</t>
  </si>
  <si>
    <t>Sala.Enfermagem</t>
  </si>
  <si>
    <t>Sala.Consultório</t>
  </si>
  <si>
    <t>Sala.Saúde</t>
  </si>
  <si>
    <t>Sala.Hidroterapia</t>
  </si>
  <si>
    <t>Sala.UTI</t>
  </si>
  <si>
    <t>Sala.Internação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</si>
  <si>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</si>
  <si>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</si>
  <si>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</si>
  <si>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</si>
  <si>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</si>
  <si>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</si>
  <si>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</si>
  <si>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</si>
  <si>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</si>
  <si>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</si>
  <si>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</si>
  <si>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</si>
  <si>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</si>
  <si>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</si>
  <si>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Sala.Ensino.Técnico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</si>
  <si>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</si>
  <si>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</si>
  <si>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</si>
  <si>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</si>
  <si>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</si>
  <si>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</si>
  <si>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</si>
  <si>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</si>
  <si>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</si>
  <si>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</si>
  <si>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</si>
  <si>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</si>
  <si>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</si>
  <si>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Blocos.Construídos</t>
  </si>
  <si>
    <t>Prédio.Casa</t>
  </si>
  <si>
    <t>Representa um Bloco Edificado que é uma Casa ou Unidade Residencial Individual.</t>
  </si>
  <si>
    <t>tipo.revit</t>
  </si>
  <si>
    <t>identificador</t>
  </si>
  <si>
    <t>"Nome da familia Room Tag usada em Revit"</t>
  </si>
  <si>
    <t>"Nome da Família de Massa ou Massa InPlace dada em Revit"</t>
  </si>
  <si>
    <t>"ID da Instância ou GlobalID"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</si>
  <si>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</si>
  <si>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</si>
  <si>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</si>
  <si>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</si>
  <si>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</si>
  <si>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</si>
  <si>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</si>
  <si>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Eixos.de.Simetrias</t>
  </si>
  <si>
    <t>Sala.Manutenção</t>
  </si>
  <si>
    <t>Sala.Gastronômica</t>
  </si>
  <si>
    <t>Pista.Esportiva</t>
  </si>
  <si>
    <t>Espaços arquitetônicos com tratamento acústico especializado como estúdios de gravação, Espaços arquitetônicos de radio e TV, etc.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</si>
  <si>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</si>
  <si>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</si>
  <si>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Grandes como plateias de cinema e teatro, etc.</t>
  </si>
  <si>
    <t>Espaços arquitetônicos dimensionados e equipados para expor obras de arte ou produtos, para museus, exposições, etc.</t>
  </si>
  <si>
    <t>Espaços arquitetônicos dimensionados e equipados para guardar produtos culturais como bibliotecas, hemerotecas, mapotecas, discotecas,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</si>
  <si>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</si>
  <si>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</si>
  <si>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</si>
  <si>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</si>
  <si>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</si>
  <si>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</si>
  <si>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</si>
  <si>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</si>
  <si>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</si>
  <si>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</si>
  <si>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</si>
  <si>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</si>
  <si>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</si>
  <si>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</si>
  <si>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Venda comercial de atendimento ao público como bilheterias ou venda de produtos.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</si>
  <si>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</si>
  <si>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</si>
  <si>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</si>
  <si>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</si>
  <si>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</si>
  <si>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</si>
  <si>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Atividades gerais hospitalares.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</si>
  <si>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</si>
  <si>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</si>
  <si>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Internação.</t>
  </si>
  <si>
    <t>Espaços arquitetônicos dimensionados e equipados para atividade hospitalar para Internação de Cuidados Intensivos.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</si>
  <si>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</si>
  <si>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</si>
  <si>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</si>
  <si>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</si>
  <si>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 hospitalar para realizar Movimentação Veicular.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</si>
  <si>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</si>
  <si>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</si>
  <si>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</si>
  <si>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</si>
  <si>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</si>
  <si>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Sala.Ensino.Biologia</t>
  </si>
  <si>
    <t>Ambientes.Gerais.Especializados</t>
  </si>
  <si>
    <t>Ambientes.Esportivos</t>
  </si>
  <si>
    <t>Ambientes.Comerciais</t>
  </si>
  <si>
    <t>Ambientes.Habitacionais</t>
  </si>
  <si>
    <t>Ambientes.Hospitalares</t>
  </si>
  <si>
    <t>Ambientes.de.Risco</t>
  </si>
  <si>
    <t>Ambientes.Educativos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</si>
  <si>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</si>
  <si>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</si>
  <si>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</si>
  <si>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</si>
  <si>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</si>
  <si>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</si>
  <si>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</si>
  <si>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</si>
  <si>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Área.Construível.Exterior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</si>
  <si>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</si>
  <si>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</si>
  <si>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</si>
  <si>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</si>
  <si>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</si>
  <si>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</si>
  <si>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</si>
  <si>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</si>
  <si>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</si>
  <si>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Ensino ou Pesquisa de Informática.</t>
  </si>
  <si>
    <t>Espaços arquitetônicos dimensionados e equipados para Ensino ou Pesquisa de Química.</t>
  </si>
  <si>
    <t>Espaços arquitetônicos dimensionados e equipados para Ensino ou Pesquisa de Física.</t>
  </si>
  <si>
    <t>Espaços arquitetônicos dimensionados e equipados para Atividades Escolares Recreativas.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</si>
  <si>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</si>
  <si>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</si>
  <si>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</si>
  <si>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</si>
  <si>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</si>
  <si>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</si>
  <si>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</si>
  <si>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</si>
  <si>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infantiles.</t>
  </si>
  <si>
    <t>Espaços arquitetônicos dimensionados e equipados para Atividades de Ensino e Pesquisa de Ciências.</t>
  </si>
  <si>
    <t>Espaços arquitetônicos dimensionados e equipados para Atividades de Ensino e Pesquisa.</t>
  </si>
  <si>
    <t>Espaços arquitetônicos dimensionados e equipados para Atividades de Ensino e Pesquisa Artística relacionadas à plástica, como pintura, escultura, etc.</t>
  </si>
  <si>
    <t>Espaços arquitetônicos dimensionados e equipados para Ensino ou Pesquisa de Habilidades Técnicas gráficas, eletrônicas, etc.</t>
  </si>
  <si>
    <t>Espaços arquitetônicos dimensionados e equipados para Ensino ou Pesquisa de Biologia.</t>
  </si>
  <si>
    <t>Espaços arquitetônicos dimensionados e equipados para Ensino ou Pesquisa de Música ou Artes Performáticas.</t>
  </si>
  <si>
    <t>Espaços arquitetônicos dimensionados e equipados para Ensino ou Pesquisa em fabricação robótica, impressão 3D, corte a laser e outras tecnologias de fabricação.</t>
  </si>
  <si>
    <t>Divisas.e.Entorno</t>
  </si>
  <si>
    <t>"Contêiner do Inventário de todas as informações espaciais do Projeto"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</si>
  <si>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</si>
  <si>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</si>
  <si>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</si>
  <si>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</si>
  <si>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</si>
  <si>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</si>
  <si>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</si>
  <si>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</si>
  <si>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Lab.Biossegurança.NB1</t>
  </si>
  <si>
    <t>Lab.Biossegurança.NB2</t>
  </si>
  <si>
    <t>Lab.Biossegurança.NB3</t>
  </si>
  <si>
    <t>Lab.Biossegurança.NB4</t>
  </si>
  <si>
    <t>Lab.Biossegurança.NB1 or Lab.Biossegurança.NB2 or Lab.Biossegurança.NB4 or Lab.Biossegurança.NB4</t>
  </si>
  <si>
    <t>Zona.de.Biossegurança</t>
  </si>
  <si>
    <t>Zona espacial é usada para representar uma zona de biossegurança, normalmente onde a ventilação é crítica.</t>
  </si>
  <si>
    <t>Sala.Blindada</t>
  </si>
  <si>
    <t>Espaços arquitetônicos dimensionados e equipados para Atividades que devam permanecer blindadas pelo uso de explosivos ou emissores de radiação.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</si>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</sst>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1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6" borderId="4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/>
    </xf>
    <xf numFmtId="0" fontId="2" fillId="0" borderId="0" xfId="0" applyFont="1"/>
    <xf numFmtId="0" fontId="7" fillId="5" borderId="6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5" borderId="3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5" borderId="4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7" borderId="4" xfId="0" applyFont="1" applyFill="1" applyBorder="1" applyAlignment="1">
      <alignment vertical="center"/>
    </xf>
    <xf numFmtId="0" fontId="2" fillId="8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9" borderId="4" xfId="0" applyFont="1" applyFill="1" applyBorder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9" fillId="9" borderId="4" xfId="0" applyFont="1" applyFill="1" applyBorder="1" applyAlignment="1">
      <alignment horizontal="left" vertical="center" wrapText="1"/>
    </xf>
    <xf numFmtId="0" fontId="4" fillId="13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/>
    </xf>
    <xf numFmtId="0" fontId="6" fillId="12" borderId="4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4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center" vertical="center"/>
    </xf>
    <xf numFmtId="0" fontId="2" fillId="15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2" fillId="6" borderId="4" xfId="0" applyFont="1" applyFill="1" applyBorder="1" applyAlignment="1">
      <alignment vertical="center"/>
    </xf>
    <xf numFmtId="0" fontId="6" fillId="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6" fillId="18" borderId="4" xfId="0" applyFont="1" applyFill="1" applyBorder="1" applyAlignment="1">
      <alignment horizontal="left" vertical="center" wrapText="1"/>
    </xf>
    <xf numFmtId="0" fontId="4" fillId="10" borderId="4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9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2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6" borderId="1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vertical="center"/>
    </xf>
    <xf numFmtId="0" fontId="4" fillId="16" borderId="4" xfId="0" applyFont="1" applyFill="1" applyBorder="1" applyAlignment="1">
      <alignment vertical="center"/>
    </xf>
  </cellXfs>
  <cellStyles count="1">
    <cellStyle name="Normal" xfId="0" builtinId="0"/>
  </cellStyles>
  <dxfs count="102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14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4"/>
  <cols>
    <col min="1" max="1" width="9.3046875" customWidth="1"/>
    <col min="2" max="2" width="51.69140625" bestFit="1" customWidth="1"/>
    <col min="3" max="3" width="3.3828125" style="59" bestFit="1" customWidth="1"/>
  </cols>
  <sheetData>
    <row r="1" spans="1:3" ht="14.25" customHeight="1" x14ac:dyDescent="0.4">
      <c r="A1" s="19" t="s">
        <v>47</v>
      </c>
      <c r="B1" s="19" t="s">
        <v>48</v>
      </c>
      <c r="C1" s="57" t="s">
        <v>286</v>
      </c>
    </row>
    <row r="2" spans="1:3" ht="9" customHeight="1" x14ac:dyDescent="0.4">
      <c r="A2" s="20" t="s">
        <v>49</v>
      </c>
      <c r="B2" s="20" t="s">
        <v>50</v>
      </c>
      <c r="C2" s="58" t="s">
        <v>287</v>
      </c>
    </row>
    <row r="3" spans="1:3" ht="9" customHeight="1" x14ac:dyDescent="0.4">
      <c r="A3" s="20" t="s">
        <v>51</v>
      </c>
      <c r="B3" s="20" t="s">
        <v>400</v>
      </c>
      <c r="C3" s="58" t="s">
        <v>287</v>
      </c>
    </row>
    <row r="4" spans="1:3" ht="9" customHeight="1" x14ac:dyDescent="0.4">
      <c r="A4" s="21" t="s">
        <v>52</v>
      </c>
      <c r="B4" s="21" t="s">
        <v>33</v>
      </c>
      <c r="C4" s="58" t="s">
        <v>287</v>
      </c>
    </row>
    <row r="5" spans="1:3" ht="9" customHeight="1" x14ac:dyDescent="0.4">
      <c r="A5" s="21" t="s">
        <v>53</v>
      </c>
      <c r="B5" s="21" t="str">
        <f>_xlfn.CONCAT(B4,"Prop")</f>
        <v>BIMProp</v>
      </c>
      <c r="C5" s="58" t="s">
        <v>287</v>
      </c>
    </row>
    <row r="6" spans="1:3" ht="9" customHeight="1" x14ac:dyDescent="0.4">
      <c r="A6" s="21" t="s">
        <v>54</v>
      </c>
      <c r="B6" s="21" t="str">
        <f>_xlfn.CONCAT(B4,"Data")</f>
        <v>BIMData</v>
      </c>
      <c r="C6" s="58" t="s">
        <v>287</v>
      </c>
    </row>
    <row r="7" spans="1:3" ht="9" customHeight="1" x14ac:dyDescent="0.4">
      <c r="A7" s="21" t="s">
        <v>55</v>
      </c>
      <c r="B7" s="22" t="s">
        <v>56</v>
      </c>
      <c r="C7" s="58" t="s">
        <v>287</v>
      </c>
    </row>
    <row r="8" spans="1:3" ht="9" customHeight="1" x14ac:dyDescent="0.4">
      <c r="A8" s="21" t="s">
        <v>57</v>
      </c>
      <c r="B8" s="21" t="s">
        <v>284</v>
      </c>
      <c r="C8" s="58" t="s">
        <v>287</v>
      </c>
    </row>
    <row r="9" spans="1:3" ht="9" customHeight="1" x14ac:dyDescent="0.4">
      <c r="A9" s="21" t="s">
        <v>58</v>
      </c>
      <c r="B9" s="21" t="s">
        <v>59</v>
      </c>
      <c r="C9" s="58" t="s">
        <v>287</v>
      </c>
    </row>
    <row r="10" spans="1:3" ht="9" customHeight="1" x14ac:dyDescent="0.4">
      <c r="A10" s="21" t="s">
        <v>60</v>
      </c>
      <c r="B10" s="21" t="s">
        <v>61</v>
      </c>
      <c r="C10" s="58" t="s">
        <v>287</v>
      </c>
    </row>
    <row r="11" spans="1:3" ht="9" customHeight="1" x14ac:dyDescent="0.4">
      <c r="A11" s="21" t="s">
        <v>62</v>
      </c>
      <c r="B11" s="21" t="s">
        <v>61</v>
      </c>
      <c r="C11" s="58" t="s">
        <v>287</v>
      </c>
    </row>
    <row r="12" spans="1:3" ht="9" customHeight="1" x14ac:dyDescent="0.4">
      <c r="A12" s="21" t="s">
        <v>63</v>
      </c>
      <c r="B12" s="21" t="s">
        <v>61</v>
      </c>
      <c r="C12" s="58" t="s">
        <v>287</v>
      </c>
    </row>
    <row r="13" spans="1:3" ht="9" customHeight="1" x14ac:dyDescent="0.4">
      <c r="A13" s="21" t="s">
        <v>64</v>
      </c>
      <c r="B13" s="21" t="s">
        <v>61</v>
      </c>
      <c r="C13" s="58" t="s">
        <v>287</v>
      </c>
    </row>
    <row r="14" spans="1:3" ht="9" customHeight="1" x14ac:dyDescent="0.4">
      <c r="A14" s="21" t="s">
        <v>65</v>
      </c>
      <c r="B14" s="21" t="s">
        <v>61</v>
      </c>
      <c r="C14" s="58" t="s">
        <v>287</v>
      </c>
    </row>
    <row r="15" spans="1:3" ht="9" customHeight="1" x14ac:dyDescent="0.4">
      <c r="A15" s="21" t="s">
        <v>66</v>
      </c>
      <c r="B15" s="21" t="s">
        <v>61</v>
      </c>
      <c r="C15" s="58" t="s">
        <v>287</v>
      </c>
    </row>
    <row r="16" spans="1:3" ht="9" customHeight="1" x14ac:dyDescent="0.4">
      <c r="A16" s="21" t="s">
        <v>67</v>
      </c>
      <c r="B16" s="21" t="s">
        <v>61</v>
      </c>
      <c r="C16" s="58" t="s">
        <v>287</v>
      </c>
    </row>
    <row r="17" spans="1:3" ht="9" customHeight="1" x14ac:dyDescent="0.4">
      <c r="A17" s="21" t="s">
        <v>68</v>
      </c>
      <c r="B17" s="21" t="s">
        <v>282</v>
      </c>
      <c r="C17" s="58" t="s">
        <v>287</v>
      </c>
    </row>
    <row r="18" spans="1:3" ht="9" customHeight="1" x14ac:dyDescent="0.4">
      <c r="A18" s="21" t="s">
        <v>69</v>
      </c>
      <c r="B18" s="23">
        <f ca="1">NOW()</f>
        <v>46138.715749537034</v>
      </c>
      <c r="C18" s="58" t="s">
        <v>287</v>
      </c>
    </row>
    <row r="19" spans="1:3" ht="9" customHeight="1" x14ac:dyDescent="0.4">
      <c r="A19" s="21" t="s">
        <v>323</v>
      </c>
      <c r="B19" s="23" t="s">
        <v>326</v>
      </c>
      <c r="C19" s="58" t="s">
        <v>287</v>
      </c>
    </row>
    <row r="20" spans="1:3" ht="9" customHeight="1" x14ac:dyDescent="0.4">
      <c r="A20" s="21" t="s">
        <v>324</v>
      </c>
      <c r="B20" s="23" t="str">
        <f>_xlfn.TRANSLATE(B19,"pt","es")</f>
        <v>Traducciones al español e inglés incorporadas. Las traducciones deben revisarse constantemente</v>
      </c>
      <c r="C20" s="58" t="s">
        <v>288</v>
      </c>
    </row>
    <row r="21" spans="1:3" ht="9" customHeight="1" x14ac:dyDescent="0.4">
      <c r="A21" s="21" t="s">
        <v>325</v>
      </c>
      <c r="B21" s="23" t="str">
        <f>_xlfn.TRANSLATE(B19,"pt","es")</f>
        <v>Traducciones al español e inglés incorporadas. Las traducciones deben revisarse constantemente</v>
      </c>
      <c r="C21" s="58" t="s">
        <v>289</v>
      </c>
    </row>
    <row r="22" spans="1:3" ht="9" customHeight="1" x14ac:dyDescent="0.4">
      <c r="A22" s="21" t="s">
        <v>70</v>
      </c>
      <c r="B22" s="21" t="s">
        <v>61</v>
      </c>
      <c r="C22" s="58" t="s">
        <v>287</v>
      </c>
    </row>
    <row r="23" spans="1:3" ht="9" customHeight="1" x14ac:dyDescent="0.4">
      <c r="A23" s="21" t="s">
        <v>71</v>
      </c>
      <c r="B23" s="21" t="s">
        <v>61</v>
      </c>
      <c r="C23" s="58" t="s">
        <v>287</v>
      </c>
    </row>
    <row r="24" spans="1:3" ht="9" customHeight="1" x14ac:dyDescent="0.4">
      <c r="A24" s="21" t="s">
        <v>72</v>
      </c>
      <c r="B24" s="24" t="s">
        <v>401</v>
      </c>
      <c r="C24" s="58" t="s">
        <v>287</v>
      </c>
    </row>
    <row r="25" spans="1:3" ht="9" customHeight="1" x14ac:dyDescent="0.4">
      <c r="A25" s="21" t="s">
        <v>73</v>
      </c>
      <c r="B25" s="24" t="s">
        <v>402</v>
      </c>
      <c r="C25" s="58" t="s">
        <v>288</v>
      </c>
    </row>
    <row r="26" spans="1:3" ht="9" customHeight="1" x14ac:dyDescent="0.4">
      <c r="A26" s="21" t="s">
        <v>285</v>
      </c>
      <c r="B26" s="24" t="str">
        <f>_xlfn.TRANSLATE(B24,"pt","en")</f>
        <v>Formalize elements of the BIM project. Unidades_Funcionais Zones and Environments. Environments of the UFRJ Technology Center</v>
      </c>
      <c r="C26" s="58" t="s">
        <v>289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59"/>
  <sheetViews>
    <sheetView tabSelected="1" zoomScale="265" zoomScaleNormal="265" workbookViewId="0">
      <pane ySplit="1" topLeftCell="A151" activePane="bottomLeft" state="frozen"/>
      <selection pane="bottomLeft" activeCell="A2" sqref="A2:A159"/>
    </sheetView>
  </sheetViews>
  <sheetFormatPr defaultColWidth="9.15234375" defaultRowHeight="8.25" customHeight="1" x14ac:dyDescent="0.35"/>
  <cols>
    <col min="1" max="1" width="3.23046875" style="3" customWidth="1"/>
    <col min="2" max="2" width="4.53515625" style="15" customWidth="1"/>
    <col min="3" max="3" width="7.3828125" style="3" customWidth="1"/>
    <col min="4" max="4" width="10.921875" style="15" customWidth="1"/>
    <col min="5" max="5" width="13.61328125" style="3" customWidth="1"/>
    <col min="6" max="6" width="12.3046875" style="15" customWidth="1"/>
    <col min="7" max="10" width="6.69140625" style="3" customWidth="1"/>
    <col min="11" max="11" width="40.53515625" style="3" bestFit="1" customWidth="1"/>
    <col min="12" max="12" width="6.84375" style="15" customWidth="1"/>
    <col min="13" max="13" width="11.07421875" style="14" customWidth="1"/>
    <col min="14" max="14" width="9.53515625" style="3" customWidth="1"/>
    <col min="15" max="15" width="12.3046875" style="3" customWidth="1"/>
    <col min="16" max="16" width="64.53515625" style="15" customWidth="1"/>
    <col min="17" max="17" width="83.84375" style="15" bestFit="1" customWidth="1"/>
    <col min="18" max="18" width="8.15234375" style="3" customWidth="1"/>
    <col min="19" max="19" width="5.84375" style="3" bestFit="1" customWidth="1"/>
    <col min="20" max="20" width="11.07421875" style="15" customWidth="1"/>
    <col min="21" max="21" width="10.765625" style="3" customWidth="1"/>
    <col min="22" max="22" width="6.3828125" style="14" customWidth="1"/>
    <col min="23" max="23" width="7.23046875" style="37" customWidth="1"/>
    <col min="24" max="24" width="26" style="38" bestFit="1" customWidth="1"/>
    <col min="25" max="25" width="19.765625" style="38" customWidth="1"/>
    <col min="26" max="26" width="14.53515625" style="38" customWidth="1"/>
    <col min="27" max="27" width="70.84375" style="3" bestFit="1" customWidth="1"/>
    <col min="28" max="16384" width="9.15234375" style="3"/>
  </cols>
  <sheetData>
    <row r="1" spans="1:27" s="33" customFormat="1" ht="48" customHeight="1" x14ac:dyDescent="0.4">
      <c r="A1" s="30">
        <v>0</v>
      </c>
      <c r="B1" s="31" t="s">
        <v>44</v>
      </c>
      <c r="C1" s="31" t="s">
        <v>42</v>
      </c>
      <c r="D1" s="31" t="s">
        <v>43</v>
      </c>
      <c r="E1" s="31" t="s">
        <v>41</v>
      </c>
      <c r="F1" s="31" t="s">
        <v>37</v>
      </c>
      <c r="G1" s="32" t="s">
        <v>0</v>
      </c>
      <c r="H1" s="32" t="s">
        <v>1</v>
      </c>
      <c r="I1" s="32" t="s">
        <v>2</v>
      </c>
      <c r="J1" s="32" t="s">
        <v>3</v>
      </c>
      <c r="K1" s="32" t="s">
        <v>4</v>
      </c>
      <c r="L1" s="18" t="s">
        <v>5</v>
      </c>
      <c r="M1" s="18" t="s">
        <v>6</v>
      </c>
      <c r="N1" s="18" t="s">
        <v>7</v>
      </c>
      <c r="O1" s="18" t="s">
        <v>8</v>
      </c>
      <c r="P1" s="18" t="s">
        <v>38</v>
      </c>
      <c r="Q1" s="18" t="s">
        <v>45</v>
      </c>
      <c r="R1" s="18" t="s">
        <v>40</v>
      </c>
      <c r="S1" s="18" t="s">
        <v>34</v>
      </c>
      <c r="T1" s="18" t="s">
        <v>39</v>
      </c>
      <c r="U1" s="18" t="s">
        <v>36</v>
      </c>
      <c r="V1" s="62" t="s">
        <v>35</v>
      </c>
      <c r="W1" s="35" t="s">
        <v>9</v>
      </c>
      <c r="X1" s="36" t="s">
        <v>185</v>
      </c>
      <c r="Y1" s="36" t="s">
        <v>186</v>
      </c>
      <c r="Z1" s="36" t="s">
        <v>187</v>
      </c>
      <c r="AA1" s="56" t="s">
        <v>283</v>
      </c>
    </row>
    <row r="2" spans="1:27" customFormat="1" ht="6.65" customHeight="1" x14ac:dyDescent="0.4">
      <c r="A2" s="39">
        <v>2</v>
      </c>
      <c r="B2" s="40" t="s">
        <v>81</v>
      </c>
      <c r="C2" s="60" t="s">
        <v>341</v>
      </c>
      <c r="D2" s="40" t="s">
        <v>342</v>
      </c>
      <c r="E2" s="40" t="s">
        <v>343</v>
      </c>
      <c r="F2" s="41" t="s">
        <v>344</v>
      </c>
      <c r="G2" s="42" t="s">
        <v>10</v>
      </c>
      <c r="H2" s="42" t="s">
        <v>10</v>
      </c>
      <c r="I2" s="42" t="s">
        <v>10</v>
      </c>
      <c r="J2" s="42" t="s">
        <v>10</v>
      </c>
      <c r="K2" s="42" t="s">
        <v>10</v>
      </c>
      <c r="L2" s="43" t="str">
        <f>CONCATENATE("", C2)</f>
        <v>Gestão</v>
      </c>
      <c r="M2" s="43" t="str">
        <f>CONCATENATE("", D2)</f>
        <v>Produzido</v>
      </c>
      <c r="N2" s="43" t="str">
        <f>(SUBSTITUTE(SUBSTITUTE(CONCATENATE("",E2),"."," ")," De "," de "))</f>
        <v>Informação</v>
      </c>
      <c r="O2" s="43" t="str">
        <f>(SUBSTITUTE(SUBSTITUTE(CONCATENATE("",F2),"."," ")," De "," de "))</f>
        <v>Contêiner</v>
      </c>
      <c r="P2" s="44" t="s">
        <v>345</v>
      </c>
      <c r="Q2" s="44" t="s">
        <v>346</v>
      </c>
      <c r="R2" s="45" t="s">
        <v>10</v>
      </c>
      <c r="S2" s="46" t="str">
        <f>SUBSTITUTE(C2, ".", " ")</f>
        <v>Gestão</v>
      </c>
      <c r="T2" s="46" t="str">
        <f>SUBSTITUTE(D2, ".", " ")</f>
        <v>Produzido</v>
      </c>
      <c r="U2" s="46" t="str">
        <f>SUBSTITUTE(E2, ".", " ")</f>
        <v>Informação</v>
      </c>
      <c r="V2" s="45" t="str">
        <f t="shared" ref="V2" si="0">SUBSTITUTE(C2, "_", " ")</f>
        <v>Gestão</v>
      </c>
      <c r="W2" s="2" t="str">
        <f>CONCATENATE("Key-ESP-",A2)</f>
        <v>Key-ESP-2</v>
      </c>
      <c r="X2" s="44" t="s">
        <v>10</v>
      </c>
      <c r="Y2" s="44" t="s">
        <v>10</v>
      </c>
      <c r="Z2" s="45" t="s">
        <v>10</v>
      </c>
      <c r="AA2" s="44" t="s">
        <v>347</v>
      </c>
    </row>
    <row r="3" spans="1:27" customFormat="1" ht="6.65" customHeight="1" x14ac:dyDescent="0.4">
      <c r="A3" s="39">
        <v>3</v>
      </c>
      <c r="B3" s="40" t="s">
        <v>81</v>
      </c>
      <c r="C3" s="40" t="s">
        <v>442</v>
      </c>
      <c r="D3" s="40" t="s">
        <v>337</v>
      </c>
      <c r="E3" s="40" t="s">
        <v>423</v>
      </c>
      <c r="F3" s="41" t="s">
        <v>189</v>
      </c>
      <c r="G3" s="42" t="s">
        <v>10</v>
      </c>
      <c r="H3" s="42" t="s">
        <v>10</v>
      </c>
      <c r="I3" s="42" t="s">
        <v>10</v>
      </c>
      <c r="J3" s="42" t="s">
        <v>10</v>
      </c>
      <c r="K3" s="42" t="s">
        <v>10</v>
      </c>
      <c r="L3" s="43" t="str">
        <f t="shared" ref="L3:L82" si="1">CONCATENATE("", C3)</f>
        <v>Espacialidade</v>
      </c>
      <c r="M3" s="43" t="str">
        <f t="shared" ref="M3:M82" si="2">CONCATENATE("", D3)</f>
        <v>Elementos.Horizontais</v>
      </c>
      <c r="N3" s="43" t="str">
        <f t="shared" ref="N3:O19" si="3">(SUBSTITUTE(SUBSTITUTE(CONCATENATE("",E3),"."," ")," De "," de "))</f>
        <v>Tipos de Andares</v>
      </c>
      <c r="O3" s="43" t="str">
        <f t="shared" si="3"/>
        <v>Andar Cobertura</v>
      </c>
      <c r="P3" s="44" t="s">
        <v>190</v>
      </c>
      <c r="Q3" s="44" t="str">
        <f ca="1">_xlfn.TRANSLATE(P3,"pt","es")</f>
        <v>Planta del edificio.</v>
      </c>
      <c r="R3" s="45" t="s">
        <v>10</v>
      </c>
      <c r="S3" s="46" t="str">
        <f t="shared" ref="S3:U41" si="4">SUBSTITUTE(C3, ".", " ")</f>
        <v>Espacialidade</v>
      </c>
      <c r="T3" s="46" t="str">
        <f t="shared" si="4"/>
        <v>Elementos Horizontais</v>
      </c>
      <c r="U3" s="46" t="str">
        <f t="shared" si="4"/>
        <v>Tipos de Andares</v>
      </c>
      <c r="V3" s="45" t="s">
        <v>191</v>
      </c>
      <c r="W3" s="2" t="str">
        <f t="shared" ref="W3:W71" si="5">CONCATENATE("Key-ESP-",A3)</f>
        <v>Key-ESP-3</v>
      </c>
      <c r="X3" s="44" t="s">
        <v>391</v>
      </c>
      <c r="Y3" s="61" t="s">
        <v>366</v>
      </c>
      <c r="Z3" s="45" t="s">
        <v>421</v>
      </c>
      <c r="AA3" s="44" t="str">
        <f ca="1">_xlfn.TRANSLATE(P3,"pt","en")</f>
        <v>Floor of the building.</v>
      </c>
    </row>
    <row r="4" spans="1:27" customFormat="1" ht="6" customHeight="1" x14ac:dyDescent="0.4">
      <c r="A4" s="39">
        <v>4</v>
      </c>
      <c r="B4" s="40" t="s">
        <v>81</v>
      </c>
      <c r="C4" s="40" t="s">
        <v>442</v>
      </c>
      <c r="D4" s="40" t="s">
        <v>337</v>
      </c>
      <c r="E4" s="40" t="s">
        <v>423</v>
      </c>
      <c r="F4" s="41" t="s">
        <v>192</v>
      </c>
      <c r="G4" s="42" t="s">
        <v>10</v>
      </c>
      <c r="H4" s="42" t="s">
        <v>10</v>
      </c>
      <c r="I4" s="42" t="s">
        <v>10</v>
      </c>
      <c r="J4" s="42" t="s">
        <v>10</v>
      </c>
      <c r="K4" s="42" t="s">
        <v>10</v>
      </c>
      <c r="L4" s="43" t="str">
        <f t="shared" si="1"/>
        <v>Espacialidade</v>
      </c>
      <c r="M4" s="43" t="str">
        <f t="shared" si="2"/>
        <v>Elementos.Horizontais</v>
      </c>
      <c r="N4" s="43" t="str">
        <f t="shared" si="3"/>
        <v>Tipos de Andares</v>
      </c>
      <c r="O4" s="43" t="str">
        <f t="shared" si="3"/>
        <v>Andar Tipo</v>
      </c>
      <c r="P4" s="44" t="s">
        <v>193</v>
      </c>
      <c r="Q4" s="44" t="str">
        <f t="shared" ref="Q4:Q76" ca="1" si="6">_xlfn.TRANSLATE(P4,"pt","es")</f>
        <v>Tipo edificio de planta.</v>
      </c>
      <c r="R4" s="45" t="s">
        <v>10</v>
      </c>
      <c r="S4" s="46" t="str">
        <f t="shared" si="4"/>
        <v>Espacialidade</v>
      </c>
      <c r="T4" s="46" t="str">
        <f t="shared" ref="T4:T79" si="7">SUBSTITUTE(D4, ".", " ")</f>
        <v>Elementos Horizontais</v>
      </c>
      <c r="U4" s="46" t="str">
        <f t="shared" ref="U4:U79" si="8">SUBSTITUTE(E4, ".", " ")</f>
        <v>Tipos de Andares</v>
      </c>
      <c r="V4" s="45" t="s">
        <v>191</v>
      </c>
      <c r="W4" s="2" t="str">
        <f t="shared" si="5"/>
        <v>Key-ESP-4</v>
      </c>
      <c r="X4" s="44" t="s">
        <v>391</v>
      </c>
      <c r="Y4" s="61" t="s">
        <v>366</v>
      </c>
      <c r="Z4" s="45" t="s">
        <v>421</v>
      </c>
      <c r="AA4" s="44" t="str">
        <f t="shared" ref="AA4:AA108" ca="1" si="9">_xlfn.TRANSLATE(P4,"pt","en")</f>
        <v>Floor building type.</v>
      </c>
    </row>
    <row r="5" spans="1:27" customFormat="1" ht="6" customHeight="1" x14ac:dyDescent="0.4">
      <c r="A5" s="39">
        <v>5</v>
      </c>
      <c r="B5" s="40" t="s">
        <v>81</v>
      </c>
      <c r="C5" s="40" t="s">
        <v>442</v>
      </c>
      <c r="D5" s="40" t="s">
        <v>337</v>
      </c>
      <c r="E5" s="40" t="s">
        <v>423</v>
      </c>
      <c r="F5" s="41" t="s">
        <v>194</v>
      </c>
      <c r="G5" s="42" t="s">
        <v>10</v>
      </c>
      <c r="H5" s="42" t="s">
        <v>10</v>
      </c>
      <c r="I5" s="42" t="s">
        <v>10</v>
      </c>
      <c r="J5" s="42" t="s">
        <v>10</v>
      </c>
      <c r="K5" s="42" t="s">
        <v>10</v>
      </c>
      <c r="L5" s="43" t="str">
        <f t="shared" si="1"/>
        <v>Espacialidade</v>
      </c>
      <c r="M5" s="43" t="str">
        <f t="shared" si="2"/>
        <v>Elementos.Horizontais</v>
      </c>
      <c r="N5" s="43" t="str">
        <f t="shared" si="3"/>
        <v>Tipos de Andares</v>
      </c>
      <c r="O5" s="43" t="str">
        <f t="shared" si="3"/>
        <v>Andar Customizado</v>
      </c>
      <c r="P5" s="44" t="s">
        <v>195</v>
      </c>
      <c r="Q5" s="44" t="str">
        <f t="shared" ca="1" si="6"/>
        <v>Planta única del edificio. Plantas que no son típicas y están diseñadas a medida.</v>
      </c>
      <c r="R5" s="45" t="s">
        <v>10</v>
      </c>
      <c r="S5" s="46" t="str">
        <f t="shared" si="4"/>
        <v>Espacialidade</v>
      </c>
      <c r="T5" s="46" t="str">
        <f t="shared" si="7"/>
        <v>Elementos Horizontais</v>
      </c>
      <c r="U5" s="46" t="str">
        <f t="shared" si="8"/>
        <v>Tipos de Andares</v>
      </c>
      <c r="V5" s="45" t="s">
        <v>191</v>
      </c>
      <c r="W5" s="2" t="str">
        <f t="shared" si="5"/>
        <v>Key-ESP-5</v>
      </c>
      <c r="X5" s="44" t="s">
        <v>391</v>
      </c>
      <c r="Y5" s="61" t="s">
        <v>366</v>
      </c>
      <c r="Z5" s="45" t="s">
        <v>421</v>
      </c>
      <c r="AA5" s="44" t="str">
        <f t="shared" ca="1" si="9"/>
        <v>Single floor of the building. Floors that are not typical and are custom designed.</v>
      </c>
    </row>
    <row r="6" spans="1:27" customFormat="1" ht="6" customHeight="1" x14ac:dyDescent="0.4">
      <c r="A6" s="39">
        <v>6</v>
      </c>
      <c r="B6" s="40" t="s">
        <v>81</v>
      </c>
      <c r="C6" s="40" t="s">
        <v>442</v>
      </c>
      <c r="D6" s="40" t="s">
        <v>337</v>
      </c>
      <c r="E6" s="40" t="s">
        <v>423</v>
      </c>
      <c r="F6" s="41" t="s">
        <v>196</v>
      </c>
      <c r="G6" s="42" t="s">
        <v>10</v>
      </c>
      <c r="H6" s="42" t="s">
        <v>10</v>
      </c>
      <c r="I6" s="42" t="s">
        <v>10</v>
      </c>
      <c r="J6" s="42" t="s">
        <v>10</v>
      </c>
      <c r="K6" s="42" t="s">
        <v>10</v>
      </c>
      <c r="L6" s="43" t="str">
        <f t="shared" si="1"/>
        <v>Espacialidade</v>
      </c>
      <c r="M6" s="43" t="str">
        <f t="shared" si="2"/>
        <v>Elementos.Horizontais</v>
      </c>
      <c r="N6" s="43" t="str">
        <f t="shared" si="3"/>
        <v>Tipos de Andares</v>
      </c>
      <c r="O6" s="43" t="str">
        <f t="shared" si="3"/>
        <v>Andar Variável</v>
      </c>
      <c r="P6" s="44" t="s">
        <v>197</v>
      </c>
      <c r="Q6" s="44" t="str">
        <f t="shared" ca="1" si="6"/>
        <v>Planta única del edificio. Plantas que no son típicas.</v>
      </c>
      <c r="R6" s="45" t="s">
        <v>10</v>
      </c>
      <c r="S6" s="46" t="str">
        <f t="shared" si="4"/>
        <v>Espacialidade</v>
      </c>
      <c r="T6" s="46" t="str">
        <f t="shared" si="7"/>
        <v>Elementos Horizontais</v>
      </c>
      <c r="U6" s="46" t="str">
        <f t="shared" si="8"/>
        <v>Tipos de Andares</v>
      </c>
      <c r="V6" s="45" t="s">
        <v>191</v>
      </c>
      <c r="W6" s="2" t="str">
        <f t="shared" si="5"/>
        <v>Key-ESP-6</v>
      </c>
      <c r="X6" s="44" t="s">
        <v>391</v>
      </c>
      <c r="Y6" s="61" t="s">
        <v>366</v>
      </c>
      <c r="Z6" s="45" t="s">
        <v>421</v>
      </c>
      <c r="AA6" s="44" t="str">
        <f t="shared" ca="1" si="9"/>
        <v>Single floor of the building. Floors that are not typical.</v>
      </c>
    </row>
    <row r="7" spans="1:27" customFormat="1" ht="6" customHeight="1" x14ac:dyDescent="0.4">
      <c r="A7" s="39">
        <v>7</v>
      </c>
      <c r="B7" s="40" t="s">
        <v>81</v>
      </c>
      <c r="C7" s="40" t="s">
        <v>442</v>
      </c>
      <c r="D7" s="40" t="s">
        <v>337</v>
      </c>
      <c r="E7" s="40" t="s">
        <v>423</v>
      </c>
      <c r="F7" s="41" t="s">
        <v>198</v>
      </c>
      <c r="G7" s="42" t="s">
        <v>10</v>
      </c>
      <c r="H7" s="42" t="s">
        <v>10</v>
      </c>
      <c r="I7" s="42" t="s">
        <v>10</v>
      </c>
      <c r="J7" s="42" t="s">
        <v>10</v>
      </c>
      <c r="K7" s="42" t="s">
        <v>10</v>
      </c>
      <c r="L7" s="43" t="str">
        <f t="shared" si="1"/>
        <v>Espacialidade</v>
      </c>
      <c r="M7" s="43" t="str">
        <f t="shared" si="2"/>
        <v>Elementos.Horizontais</v>
      </c>
      <c r="N7" s="43" t="str">
        <f t="shared" si="3"/>
        <v>Tipos de Andares</v>
      </c>
      <c r="O7" s="43" t="str">
        <f t="shared" si="3"/>
        <v>Andar Palco</v>
      </c>
      <c r="P7" s="44" t="s">
        <v>199</v>
      </c>
      <c r="Q7" s="44" t="str">
        <f t="shared" ca="1" si="6"/>
        <v>Planta única del edificio. En edificios que tienen salas de conciertos, es la planta que contiene el escenario o pantalla de proyección.</v>
      </c>
      <c r="R7" s="45" t="s">
        <v>10</v>
      </c>
      <c r="S7" s="46" t="str">
        <f t="shared" si="4"/>
        <v>Espacialidade</v>
      </c>
      <c r="T7" s="46" t="str">
        <f t="shared" si="7"/>
        <v>Elementos Horizontais</v>
      </c>
      <c r="U7" s="46" t="str">
        <f t="shared" si="8"/>
        <v>Tipos de Andares</v>
      </c>
      <c r="V7" s="45" t="s">
        <v>191</v>
      </c>
      <c r="W7" s="2" t="str">
        <f t="shared" si="5"/>
        <v>Key-ESP-7</v>
      </c>
      <c r="X7" s="44" t="s">
        <v>391</v>
      </c>
      <c r="Y7" s="61" t="s">
        <v>366</v>
      </c>
      <c r="Z7" s="45" t="s">
        <v>421</v>
      </c>
      <c r="AA7" s="44" t="str">
        <f t="shared" ca="1" si="9"/>
        <v>Single floor of the building. In buildings that have concert halls, it is the floor that contains the stage or projection screen.</v>
      </c>
    </row>
    <row r="8" spans="1:27" customFormat="1" ht="6" customHeight="1" x14ac:dyDescent="0.4">
      <c r="A8" s="39">
        <v>8</v>
      </c>
      <c r="B8" s="40" t="s">
        <v>81</v>
      </c>
      <c r="C8" s="40" t="s">
        <v>442</v>
      </c>
      <c r="D8" s="40" t="s">
        <v>337</v>
      </c>
      <c r="E8" s="40" t="s">
        <v>423</v>
      </c>
      <c r="F8" s="41" t="s">
        <v>200</v>
      </c>
      <c r="G8" s="42" t="s">
        <v>10</v>
      </c>
      <c r="H8" s="42" t="s">
        <v>10</v>
      </c>
      <c r="I8" s="42" t="s">
        <v>10</v>
      </c>
      <c r="J8" s="42" t="s">
        <v>10</v>
      </c>
      <c r="K8" s="42" t="s">
        <v>10</v>
      </c>
      <c r="L8" s="43" t="str">
        <f t="shared" si="1"/>
        <v>Espacialidade</v>
      </c>
      <c r="M8" s="43" t="str">
        <f t="shared" si="2"/>
        <v>Elementos.Horizontais</v>
      </c>
      <c r="N8" s="43" t="str">
        <f t="shared" si="3"/>
        <v>Tipos de Andares</v>
      </c>
      <c r="O8" s="43" t="str">
        <f t="shared" si="3"/>
        <v>Andar Especial</v>
      </c>
      <c r="P8" s="44" t="s">
        <v>201</v>
      </c>
      <c r="Q8" s="44" t="str">
        <f t="shared" ca="1" si="6"/>
        <v>Planta única del edificio. Identifica la planta que destaca por su doble altura o alguna característica que la hace única.</v>
      </c>
      <c r="R8" s="45" t="s">
        <v>10</v>
      </c>
      <c r="S8" s="46" t="str">
        <f t="shared" si="4"/>
        <v>Espacialidade</v>
      </c>
      <c r="T8" s="46" t="str">
        <f t="shared" si="7"/>
        <v>Elementos Horizontais</v>
      </c>
      <c r="U8" s="46" t="str">
        <f t="shared" si="8"/>
        <v>Tipos de Andares</v>
      </c>
      <c r="V8" s="45" t="s">
        <v>191</v>
      </c>
      <c r="W8" s="2" t="str">
        <f t="shared" si="5"/>
        <v>Key-ESP-8</v>
      </c>
      <c r="X8" s="44" t="s">
        <v>391</v>
      </c>
      <c r="Y8" s="61" t="s">
        <v>366</v>
      </c>
      <c r="Z8" s="45" t="s">
        <v>421</v>
      </c>
      <c r="AA8" s="44" t="str">
        <f t="shared" ca="1" si="9"/>
        <v>Single floor of the building. Identifies the floor that stands out for its double height or some characteristic that makes it unique.</v>
      </c>
    </row>
    <row r="9" spans="1:27" customFormat="1" ht="6" customHeight="1" x14ac:dyDescent="0.4">
      <c r="A9" s="39">
        <v>9</v>
      </c>
      <c r="B9" s="40" t="s">
        <v>81</v>
      </c>
      <c r="C9" s="40" t="s">
        <v>442</v>
      </c>
      <c r="D9" s="40" t="s">
        <v>337</v>
      </c>
      <c r="E9" s="40" t="s">
        <v>423</v>
      </c>
      <c r="F9" s="41" t="s">
        <v>202</v>
      </c>
      <c r="G9" s="42" t="s">
        <v>10</v>
      </c>
      <c r="H9" s="42" t="s">
        <v>10</v>
      </c>
      <c r="I9" s="42" t="s">
        <v>10</v>
      </c>
      <c r="J9" s="42" t="s">
        <v>10</v>
      </c>
      <c r="K9" s="42" t="s">
        <v>10</v>
      </c>
      <c r="L9" s="43" t="str">
        <f t="shared" si="1"/>
        <v>Espacialidade</v>
      </c>
      <c r="M9" s="43" t="str">
        <f t="shared" si="2"/>
        <v>Elementos.Horizontais</v>
      </c>
      <c r="N9" s="43" t="str">
        <f t="shared" si="3"/>
        <v>Tipos de Andares</v>
      </c>
      <c r="O9" s="43" t="str">
        <f t="shared" si="3"/>
        <v>Andar Técnico</v>
      </c>
      <c r="P9" s="44" t="s">
        <v>203</v>
      </c>
      <c r="Q9" s="44" t="str">
        <f t="shared" ca="1" si="6"/>
        <v>Planta técnica del edificio.</v>
      </c>
      <c r="R9" s="45" t="s">
        <v>10</v>
      </c>
      <c r="S9" s="46" t="str">
        <f t="shared" si="4"/>
        <v>Espacialidade</v>
      </c>
      <c r="T9" s="46" t="str">
        <f t="shared" si="7"/>
        <v>Elementos Horizontais</v>
      </c>
      <c r="U9" s="46" t="str">
        <f t="shared" si="8"/>
        <v>Tipos de Andares</v>
      </c>
      <c r="V9" s="45" t="s">
        <v>191</v>
      </c>
      <c r="W9" s="2" t="str">
        <f t="shared" si="5"/>
        <v>Key-ESP-9</v>
      </c>
      <c r="X9" s="44" t="s">
        <v>391</v>
      </c>
      <c r="Y9" s="61" t="s">
        <v>366</v>
      </c>
      <c r="Z9" s="45" t="s">
        <v>421</v>
      </c>
      <c r="AA9" s="44" t="str">
        <f t="shared" ca="1" si="9"/>
        <v>Technical floor of the building.</v>
      </c>
    </row>
    <row r="10" spans="1:27" customFormat="1" ht="6" customHeight="1" x14ac:dyDescent="0.4">
      <c r="A10" s="39">
        <v>10</v>
      </c>
      <c r="B10" s="40" t="s">
        <v>81</v>
      </c>
      <c r="C10" s="40" t="s">
        <v>442</v>
      </c>
      <c r="D10" s="40" t="s">
        <v>337</v>
      </c>
      <c r="E10" s="40" t="s">
        <v>423</v>
      </c>
      <c r="F10" s="41" t="s">
        <v>204</v>
      </c>
      <c r="G10" s="42" t="s">
        <v>10</v>
      </c>
      <c r="H10" s="42" t="s">
        <v>10</v>
      </c>
      <c r="I10" s="42" t="s">
        <v>10</v>
      </c>
      <c r="J10" s="42" t="s">
        <v>10</v>
      </c>
      <c r="K10" s="42" t="s">
        <v>10</v>
      </c>
      <c r="L10" s="43" t="str">
        <f t="shared" si="1"/>
        <v>Espacialidade</v>
      </c>
      <c r="M10" s="43" t="str">
        <f t="shared" si="2"/>
        <v>Elementos.Horizontais</v>
      </c>
      <c r="N10" s="43" t="str">
        <f t="shared" si="3"/>
        <v>Tipos de Andares</v>
      </c>
      <c r="O10" s="43" t="str">
        <f t="shared" si="3"/>
        <v>Andar Mezanino</v>
      </c>
      <c r="P10" s="44" t="s">
        <v>205</v>
      </c>
      <c r="Q10" s="44" t="str">
        <f t="shared" ca="1" si="6"/>
        <v>La parte inferior del suelo se introdujo a la altura del techo de una planta, con acceso solo desde el interior del recinto.</v>
      </c>
      <c r="R10" s="45" t="s">
        <v>10</v>
      </c>
      <c r="S10" s="46" t="str">
        <f t="shared" si="4"/>
        <v>Espacialidade</v>
      </c>
      <c r="T10" s="46" t="str">
        <f t="shared" si="7"/>
        <v>Elementos Horizontais</v>
      </c>
      <c r="U10" s="46" t="str">
        <f t="shared" si="8"/>
        <v>Tipos de Andares</v>
      </c>
      <c r="V10" s="45" t="s">
        <v>191</v>
      </c>
      <c r="W10" s="2" t="str">
        <f t="shared" si="5"/>
        <v>Key-ESP-10</v>
      </c>
      <c r="X10" s="44" t="s">
        <v>391</v>
      </c>
      <c r="Y10" s="61" t="s">
        <v>366</v>
      </c>
      <c r="Z10" s="45" t="s">
        <v>421</v>
      </c>
      <c r="AA10" s="44" t="str">
        <f t="shared" ca="1" si="9"/>
        <v>Lower partial floor introduced at the ceiling height of one floor, with access only from the interior of the enclosure.</v>
      </c>
    </row>
    <row r="11" spans="1:27" customFormat="1" ht="6" customHeight="1" x14ac:dyDescent="0.4">
      <c r="A11" s="39">
        <v>11</v>
      </c>
      <c r="B11" s="40" t="s">
        <v>81</v>
      </c>
      <c r="C11" s="40" t="s">
        <v>442</v>
      </c>
      <c r="D11" s="40" t="s">
        <v>337</v>
      </c>
      <c r="E11" s="40" t="s">
        <v>423</v>
      </c>
      <c r="F11" s="41" t="s">
        <v>206</v>
      </c>
      <c r="G11" s="42" t="s">
        <v>10</v>
      </c>
      <c r="H11" s="42" t="s">
        <v>10</v>
      </c>
      <c r="I11" s="42" t="s">
        <v>10</v>
      </c>
      <c r="J11" s="42" t="s">
        <v>10</v>
      </c>
      <c r="K11" s="42" t="s">
        <v>10</v>
      </c>
      <c r="L11" s="43" t="str">
        <f t="shared" si="1"/>
        <v>Espacialidade</v>
      </c>
      <c r="M11" s="43" t="str">
        <f t="shared" si="2"/>
        <v>Elementos.Horizontais</v>
      </c>
      <c r="N11" s="43" t="str">
        <f t="shared" si="3"/>
        <v>Tipos de Andares</v>
      </c>
      <c r="O11" s="43" t="str">
        <f t="shared" si="3"/>
        <v>Andar Acesso</v>
      </c>
      <c r="P11" s="44" t="s">
        <v>207</v>
      </c>
      <c r="Q11" s="44" t="str">
        <f t="shared" ca="1" si="6"/>
        <v>Acceso a la planta del edificio.</v>
      </c>
      <c r="R11" s="45" t="s">
        <v>10</v>
      </c>
      <c r="S11" s="46" t="str">
        <f t="shared" si="4"/>
        <v>Espacialidade</v>
      </c>
      <c r="T11" s="46" t="str">
        <f t="shared" si="7"/>
        <v>Elementos Horizontais</v>
      </c>
      <c r="U11" s="46" t="str">
        <f t="shared" si="8"/>
        <v>Tipos de Andares</v>
      </c>
      <c r="V11" s="45" t="s">
        <v>191</v>
      </c>
      <c r="W11" s="2" t="str">
        <f t="shared" si="5"/>
        <v>Key-ESP-11</v>
      </c>
      <c r="X11" s="44" t="s">
        <v>391</v>
      </c>
      <c r="Y11" s="61" t="s">
        <v>366</v>
      </c>
      <c r="Z11" s="45" t="s">
        <v>421</v>
      </c>
      <c r="AA11" s="44" t="str">
        <f t="shared" ca="1" si="9"/>
        <v>Access floor to the building.</v>
      </c>
    </row>
    <row r="12" spans="1:27" customFormat="1" ht="6" customHeight="1" x14ac:dyDescent="0.4">
      <c r="A12" s="39">
        <v>12</v>
      </c>
      <c r="B12" s="40" t="s">
        <v>81</v>
      </c>
      <c r="C12" s="40" t="s">
        <v>442</v>
      </c>
      <c r="D12" s="40" t="s">
        <v>337</v>
      </c>
      <c r="E12" s="40" t="s">
        <v>423</v>
      </c>
      <c r="F12" s="41" t="s">
        <v>208</v>
      </c>
      <c r="G12" s="42" t="s">
        <v>10</v>
      </c>
      <c r="H12" s="42" t="s">
        <v>10</v>
      </c>
      <c r="I12" s="42" t="s">
        <v>10</v>
      </c>
      <c r="J12" s="42" t="s">
        <v>10</v>
      </c>
      <c r="K12" s="42" t="s">
        <v>10</v>
      </c>
      <c r="L12" s="43" t="str">
        <f t="shared" ref="L12" si="10">CONCATENATE("", C12)</f>
        <v>Espacialidade</v>
      </c>
      <c r="M12" s="43" t="str">
        <f t="shared" ref="M12" si="11">CONCATENATE("", D12)</f>
        <v>Elementos.Horizontais</v>
      </c>
      <c r="N12" s="43" t="str">
        <f t="shared" ref="N12" si="12">(SUBSTITUTE(SUBSTITUTE(CONCATENATE("",E12),"."," ")," De "," de "))</f>
        <v>Tipos de Andares</v>
      </c>
      <c r="O12" s="43" t="str">
        <f t="shared" ref="O12" si="13">(SUBSTITUTE(SUBSTITUTE(CONCATENATE("",F12),"."," ")," De "," de "))</f>
        <v>Andar Subsolo</v>
      </c>
      <c r="P12" s="44" t="s">
        <v>209</v>
      </c>
      <c r="Q12" s="44" t="str">
        <f t="shared" ref="Q12" si="14">_xlfn.TRANSLATE(P12,"pt","es")</f>
        <v>Planta baja del edificio.</v>
      </c>
      <c r="R12" s="45" t="s">
        <v>10</v>
      </c>
      <c r="S12" s="46" t="str">
        <f t="shared" ref="S12" si="15">SUBSTITUTE(C12, ".", " ")</f>
        <v>Espacialidade</v>
      </c>
      <c r="T12" s="46" t="str">
        <f t="shared" ref="T12" si="16">SUBSTITUTE(D12, ".", " ")</f>
        <v>Elementos Horizontais</v>
      </c>
      <c r="U12" s="46" t="str">
        <f t="shared" ref="U12" si="17">SUBSTITUTE(E12, ".", " ")</f>
        <v>Tipos de Andares</v>
      </c>
      <c r="V12" s="45" t="s">
        <v>191</v>
      </c>
      <c r="W12" s="2" t="str">
        <f t="shared" si="5"/>
        <v>Key-ESP-12</v>
      </c>
      <c r="X12" s="44" t="s">
        <v>391</v>
      </c>
      <c r="Y12" s="61" t="s">
        <v>366</v>
      </c>
      <c r="Z12" s="45" t="s">
        <v>421</v>
      </c>
      <c r="AA12" s="44" t="str">
        <f t="shared" ref="AA12" si="18">_xlfn.TRANSLATE(P12,"pt","en")</f>
        <v>Basement floor of the building.</v>
      </c>
    </row>
    <row r="13" spans="1:27" customFormat="1" ht="6" customHeight="1" x14ac:dyDescent="0.4">
      <c r="A13" s="39">
        <v>13</v>
      </c>
      <c r="B13" s="40" t="s">
        <v>81</v>
      </c>
      <c r="C13" s="40" t="s">
        <v>442</v>
      </c>
      <c r="D13" s="40" t="s">
        <v>337</v>
      </c>
      <c r="E13" s="40" t="s">
        <v>423</v>
      </c>
      <c r="F13" s="41" t="s">
        <v>450</v>
      </c>
      <c r="G13" s="42" t="s">
        <v>10</v>
      </c>
      <c r="H13" s="42" t="s">
        <v>10</v>
      </c>
      <c r="I13" s="42" t="s">
        <v>10</v>
      </c>
      <c r="J13" s="42" t="s">
        <v>10</v>
      </c>
      <c r="K13" s="42" t="s">
        <v>10</v>
      </c>
      <c r="L13" s="43" t="str">
        <f t="shared" si="1"/>
        <v>Espacialidade</v>
      </c>
      <c r="M13" s="43" t="str">
        <f t="shared" si="2"/>
        <v>Elementos.Horizontais</v>
      </c>
      <c r="N13" s="43" t="str">
        <f t="shared" si="3"/>
        <v>Tipos de Andares</v>
      </c>
      <c r="O13" s="43" t="str">
        <f t="shared" si="3"/>
        <v>Símbolo de Andar</v>
      </c>
      <c r="P13" s="44" t="s">
        <v>451</v>
      </c>
      <c r="Q13" s="44" t="str">
        <f t="shared" ca="1" si="6"/>
        <v>Elemento simbólico de referencia de la posición de cada planta del proyecto: el marcador de suelo puede declararse con un tipo específico en la categoría OST_LevelHeads.</v>
      </c>
      <c r="R13" s="45" t="s">
        <v>10</v>
      </c>
      <c r="S13" s="46" t="str">
        <f t="shared" si="4"/>
        <v>Espacialidade</v>
      </c>
      <c r="T13" s="46" t="str">
        <f t="shared" si="7"/>
        <v>Elementos Horizontais</v>
      </c>
      <c r="U13" s="46" t="str">
        <f t="shared" si="8"/>
        <v>Tipos de Andares</v>
      </c>
      <c r="V13" s="45" t="s">
        <v>191</v>
      </c>
      <c r="W13" s="2" t="str">
        <f t="shared" si="5"/>
        <v>Key-ESP-13</v>
      </c>
      <c r="X13" s="44" t="s">
        <v>391</v>
      </c>
      <c r="Y13" s="46" t="s">
        <v>441</v>
      </c>
      <c r="Z13" s="45" t="s">
        <v>421</v>
      </c>
      <c r="AA13" s="44" t="str">
        <f t="shared" ca="1" si="9"/>
        <v>Symbolic reference element of the position of each Floor of the project: the floor marker can be declared with a specific type in the category OST_LevelHeads.</v>
      </c>
    </row>
    <row r="14" spans="1:27" customFormat="1" ht="6" customHeight="1" x14ac:dyDescent="0.4">
      <c r="A14" s="39">
        <v>14</v>
      </c>
      <c r="B14" s="40" t="s">
        <v>81</v>
      </c>
      <c r="C14" s="40" t="s">
        <v>442</v>
      </c>
      <c r="D14" s="40" t="s">
        <v>337</v>
      </c>
      <c r="E14" s="40" t="s">
        <v>339</v>
      </c>
      <c r="F14" s="41" t="s">
        <v>210</v>
      </c>
      <c r="G14" s="42" t="s">
        <v>10</v>
      </c>
      <c r="H14" s="42" t="s">
        <v>10</v>
      </c>
      <c r="I14" s="42" t="s">
        <v>10</v>
      </c>
      <c r="J14" s="42" t="s">
        <v>10</v>
      </c>
      <c r="K14" s="42" t="s">
        <v>10</v>
      </c>
      <c r="L14" s="43" t="str">
        <f t="shared" si="1"/>
        <v>Espacialidade</v>
      </c>
      <c r="M14" s="43" t="str">
        <f t="shared" si="2"/>
        <v>Elementos.Horizontais</v>
      </c>
      <c r="N14" s="43" t="str">
        <f t="shared" si="3"/>
        <v>Cotas de Fundações</v>
      </c>
      <c r="O14" s="43" t="str">
        <f t="shared" si="3"/>
        <v>Plano de Bloco Fundação</v>
      </c>
      <c r="P14" s="44" t="s">
        <v>211</v>
      </c>
      <c r="Q14" s="44" t="str">
        <f t="shared" ca="1" si="6"/>
        <v>Plano horizontal de los bloques de cimentación del edificio.</v>
      </c>
      <c r="R14" s="45" t="s">
        <v>10</v>
      </c>
      <c r="S14" s="46" t="str">
        <f t="shared" si="4"/>
        <v>Espacialidade</v>
      </c>
      <c r="T14" s="46" t="str">
        <f t="shared" si="7"/>
        <v>Elementos Horizontais</v>
      </c>
      <c r="U14" s="46" t="str">
        <f t="shared" si="8"/>
        <v>Cotas de Fundações</v>
      </c>
      <c r="V14" s="45" t="s">
        <v>191</v>
      </c>
      <c r="W14" s="2" t="str">
        <f t="shared" si="5"/>
        <v>Key-ESP-14</v>
      </c>
      <c r="X14" s="44" t="s">
        <v>391</v>
      </c>
      <c r="Y14" s="61" t="s">
        <v>366</v>
      </c>
      <c r="Z14" s="45" t="s">
        <v>421</v>
      </c>
      <c r="AA14" s="44" t="str">
        <f t="shared" ca="1" si="9"/>
        <v>Horizontal plane of the building's foundation blocks.</v>
      </c>
    </row>
    <row r="15" spans="1:27" customFormat="1" ht="6" customHeight="1" x14ac:dyDescent="0.4">
      <c r="A15" s="39">
        <v>15</v>
      </c>
      <c r="B15" s="40" t="s">
        <v>81</v>
      </c>
      <c r="C15" s="40" t="s">
        <v>442</v>
      </c>
      <c r="D15" s="40" t="s">
        <v>337</v>
      </c>
      <c r="E15" s="40" t="s">
        <v>339</v>
      </c>
      <c r="F15" s="41" t="s">
        <v>212</v>
      </c>
      <c r="G15" s="42" t="s">
        <v>10</v>
      </c>
      <c r="H15" s="42" t="s">
        <v>10</v>
      </c>
      <c r="I15" s="42" t="s">
        <v>10</v>
      </c>
      <c r="J15" s="42" t="s">
        <v>10</v>
      </c>
      <c r="K15" s="42" t="s">
        <v>10</v>
      </c>
      <c r="L15" s="43" t="str">
        <f t="shared" si="1"/>
        <v>Espacialidade</v>
      </c>
      <c r="M15" s="43" t="str">
        <f t="shared" si="2"/>
        <v>Elementos.Horizontais</v>
      </c>
      <c r="N15" s="43" t="str">
        <f t="shared" si="3"/>
        <v>Cotas de Fundações</v>
      </c>
      <c r="O15" s="43" t="str">
        <f t="shared" si="3"/>
        <v>Plano de Estacas</v>
      </c>
      <c r="P15" s="44" t="s">
        <v>213</v>
      </c>
      <c r="Q15" s="44" t="str">
        <f t="shared" ca="1" si="6"/>
        <v>Plano horizontal de los pilotes de cimentación del edificio.</v>
      </c>
      <c r="R15" s="45" t="s">
        <v>10</v>
      </c>
      <c r="S15" s="46" t="str">
        <f t="shared" si="4"/>
        <v>Espacialidade</v>
      </c>
      <c r="T15" s="46" t="str">
        <f t="shared" si="7"/>
        <v>Elementos Horizontais</v>
      </c>
      <c r="U15" s="46" t="str">
        <f t="shared" si="8"/>
        <v>Cotas de Fundações</v>
      </c>
      <c r="V15" s="45" t="s">
        <v>191</v>
      </c>
      <c r="W15" s="2" t="str">
        <f t="shared" si="5"/>
        <v>Key-ESP-15</v>
      </c>
      <c r="X15" s="44" t="s">
        <v>391</v>
      </c>
      <c r="Y15" s="61" t="s">
        <v>366</v>
      </c>
      <c r="Z15" s="45" t="s">
        <v>421</v>
      </c>
      <c r="AA15" s="44" t="str">
        <f t="shared" ca="1" si="9"/>
        <v>Horizontal plane of the foundation piles of the building.</v>
      </c>
    </row>
    <row r="16" spans="1:27" customFormat="1" ht="6" customHeight="1" x14ac:dyDescent="0.4">
      <c r="A16" s="39">
        <v>16</v>
      </c>
      <c r="B16" s="40" t="s">
        <v>81</v>
      </c>
      <c r="C16" s="40" t="s">
        <v>442</v>
      </c>
      <c r="D16" s="40" t="s">
        <v>337</v>
      </c>
      <c r="E16" s="40" t="s">
        <v>454</v>
      </c>
      <c r="F16" s="41" t="s">
        <v>214</v>
      </c>
      <c r="G16" s="42" t="s">
        <v>10</v>
      </c>
      <c r="H16" s="42" t="s">
        <v>10</v>
      </c>
      <c r="I16" s="42" t="s">
        <v>10</v>
      </c>
      <c r="J16" s="42" t="s">
        <v>10</v>
      </c>
      <c r="K16" s="42" t="s">
        <v>10</v>
      </c>
      <c r="L16" s="43" t="str">
        <f t="shared" si="1"/>
        <v>Espacialidade</v>
      </c>
      <c r="M16" s="43" t="str">
        <f t="shared" si="2"/>
        <v>Elementos.Horizontais</v>
      </c>
      <c r="N16" s="43" t="str">
        <f t="shared" si="3"/>
        <v>Cotas Gabaritadas</v>
      </c>
      <c r="O16" s="43" t="str">
        <f t="shared" si="3"/>
        <v>Gabarito Freático</v>
      </c>
      <c r="P16" s="44" t="s">
        <v>215</v>
      </c>
      <c r="Q16" s="44" t="str">
        <f t="shared" ca="1" si="6"/>
        <v>Plantilla que define el nivel de la capa superior de agua subterránea.</v>
      </c>
      <c r="R16" s="45" t="s">
        <v>10</v>
      </c>
      <c r="S16" s="46" t="str">
        <f t="shared" si="4"/>
        <v>Espacialidade</v>
      </c>
      <c r="T16" s="46" t="str">
        <f t="shared" si="7"/>
        <v>Elementos Horizontais</v>
      </c>
      <c r="U16" s="46" t="str">
        <f t="shared" si="8"/>
        <v>Cotas Gabaritadas</v>
      </c>
      <c r="V16" s="45" t="s">
        <v>191</v>
      </c>
      <c r="W16" s="2" t="str">
        <f t="shared" si="5"/>
        <v>Key-ESP-16</v>
      </c>
      <c r="X16" s="44" t="s">
        <v>391</v>
      </c>
      <c r="Y16" s="61" t="s">
        <v>366</v>
      </c>
      <c r="Z16" s="45" t="s">
        <v>421</v>
      </c>
      <c r="AA16" s="44" t="str">
        <f t="shared" ca="1" si="9"/>
        <v>Template that defines the level of the upper layer of groundwater.</v>
      </c>
    </row>
    <row r="17" spans="1:27" customFormat="1" ht="6" customHeight="1" x14ac:dyDescent="0.4">
      <c r="A17" s="39">
        <v>17</v>
      </c>
      <c r="B17" s="40" t="s">
        <v>81</v>
      </c>
      <c r="C17" s="40" t="s">
        <v>442</v>
      </c>
      <c r="D17" s="40" t="s">
        <v>337</v>
      </c>
      <c r="E17" s="40" t="s">
        <v>454</v>
      </c>
      <c r="F17" s="41" t="s">
        <v>216</v>
      </c>
      <c r="G17" s="42" t="s">
        <v>10</v>
      </c>
      <c r="H17" s="42" t="s">
        <v>10</v>
      </c>
      <c r="I17" s="42" t="s">
        <v>10</v>
      </c>
      <c r="J17" s="42" t="s">
        <v>10</v>
      </c>
      <c r="K17" s="42" t="s">
        <v>10</v>
      </c>
      <c r="L17" s="43" t="str">
        <f t="shared" si="1"/>
        <v>Espacialidade</v>
      </c>
      <c r="M17" s="43" t="str">
        <f t="shared" si="2"/>
        <v>Elementos.Horizontais</v>
      </c>
      <c r="N17" s="43" t="str">
        <f t="shared" si="3"/>
        <v>Cotas Gabaritadas</v>
      </c>
      <c r="O17" s="43" t="str">
        <f t="shared" si="3"/>
        <v>Gabarito Subterrâneo</v>
      </c>
      <c r="P17" s="44" t="s">
        <v>217</v>
      </c>
      <c r="Q17" s="44" t="str">
        <f t="shared" ca="1" si="6"/>
        <v>Indicador de profundidad. Puede usarse para definir la elevación superior de un proyecto subterráneo, como una línea de metro o instalaciones especiales urbanas. Se utiliza como límite de penetración de profundidad.</v>
      </c>
      <c r="R17" s="45" t="s">
        <v>10</v>
      </c>
      <c r="S17" s="46" t="str">
        <f t="shared" si="4"/>
        <v>Espacialidade</v>
      </c>
      <c r="T17" s="46" t="str">
        <f t="shared" si="7"/>
        <v>Elementos Horizontais</v>
      </c>
      <c r="U17" s="46" t="str">
        <f t="shared" si="8"/>
        <v>Cotas Gabaritadas</v>
      </c>
      <c r="V17" s="45" t="s">
        <v>191</v>
      </c>
      <c r="W17" s="2" t="str">
        <f t="shared" si="5"/>
        <v>Key-ESP-17</v>
      </c>
      <c r="X17" s="44" t="s">
        <v>391</v>
      </c>
      <c r="Y17" s="61" t="s">
        <v>366</v>
      </c>
      <c r="Z17" s="45" t="s">
        <v>421</v>
      </c>
      <c r="AA17" s="44" t="str">
        <f t="shared" ca="1" si="9"/>
        <v>Depth gauge. Can be used to define the upper elevation of an underground project, such as a subway line or urban special facilities. Used as a depth penetration limit.</v>
      </c>
    </row>
    <row r="18" spans="1:27" customFormat="1" ht="6" customHeight="1" x14ac:dyDescent="0.4">
      <c r="A18" s="39">
        <v>18</v>
      </c>
      <c r="B18" s="40" t="s">
        <v>81</v>
      </c>
      <c r="C18" s="40" t="s">
        <v>442</v>
      </c>
      <c r="D18" s="40" t="s">
        <v>337</v>
      </c>
      <c r="E18" s="40" t="s">
        <v>454</v>
      </c>
      <c r="F18" s="41" t="s">
        <v>218</v>
      </c>
      <c r="G18" s="42" t="s">
        <v>10</v>
      </c>
      <c r="H18" s="42" t="s">
        <v>10</v>
      </c>
      <c r="I18" s="42" t="s">
        <v>10</v>
      </c>
      <c r="J18" s="42" t="s">
        <v>10</v>
      </c>
      <c r="K18" s="42" t="s">
        <v>10</v>
      </c>
      <c r="L18" s="43" t="str">
        <f t="shared" si="1"/>
        <v>Espacialidade</v>
      </c>
      <c r="M18" s="43" t="str">
        <f t="shared" si="2"/>
        <v>Elementos.Horizontais</v>
      </c>
      <c r="N18" s="43" t="str">
        <f t="shared" si="3"/>
        <v>Cotas Gabaritadas</v>
      </c>
      <c r="O18" s="43" t="str">
        <f t="shared" si="3"/>
        <v>Gabarito Aéreo</v>
      </c>
      <c r="P18" s="44" t="s">
        <v>219</v>
      </c>
      <c r="Q18" s="44" t="str">
        <f t="shared" ca="1" si="6"/>
        <v>Medidor de altura permitido para realizar vuelos seguros con UAS (drones). Establecido por ANAC (Agencia Nacional de Aviación Civil). Especialmente en regiones cercanas a aeropuertos.</v>
      </c>
      <c r="R18" s="45" t="s">
        <v>10</v>
      </c>
      <c r="S18" s="46" t="str">
        <f t="shared" si="4"/>
        <v>Espacialidade</v>
      </c>
      <c r="T18" s="46" t="str">
        <f t="shared" si="7"/>
        <v>Elementos Horizontais</v>
      </c>
      <c r="U18" s="46" t="str">
        <f t="shared" si="8"/>
        <v>Cotas Gabaritadas</v>
      </c>
      <c r="V18" s="45" t="s">
        <v>191</v>
      </c>
      <c r="W18" s="2" t="str">
        <f t="shared" si="5"/>
        <v>Key-ESP-18</v>
      </c>
      <c r="X18" s="44" t="s">
        <v>391</v>
      </c>
      <c r="Y18" s="61" t="s">
        <v>366</v>
      </c>
      <c r="Z18" s="45" t="s">
        <v>421</v>
      </c>
      <c r="AA18" s="44" t="str">
        <f t="shared" ca="1" si="9"/>
        <v>Height gauge allowed to perform safe flights with UAS (drones). Established by ANAC (National Civil Aviation Agency). Especially in regions close to airports.</v>
      </c>
    </row>
    <row r="19" spans="1:27" customFormat="1" ht="6" customHeight="1" x14ac:dyDescent="0.4">
      <c r="A19" s="39">
        <v>19</v>
      </c>
      <c r="B19" s="40" t="s">
        <v>81</v>
      </c>
      <c r="C19" s="40" t="s">
        <v>442</v>
      </c>
      <c r="D19" s="40" t="s">
        <v>337</v>
      </c>
      <c r="E19" s="40" t="s">
        <v>454</v>
      </c>
      <c r="F19" s="41" t="s">
        <v>220</v>
      </c>
      <c r="G19" s="42" t="s">
        <v>10</v>
      </c>
      <c r="H19" s="42" t="s">
        <v>10</v>
      </c>
      <c r="I19" s="42" t="s">
        <v>10</v>
      </c>
      <c r="J19" s="42" t="s">
        <v>10</v>
      </c>
      <c r="K19" s="42" t="s">
        <v>10</v>
      </c>
      <c r="L19" s="43" t="str">
        <f t="shared" si="1"/>
        <v>Espacialidade</v>
      </c>
      <c r="M19" s="43" t="str">
        <f t="shared" si="2"/>
        <v>Elementos.Horizontais</v>
      </c>
      <c r="N19" s="43" t="str">
        <f t="shared" si="3"/>
        <v>Cotas Gabaritadas</v>
      </c>
      <c r="O19" s="43" t="str">
        <f t="shared" si="3"/>
        <v>Gabarito Hídrico</v>
      </c>
      <c r="P19" s="44" t="s">
        <v>221</v>
      </c>
      <c r="Q19" s="44" t="str">
        <f t="shared" ca="1" si="6"/>
        <v>Plantilla que define el nivel de un cuerpo de agua natural como el mar o los niveles máximos y mínimos de ascenso de ríos o lagunas. Referencia para proyectos en zonas costeras o inundables.</v>
      </c>
      <c r="R19" s="45" t="s">
        <v>10</v>
      </c>
      <c r="S19" s="46" t="str">
        <f t="shared" si="4"/>
        <v>Espacialidade</v>
      </c>
      <c r="T19" s="46" t="str">
        <f t="shared" si="7"/>
        <v>Elementos Horizontais</v>
      </c>
      <c r="U19" s="46" t="str">
        <f t="shared" si="8"/>
        <v>Cotas Gabaritadas</v>
      </c>
      <c r="V19" s="45" t="s">
        <v>191</v>
      </c>
      <c r="W19" s="2" t="str">
        <f t="shared" si="5"/>
        <v>Key-ESP-19</v>
      </c>
      <c r="X19" s="44" t="s">
        <v>391</v>
      </c>
      <c r="Y19" s="61" t="s">
        <v>366</v>
      </c>
      <c r="Z19" s="45" t="s">
        <v>421</v>
      </c>
      <c r="AA19" s="44" t="str">
        <f t="shared" ca="1" si="9"/>
        <v>Template that defines the level of a natural body of water such as the sea or maximum and minimum rising levels of rivers or lagoons. Reference for projects in coastal or floodable areas.</v>
      </c>
    </row>
    <row r="20" spans="1:27" customFormat="1" ht="6" customHeight="1" x14ac:dyDescent="0.4">
      <c r="A20" s="39">
        <v>20</v>
      </c>
      <c r="B20" s="40" t="s">
        <v>81</v>
      </c>
      <c r="C20" s="40" t="s">
        <v>442</v>
      </c>
      <c r="D20" s="40" t="s">
        <v>337</v>
      </c>
      <c r="E20" s="40" t="s">
        <v>454</v>
      </c>
      <c r="F20" s="41" t="s">
        <v>222</v>
      </c>
      <c r="G20" s="42" t="s">
        <v>10</v>
      </c>
      <c r="H20" s="42" t="s">
        <v>10</v>
      </c>
      <c r="I20" s="42" t="s">
        <v>10</v>
      </c>
      <c r="J20" s="42" t="s">
        <v>10</v>
      </c>
      <c r="K20" s="42" t="s">
        <v>10</v>
      </c>
      <c r="L20" s="43" t="str">
        <f t="shared" si="1"/>
        <v>Espacialidade</v>
      </c>
      <c r="M20" s="43" t="str">
        <f t="shared" si="2"/>
        <v>Elementos.Horizontais</v>
      </c>
      <c r="N20" s="43" t="str">
        <f t="shared" ref="N20:O147" si="19">(SUBSTITUTE(SUBSTITUTE(CONCATENATE("",E20),"."," ")," De "," de "))</f>
        <v>Cotas Gabaritadas</v>
      </c>
      <c r="O20" s="43" t="str">
        <f t="shared" si="19"/>
        <v>Gabarito Municipal</v>
      </c>
      <c r="P20" s="44" t="s">
        <v>223</v>
      </c>
      <c r="Q20" s="44" t="str">
        <f t="shared" ca="1" si="6"/>
        <v>El medidor máximo permitido para edificios en cada área urbana. Establecido por leyes municipales para el uso y ocupación del suelo. No puede ser superado por el proyecto.</v>
      </c>
      <c r="R20" s="45" t="s">
        <v>10</v>
      </c>
      <c r="S20" s="46" t="str">
        <f t="shared" si="4"/>
        <v>Espacialidade</v>
      </c>
      <c r="T20" s="46" t="str">
        <f t="shared" si="7"/>
        <v>Elementos Horizontais</v>
      </c>
      <c r="U20" s="46" t="str">
        <f t="shared" si="8"/>
        <v>Cotas Gabaritadas</v>
      </c>
      <c r="V20" s="45" t="s">
        <v>191</v>
      </c>
      <c r="W20" s="2" t="str">
        <f t="shared" si="5"/>
        <v>Key-ESP-20</v>
      </c>
      <c r="X20" s="44" t="s">
        <v>391</v>
      </c>
      <c r="Y20" s="61" t="s">
        <v>366</v>
      </c>
      <c r="Z20" s="45" t="s">
        <v>421</v>
      </c>
      <c r="AA20" s="44" t="str">
        <f t="shared" ca="1" si="9"/>
        <v>Maximum height gauge allowed for buildings in each urban area. Established by municipal laws for land use and occupation. It cannot be exceeded by the project.</v>
      </c>
    </row>
    <row r="21" spans="1:27" customFormat="1" ht="6" customHeight="1" x14ac:dyDescent="0.4">
      <c r="A21" s="39">
        <v>21</v>
      </c>
      <c r="B21" s="40" t="s">
        <v>81</v>
      </c>
      <c r="C21" s="40" t="s">
        <v>442</v>
      </c>
      <c r="D21" s="40" t="s">
        <v>455</v>
      </c>
      <c r="E21" s="40" t="s">
        <v>348</v>
      </c>
      <c r="F21" s="48" t="s">
        <v>234</v>
      </c>
      <c r="G21" s="42" t="s">
        <v>10</v>
      </c>
      <c r="H21" s="42" t="s">
        <v>10</v>
      </c>
      <c r="I21" s="42" t="s">
        <v>10</v>
      </c>
      <c r="J21" s="42" t="s">
        <v>10</v>
      </c>
      <c r="K21" s="42" t="s">
        <v>10</v>
      </c>
      <c r="L21" s="43" t="str">
        <f t="shared" ref="L21:L26" si="20">CONCATENATE("", C21)</f>
        <v>Espacialidade</v>
      </c>
      <c r="M21" s="43" t="str">
        <f t="shared" ref="M21:M26" si="21">CONCATENATE("", D21)</f>
        <v>Elementos.de.Elevações</v>
      </c>
      <c r="N21" s="43" t="str">
        <f t="shared" ref="N21:N26" si="22">(SUBSTITUTE(SUBSTITUTE(CONCATENATE("",E21),"."," ")," De "," de "))</f>
        <v>Vistas do Projeto</v>
      </c>
      <c r="O21" s="43" t="str">
        <f t="shared" ref="O21:O26" si="23">(SUBSTITUTE(SUBSTITUTE(CONCATENATE("",F21),"."," ")," De "," de "))</f>
        <v>Fachada Principal</v>
      </c>
      <c r="P21" s="44" t="s">
        <v>561</v>
      </c>
      <c r="Q21" s="44" t="str">
        <f ca="1">_xlfn.TRANSLATE(P21,"pt","es")</f>
        <v>Símbolo de elevación de la fachada principal. Relativo al norte del proyecto Revit. El marcador de vista puede declararse con un tipo específico.</v>
      </c>
      <c r="R21" s="45" t="s">
        <v>10</v>
      </c>
      <c r="S21" s="46" t="str">
        <f t="shared" si="4"/>
        <v>Espacialidade</v>
      </c>
      <c r="T21" s="46" t="str">
        <f t="shared" si="7"/>
        <v>Elementos de Elevações</v>
      </c>
      <c r="U21" s="46" t="str">
        <f t="shared" si="8"/>
        <v>Vistas do Projeto</v>
      </c>
      <c r="V21" s="45" t="s">
        <v>191</v>
      </c>
      <c r="W21" s="2" t="str">
        <f t="shared" si="5"/>
        <v>Key-ESP-21</v>
      </c>
      <c r="X21" s="46" t="s">
        <v>452</v>
      </c>
      <c r="Y21" s="46" t="s">
        <v>441</v>
      </c>
      <c r="Z21" s="45" t="s">
        <v>424</v>
      </c>
      <c r="AA21" s="44" t="str">
        <f t="shared" ref="AA21:AA26" ca="1" si="24">_xlfn.TRANSLATE(P21,"pt","en")</f>
        <v>Main Facade Elevation Symbol. Relative to the North of the Revit project. The view marker can be declared with a specific type.</v>
      </c>
    </row>
    <row r="22" spans="1:27" customFormat="1" ht="6" customHeight="1" x14ac:dyDescent="0.4">
      <c r="A22" s="39">
        <v>22</v>
      </c>
      <c r="B22" s="40" t="s">
        <v>81</v>
      </c>
      <c r="C22" s="40" t="s">
        <v>442</v>
      </c>
      <c r="D22" s="40" t="s">
        <v>455</v>
      </c>
      <c r="E22" s="40" t="s">
        <v>348</v>
      </c>
      <c r="F22" s="48" t="s">
        <v>235</v>
      </c>
      <c r="G22" s="42" t="s">
        <v>10</v>
      </c>
      <c r="H22" s="42" t="s">
        <v>10</v>
      </c>
      <c r="I22" s="42" t="s">
        <v>10</v>
      </c>
      <c r="J22" s="42" t="s">
        <v>10</v>
      </c>
      <c r="K22" s="42" t="s">
        <v>10</v>
      </c>
      <c r="L22" s="43" t="str">
        <f t="shared" si="20"/>
        <v>Espacialidade</v>
      </c>
      <c r="M22" s="43" t="str">
        <f t="shared" si="21"/>
        <v>Elementos.de.Elevações</v>
      </c>
      <c r="N22" s="43" t="str">
        <f t="shared" si="22"/>
        <v>Vistas do Projeto</v>
      </c>
      <c r="O22" s="43" t="str">
        <f t="shared" si="23"/>
        <v>Fachada Fundos</v>
      </c>
      <c r="P22" s="44" t="s">
        <v>562</v>
      </c>
      <c r="Q22" s="44" t="str">
        <f t="shared" ca="1" si="6"/>
        <v>Símbolo de elevación de la fachada trasera. Relativo a la fachada principal o norte del proyecto Revit. El marcador de vista puede declararse con un tipo específico.</v>
      </c>
      <c r="R22" s="45" t="s">
        <v>10</v>
      </c>
      <c r="S22" s="46" t="str">
        <f t="shared" si="4"/>
        <v>Espacialidade</v>
      </c>
      <c r="T22" s="46" t="str">
        <f t="shared" si="7"/>
        <v>Elementos de Elevações</v>
      </c>
      <c r="U22" s="46" t="str">
        <f t="shared" si="8"/>
        <v>Vistas do Projeto</v>
      </c>
      <c r="V22" s="45" t="s">
        <v>191</v>
      </c>
      <c r="W22" s="2" t="str">
        <f t="shared" si="5"/>
        <v>Key-ESP-22</v>
      </c>
      <c r="X22" s="46" t="s">
        <v>452</v>
      </c>
      <c r="Y22" s="46" t="s">
        <v>441</v>
      </c>
      <c r="Z22" s="45" t="s">
        <v>424</v>
      </c>
      <c r="AA22" s="44" t="str">
        <f t="shared" ca="1" si="24"/>
        <v>Back Facade Elevation Symbol. Relative to the Main or North Facade of Revit Project. The view marker can be declared with a specific type.</v>
      </c>
    </row>
    <row r="23" spans="1:27" customFormat="1" ht="6" customHeight="1" x14ac:dyDescent="0.4">
      <c r="A23" s="39">
        <v>23</v>
      </c>
      <c r="B23" s="40" t="s">
        <v>81</v>
      </c>
      <c r="C23" s="40" t="s">
        <v>442</v>
      </c>
      <c r="D23" s="40" t="s">
        <v>455</v>
      </c>
      <c r="E23" s="40" t="s">
        <v>348</v>
      </c>
      <c r="F23" s="48" t="s">
        <v>559</v>
      </c>
      <c r="G23" s="42" t="s">
        <v>10</v>
      </c>
      <c r="H23" s="42" t="s">
        <v>10</v>
      </c>
      <c r="I23" s="42" t="s">
        <v>10</v>
      </c>
      <c r="J23" s="42" t="s">
        <v>10</v>
      </c>
      <c r="K23" s="42" t="s">
        <v>10</v>
      </c>
      <c r="L23" s="43" t="str">
        <f t="shared" si="20"/>
        <v>Espacialidade</v>
      </c>
      <c r="M23" s="43" t="str">
        <f t="shared" si="21"/>
        <v>Elementos.de.Elevações</v>
      </c>
      <c r="N23" s="43" t="str">
        <f t="shared" si="22"/>
        <v>Vistas do Projeto</v>
      </c>
      <c r="O23" s="43" t="str">
        <f t="shared" si="23"/>
        <v>Fachada Lateral Derecha</v>
      </c>
      <c r="P23" s="44" t="s">
        <v>563</v>
      </c>
      <c r="Q23" s="44" t="str">
        <f t="shared" ca="1" si="6"/>
        <v>Símbolo de elevación de la fachada del lado derecho. Relativo a la fachada principal o norte del proyecto Revit. El marcador de visión puede declararse con un tipo específico.</v>
      </c>
      <c r="R23" s="45" t="s">
        <v>10</v>
      </c>
      <c r="S23" s="46" t="str">
        <f t="shared" si="4"/>
        <v>Espacialidade</v>
      </c>
      <c r="T23" s="46" t="str">
        <f t="shared" si="7"/>
        <v>Elementos de Elevações</v>
      </c>
      <c r="U23" s="46" t="str">
        <f t="shared" si="8"/>
        <v>Vistas do Projeto</v>
      </c>
      <c r="V23" s="45" t="s">
        <v>191</v>
      </c>
      <c r="W23" s="2" t="str">
        <f t="shared" si="5"/>
        <v>Key-ESP-23</v>
      </c>
      <c r="X23" s="46" t="s">
        <v>452</v>
      </c>
      <c r="Y23" s="46" t="s">
        <v>441</v>
      </c>
      <c r="Z23" s="45" t="s">
        <v>424</v>
      </c>
      <c r="AA23" s="44" t="str">
        <f t="shared" ca="1" si="24"/>
        <v>Right Side Façade Elevation Symbol. Relative to the Main or North Façade of Revit Project. The view marker can be declared with a specific type.</v>
      </c>
    </row>
    <row r="24" spans="1:27" customFormat="1" ht="6" customHeight="1" x14ac:dyDescent="0.4">
      <c r="A24" s="39">
        <v>24</v>
      </c>
      <c r="B24" s="40" t="s">
        <v>81</v>
      </c>
      <c r="C24" s="40" t="s">
        <v>442</v>
      </c>
      <c r="D24" s="40" t="s">
        <v>455</v>
      </c>
      <c r="E24" s="40" t="s">
        <v>348</v>
      </c>
      <c r="F24" s="48" t="s">
        <v>560</v>
      </c>
      <c r="G24" s="42" t="s">
        <v>10</v>
      </c>
      <c r="H24" s="42" t="s">
        <v>10</v>
      </c>
      <c r="I24" s="42" t="s">
        <v>10</v>
      </c>
      <c r="J24" s="42" t="s">
        <v>10</v>
      </c>
      <c r="K24" s="42" t="s">
        <v>10</v>
      </c>
      <c r="L24" s="43" t="str">
        <f t="shared" si="20"/>
        <v>Espacialidade</v>
      </c>
      <c r="M24" s="43" t="str">
        <f t="shared" si="21"/>
        <v>Elementos.de.Elevações</v>
      </c>
      <c r="N24" s="43" t="str">
        <f t="shared" si="22"/>
        <v>Vistas do Projeto</v>
      </c>
      <c r="O24" s="43" t="str">
        <f t="shared" si="23"/>
        <v>Fachada Lateral Esquerda</v>
      </c>
      <c r="P24" s="44" t="s">
        <v>564</v>
      </c>
      <c r="Q24" s="44" t="str">
        <f t="shared" ca="1" si="6"/>
        <v>Símbolo de elevación de la fachada del lado izquierdo. Relativo a la fachada principal o norte del proyecto Revit. El marcador de visión puede declararse con un tipo específico.</v>
      </c>
      <c r="R24" s="45" t="s">
        <v>10</v>
      </c>
      <c r="S24" s="46" t="str">
        <f t="shared" si="4"/>
        <v>Espacialidade</v>
      </c>
      <c r="T24" s="46" t="str">
        <f t="shared" si="7"/>
        <v>Elementos de Elevações</v>
      </c>
      <c r="U24" s="46" t="str">
        <f t="shared" si="8"/>
        <v>Vistas do Projeto</v>
      </c>
      <c r="V24" s="45" t="s">
        <v>191</v>
      </c>
      <c r="W24" s="2" t="str">
        <f t="shared" si="5"/>
        <v>Key-ESP-24</v>
      </c>
      <c r="X24" s="46" t="s">
        <v>452</v>
      </c>
      <c r="Y24" s="46" t="s">
        <v>441</v>
      </c>
      <c r="Z24" s="45" t="s">
        <v>424</v>
      </c>
      <c r="AA24" s="44" t="str">
        <f t="shared" ca="1" si="24"/>
        <v>Left Side Façade Elevation Symbol. Relative to the Main or North Façade of Revit Project. The view marker can be declared with a specific type.</v>
      </c>
    </row>
    <row r="25" spans="1:27" customFormat="1" ht="6" customHeight="1" x14ac:dyDescent="0.4">
      <c r="A25" s="39">
        <v>25</v>
      </c>
      <c r="B25" s="40" t="s">
        <v>81</v>
      </c>
      <c r="C25" s="40" t="s">
        <v>442</v>
      </c>
      <c r="D25" s="40" t="s">
        <v>455</v>
      </c>
      <c r="E25" s="40" t="s">
        <v>348</v>
      </c>
      <c r="F25" s="48" t="s">
        <v>449</v>
      </c>
      <c r="G25" s="42" t="s">
        <v>10</v>
      </c>
      <c r="H25" s="42" t="s">
        <v>10</v>
      </c>
      <c r="I25" s="42" t="s">
        <v>10</v>
      </c>
      <c r="J25" s="42" t="s">
        <v>10</v>
      </c>
      <c r="K25" s="42" t="s">
        <v>10</v>
      </c>
      <c r="L25" s="43" t="str">
        <f t="shared" ref="L25" si="25">CONCATENATE("", C25)</f>
        <v>Espacialidade</v>
      </c>
      <c r="M25" s="43" t="str">
        <f t="shared" ref="M25" si="26">CONCATENATE("", D25)</f>
        <v>Elementos.de.Elevações</v>
      </c>
      <c r="N25" s="43" t="str">
        <f t="shared" ref="N25" si="27">(SUBSTITUTE(SUBSTITUTE(CONCATENATE("",E25),"."," ")," De "," de "))</f>
        <v>Vistas do Projeto</v>
      </c>
      <c r="O25" s="43" t="str">
        <f t="shared" ref="O25" si="28">(SUBSTITUTE(SUBSTITUTE(CONCATENATE("",F25),"."," ")," De "," de "))</f>
        <v>Fachada Inespecífica</v>
      </c>
      <c r="P25" s="44" t="s">
        <v>565</v>
      </c>
      <c r="Q25" s="44" t="str">
        <f t="shared" ref="Q25" si="29">_xlfn.TRANSLATE(P25,"pt","es")</f>
        <v>Símbolo de elevación de una fachada secundaria. Relativo a la fachada principal o norte de un proyecto Revit. El marcador de vista puede declararse con un tipo específico.</v>
      </c>
      <c r="R25" s="45" t="s">
        <v>10</v>
      </c>
      <c r="S25" s="46" t="str">
        <f t="shared" ref="S25" si="30">SUBSTITUTE(C25, ".", " ")</f>
        <v>Espacialidade</v>
      </c>
      <c r="T25" s="46" t="str">
        <f t="shared" ref="T25" si="31">SUBSTITUTE(D25, ".", " ")</f>
        <v>Elementos de Elevações</v>
      </c>
      <c r="U25" s="46" t="str">
        <f t="shared" ref="U25" si="32">SUBSTITUTE(E25, ".", " ")</f>
        <v>Vistas do Projeto</v>
      </c>
      <c r="V25" s="45" t="s">
        <v>191</v>
      </c>
      <c r="W25" s="2" t="str">
        <f t="shared" si="5"/>
        <v>Key-ESP-25</v>
      </c>
      <c r="X25" s="46" t="s">
        <v>452</v>
      </c>
      <c r="Y25" s="46" t="s">
        <v>441</v>
      </c>
      <c r="Z25" s="45" t="s">
        <v>424</v>
      </c>
      <c r="AA25" s="44" t="str">
        <f t="shared" ref="AA25" si="33">_xlfn.TRANSLATE(P25,"pt","en")</f>
        <v>Elevation Symbol of a Secondary Facade. Relative to the Main or North Facade of a Revit Project. The view marker can be declared with a specific type.</v>
      </c>
    </row>
    <row r="26" spans="1:27" customFormat="1" ht="6" customHeight="1" x14ac:dyDescent="0.4">
      <c r="A26" s="39">
        <v>26</v>
      </c>
      <c r="B26" s="40" t="s">
        <v>81</v>
      </c>
      <c r="C26" s="40" t="s">
        <v>442</v>
      </c>
      <c r="D26" s="40" t="s">
        <v>455</v>
      </c>
      <c r="E26" s="40" t="s">
        <v>348</v>
      </c>
      <c r="F26" s="48" t="s">
        <v>448</v>
      </c>
      <c r="G26" s="42" t="s">
        <v>10</v>
      </c>
      <c r="H26" s="42" t="s">
        <v>10</v>
      </c>
      <c r="I26" s="42" t="s">
        <v>10</v>
      </c>
      <c r="J26" s="42" t="s">
        <v>10</v>
      </c>
      <c r="K26" s="42" t="s">
        <v>10</v>
      </c>
      <c r="L26" s="43" t="str">
        <f t="shared" si="20"/>
        <v>Espacialidade</v>
      </c>
      <c r="M26" s="43" t="str">
        <f t="shared" si="21"/>
        <v>Elementos.de.Elevações</v>
      </c>
      <c r="N26" s="43" t="str">
        <f t="shared" si="22"/>
        <v>Vistas do Projeto</v>
      </c>
      <c r="O26" s="43" t="str">
        <f t="shared" si="23"/>
        <v>Vista Interna</v>
      </c>
      <c r="P26" s="44" t="s">
        <v>453</v>
      </c>
      <c r="Q26" s="44" t="str">
        <f t="shared" ca="1" si="6"/>
        <v>Símbolo de elevación de una vista interior definido en el proyecto, para la paginación de baños y cocinas, por ejemplo: el marcador de vista puede declararse con un tipo específico.</v>
      </c>
      <c r="R26" s="45" t="s">
        <v>10</v>
      </c>
      <c r="S26" s="46" t="str">
        <f t="shared" si="4"/>
        <v>Espacialidade</v>
      </c>
      <c r="T26" s="46" t="str">
        <f t="shared" si="7"/>
        <v>Elementos de Elevações</v>
      </c>
      <c r="U26" s="46" t="str">
        <f t="shared" si="8"/>
        <v>Vistas do Projeto</v>
      </c>
      <c r="V26" s="45" t="s">
        <v>191</v>
      </c>
      <c r="W26" s="2" t="str">
        <f t="shared" si="5"/>
        <v>Key-ESP-26</v>
      </c>
      <c r="X26" s="46" t="s">
        <v>392</v>
      </c>
      <c r="Y26" s="46" t="s">
        <v>441</v>
      </c>
      <c r="Z26" s="45" t="s">
        <v>424</v>
      </c>
      <c r="AA26" s="44" t="str">
        <f t="shared" ca="1" si="24"/>
        <v>Elevation Symbol of an Interior View defined in the project, for pagination of bathrooms and kitchens, for example: the view marker can be declared with a specific type.</v>
      </c>
    </row>
    <row r="27" spans="1:27" customFormat="1" ht="6" customHeight="1" x14ac:dyDescent="0.4">
      <c r="A27" s="39">
        <v>27</v>
      </c>
      <c r="B27" s="40" t="s">
        <v>81</v>
      </c>
      <c r="C27" s="40" t="s">
        <v>442</v>
      </c>
      <c r="D27" s="40" t="s">
        <v>340</v>
      </c>
      <c r="E27" s="40" t="s">
        <v>224</v>
      </c>
      <c r="F27" s="41" t="s">
        <v>188</v>
      </c>
      <c r="G27" s="42" t="s">
        <v>10</v>
      </c>
      <c r="H27" s="42" t="s">
        <v>10</v>
      </c>
      <c r="I27" s="42" t="s">
        <v>10</v>
      </c>
      <c r="J27" s="42" t="s">
        <v>10</v>
      </c>
      <c r="K27" s="42" t="s">
        <v>10</v>
      </c>
      <c r="L27" s="43" t="str">
        <f t="shared" si="1"/>
        <v>Espacialidade</v>
      </c>
      <c r="M27" s="43" t="str">
        <f t="shared" si="2"/>
        <v>Elementos.Estruturantes</v>
      </c>
      <c r="N27" s="43" t="str">
        <f t="shared" si="19"/>
        <v>Eixos Estruturais</v>
      </c>
      <c r="O27" s="43" t="str">
        <f t="shared" si="19"/>
        <v>Eixo Estrutural</v>
      </c>
      <c r="P27" s="44" t="s">
        <v>225</v>
      </c>
      <c r="Q27" s="44" t="str">
        <f t="shared" ca="1" si="6"/>
        <v>Ejes de diseño utilizados para la ubicación de columnas, simetrías, cuerpos, etc.</v>
      </c>
      <c r="R27" s="45" t="s">
        <v>10</v>
      </c>
      <c r="S27" s="46" t="str">
        <f t="shared" si="4"/>
        <v>Espacialidade</v>
      </c>
      <c r="T27" s="46" t="str">
        <f t="shared" si="7"/>
        <v>Elementos Estruturantes</v>
      </c>
      <c r="U27" s="46" t="str">
        <f t="shared" si="8"/>
        <v>Eixos Estruturais</v>
      </c>
      <c r="V27" s="45" t="s">
        <v>191</v>
      </c>
      <c r="W27" s="2" t="str">
        <f t="shared" si="5"/>
        <v>Key-ESP-27</v>
      </c>
      <c r="X27" s="44" t="s">
        <v>393</v>
      </c>
      <c r="Y27" s="61" t="s">
        <v>367</v>
      </c>
      <c r="Z27" s="45" t="s">
        <v>424</v>
      </c>
      <c r="AA27" s="44" t="str">
        <f t="shared" ca="1" si="9"/>
        <v>Design axes used for column location, symmetries, bodies, etc.</v>
      </c>
    </row>
    <row r="28" spans="1:27" customFormat="1" ht="6" customHeight="1" x14ac:dyDescent="0.4">
      <c r="A28" s="39">
        <v>28</v>
      </c>
      <c r="B28" s="40" t="s">
        <v>81</v>
      </c>
      <c r="C28" s="40" t="s">
        <v>442</v>
      </c>
      <c r="D28" s="40" t="s">
        <v>340</v>
      </c>
      <c r="E28" s="40" t="s">
        <v>224</v>
      </c>
      <c r="F28" s="41" t="s">
        <v>226</v>
      </c>
      <c r="G28" s="42" t="s">
        <v>10</v>
      </c>
      <c r="H28" s="42" t="s">
        <v>10</v>
      </c>
      <c r="I28" s="42" t="s">
        <v>10</v>
      </c>
      <c r="J28" s="42" t="s">
        <v>10</v>
      </c>
      <c r="K28" s="42" t="s">
        <v>10</v>
      </c>
      <c r="L28" s="43" t="str">
        <f t="shared" si="1"/>
        <v>Espacialidade</v>
      </c>
      <c r="M28" s="43" t="str">
        <f t="shared" si="2"/>
        <v>Elementos.Estruturantes</v>
      </c>
      <c r="N28" s="43" t="str">
        <f t="shared" si="19"/>
        <v>Eixos Estruturais</v>
      </c>
      <c r="O28" s="43" t="str">
        <f t="shared" si="19"/>
        <v>Eixo Estrutural Irregular</v>
      </c>
      <c r="P28" s="44" t="s">
        <v>227</v>
      </c>
      <c r="Q28" s="44" t="str">
        <f t="shared" ca="1" si="6"/>
        <v>Ejes de diseño dispuestos de manera irregular usados para la ubicación de columnas, simetrías, cuerpos, etc.</v>
      </c>
      <c r="R28" s="45" t="s">
        <v>10</v>
      </c>
      <c r="S28" s="46" t="str">
        <f t="shared" si="4"/>
        <v>Espacialidade</v>
      </c>
      <c r="T28" s="46" t="str">
        <f t="shared" si="7"/>
        <v>Elementos Estruturantes</v>
      </c>
      <c r="U28" s="46" t="str">
        <f t="shared" si="8"/>
        <v>Eixos Estruturais</v>
      </c>
      <c r="V28" s="45" t="s">
        <v>191</v>
      </c>
      <c r="W28" s="2" t="str">
        <f t="shared" si="5"/>
        <v>Key-ESP-28</v>
      </c>
      <c r="X28" s="44" t="s">
        <v>393</v>
      </c>
      <c r="Y28" s="61" t="s">
        <v>368</v>
      </c>
      <c r="Z28" s="45" t="s">
        <v>424</v>
      </c>
      <c r="AA28" s="44" t="str">
        <f t="shared" ca="1" si="9"/>
        <v>Irregularly arranged design axes used for the location of columns, symmetries, bodies, etc.</v>
      </c>
    </row>
    <row r="29" spans="1:27" customFormat="1" ht="6" customHeight="1" x14ac:dyDescent="0.4">
      <c r="A29" s="39">
        <v>29</v>
      </c>
      <c r="B29" s="40" t="s">
        <v>81</v>
      </c>
      <c r="C29" s="40" t="s">
        <v>442</v>
      </c>
      <c r="D29" s="40" t="s">
        <v>340</v>
      </c>
      <c r="E29" s="40" t="s">
        <v>224</v>
      </c>
      <c r="F29" s="41" t="s">
        <v>228</v>
      </c>
      <c r="G29" s="42" t="s">
        <v>10</v>
      </c>
      <c r="H29" s="42" t="s">
        <v>10</v>
      </c>
      <c r="I29" s="42" t="s">
        <v>10</v>
      </c>
      <c r="J29" s="42" t="s">
        <v>10</v>
      </c>
      <c r="K29" s="42" t="s">
        <v>10</v>
      </c>
      <c r="L29" s="43" t="str">
        <f t="shared" si="1"/>
        <v>Espacialidade</v>
      </c>
      <c r="M29" s="43" t="str">
        <f t="shared" si="2"/>
        <v>Elementos.Estruturantes</v>
      </c>
      <c r="N29" s="43" t="str">
        <f t="shared" si="19"/>
        <v>Eixos Estruturais</v>
      </c>
      <c r="O29" s="43" t="str">
        <f t="shared" si="19"/>
        <v>Eixo Estrutural Radial</v>
      </c>
      <c r="P29" s="44" t="s">
        <v>229</v>
      </c>
      <c r="Q29" s="44" t="str">
        <f t="shared" ca="1" si="6"/>
        <v>Ejes de diseño dispuestos radialmente usados para la ubicación de columnas, simetrías, cuerpos, etc.</v>
      </c>
      <c r="R29" s="45" t="s">
        <v>10</v>
      </c>
      <c r="S29" s="46" t="str">
        <f t="shared" si="4"/>
        <v>Espacialidade</v>
      </c>
      <c r="T29" s="46" t="str">
        <f t="shared" si="7"/>
        <v>Elementos Estruturantes</v>
      </c>
      <c r="U29" s="46" t="str">
        <f t="shared" si="8"/>
        <v>Eixos Estruturais</v>
      </c>
      <c r="V29" s="45" t="s">
        <v>191</v>
      </c>
      <c r="W29" s="2" t="str">
        <f t="shared" si="5"/>
        <v>Key-ESP-29</v>
      </c>
      <c r="X29" s="44" t="s">
        <v>393</v>
      </c>
      <c r="Y29" s="61" t="s">
        <v>369</v>
      </c>
      <c r="Z29" s="45" t="s">
        <v>424</v>
      </c>
      <c r="AA29" s="44" t="str">
        <f t="shared" ca="1" si="9"/>
        <v>Radially arranged design axes used for location of columns, symmetries, bodies, etc.</v>
      </c>
    </row>
    <row r="30" spans="1:27" customFormat="1" ht="6" customHeight="1" x14ac:dyDescent="0.4">
      <c r="A30" s="39">
        <v>30</v>
      </c>
      <c r="B30" s="40" t="s">
        <v>81</v>
      </c>
      <c r="C30" s="40" t="s">
        <v>442</v>
      </c>
      <c r="D30" s="40" t="s">
        <v>340</v>
      </c>
      <c r="E30" s="40" t="s">
        <v>224</v>
      </c>
      <c r="F30" s="41" t="s">
        <v>230</v>
      </c>
      <c r="G30" s="42" t="s">
        <v>10</v>
      </c>
      <c r="H30" s="42" t="s">
        <v>10</v>
      </c>
      <c r="I30" s="42" t="s">
        <v>10</v>
      </c>
      <c r="J30" s="42" t="s">
        <v>10</v>
      </c>
      <c r="K30" s="42" t="s">
        <v>10</v>
      </c>
      <c r="L30" s="43" t="str">
        <f t="shared" si="1"/>
        <v>Espacialidade</v>
      </c>
      <c r="M30" s="43" t="str">
        <f t="shared" si="2"/>
        <v>Elementos.Estruturantes</v>
      </c>
      <c r="N30" s="43" t="str">
        <f t="shared" si="19"/>
        <v>Eixos Estruturais</v>
      </c>
      <c r="O30" s="43" t="str">
        <f t="shared" si="19"/>
        <v>Eixo Estrutural Retangular</v>
      </c>
      <c r="P30" s="44" t="s">
        <v>231</v>
      </c>
      <c r="Q30" s="44" t="str">
        <f t="shared" ca="1" si="6"/>
        <v>Ejes de diseño dispuestos regularmente usados para la ubicación de columnas, simetrías, cuerpos, etc.</v>
      </c>
      <c r="R30" s="45" t="s">
        <v>10</v>
      </c>
      <c r="S30" s="46" t="str">
        <f t="shared" si="4"/>
        <v>Espacialidade</v>
      </c>
      <c r="T30" s="46" t="str">
        <f t="shared" si="7"/>
        <v>Elementos Estruturantes</v>
      </c>
      <c r="U30" s="46" t="str">
        <f t="shared" si="8"/>
        <v>Eixos Estruturais</v>
      </c>
      <c r="V30" s="45" t="s">
        <v>191</v>
      </c>
      <c r="W30" s="2" t="str">
        <f t="shared" si="5"/>
        <v>Key-ESP-30</v>
      </c>
      <c r="X30" s="44" t="s">
        <v>393</v>
      </c>
      <c r="Y30" s="61" t="s">
        <v>370</v>
      </c>
      <c r="Z30" s="45" t="s">
        <v>424</v>
      </c>
      <c r="AA30" s="44" t="str">
        <f t="shared" ca="1" si="9"/>
        <v>Regularly arranged design axes used for column location, symmetries, bodies, etc.</v>
      </c>
    </row>
    <row r="31" spans="1:27" customFormat="1" ht="6" customHeight="1" x14ac:dyDescent="0.4">
      <c r="A31" s="39">
        <v>31</v>
      </c>
      <c r="B31" s="40" t="s">
        <v>81</v>
      </c>
      <c r="C31" s="40" t="s">
        <v>442</v>
      </c>
      <c r="D31" s="40" t="s">
        <v>340</v>
      </c>
      <c r="E31" s="40" t="s">
        <v>224</v>
      </c>
      <c r="F31" s="41" t="s">
        <v>232</v>
      </c>
      <c r="G31" s="42" t="s">
        <v>10</v>
      </c>
      <c r="H31" s="42" t="s">
        <v>10</v>
      </c>
      <c r="I31" s="42" t="s">
        <v>10</v>
      </c>
      <c r="J31" s="42" t="s">
        <v>10</v>
      </c>
      <c r="K31" s="42" t="s">
        <v>10</v>
      </c>
      <c r="L31" s="43" t="str">
        <f t="shared" ref="L31:L35" si="34">CONCATENATE("", C31)</f>
        <v>Espacialidade</v>
      </c>
      <c r="M31" s="43" t="str">
        <f t="shared" ref="M31:M35" si="35">CONCATENATE("", D31)</f>
        <v>Elementos.Estruturantes</v>
      </c>
      <c r="N31" s="43" t="str">
        <f t="shared" ref="N31:N35" si="36">(SUBSTITUTE(SUBSTITUTE(CONCATENATE("",E31),"."," ")," De "," de "))</f>
        <v>Eixos Estruturais</v>
      </c>
      <c r="O31" s="43" t="str">
        <f t="shared" ref="O31:O35" si="37">(SUBSTITUTE(SUBSTITUTE(CONCATENATE("",F31),"."," ")," De "," de "))</f>
        <v>Eixo Estrutural Triangular</v>
      </c>
      <c r="P31" s="44" t="s">
        <v>233</v>
      </c>
      <c r="Q31" s="44" t="str">
        <f t="shared" ca="1" si="6"/>
        <v>Ejes de diseño dispuestos de forma inclinada o triangular usados para localizar columnas, simetrías, cuerpos, etc.</v>
      </c>
      <c r="R31" s="45" t="s">
        <v>10</v>
      </c>
      <c r="S31" s="46" t="str">
        <f t="shared" si="4"/>
        <v>Espacialidade</v>
      </c>
      <c r="T31" s="46" t="str">
        <f t="shared" si="7"/>
        <v>Elementos Estruturantes</v>
      </c>
      <c r="U31" s="46" t="str">
        <f t="shared" si="8"/>
        <v>Eixos Estruturais</v>
      </c>
      <c r="V31" s="45" t="s">
        <v>191</v>
      </c>
      <c r="W31" s="2" t="str">
        <f t="shared" si="5"/>
        <v>Key-ESP-31</v>
      </c>
      <c r="X31" s="44" t="s">
        <v>393</v>
      </c>
      <c r="Y31" s="61" t="s">
        <v>371</v>
      </c>
      <c r="Z31" s="45" t="s">
        <v>424</v>
      </c>
      <c r="AA31" s="44" t="str">
        <f t="shared" ref="AA31:AA35" ca="1" si="38">_xlfn.TRANSLATE(P31,"pt","en")</f>
        <v>Design axes arranged in an inclined or triangular manner used to locate columns, symmetries, bodies, etc.</v>
      </c>
    </row>
    <row r="32" spans="1:27" customFormat="1" ht="6" customHeight="1" x14ac:dyDescent="0.4">
      <c r="A32" s="39">
        <v>32</v>
      </c>
      <c r="B32" s="40" t="s">
        <v>81</v>
      </c>
      <c r="C32" s="40" t="s">
        <v>442</v>
      </c>
      <c r="D32" s="40" t="s">
        <v>340</v>
      </c>
      <c r="E32" s="40" t="s">
        <v>224</v>
      </c>
      <c r="F32" s="41" t="s">
        <v>356</v>
      </c>
      <c r="G32" s="42" t="s">
        <v>10</v>
      </c>
      <c r="H32" s="42" t="s">
        <v>10</v>
      </c>
      <c r="I32" s="42" t="s">
        <v>10</v>
      </c>
      <c r="J32" s="42" t="s">
        <v>10</v>
      </c>
      <c r="K32" s="42" t="s">
        <v>10</v>
      </c>
      <c r="L32" s="43" t="str">
        <f t="shared" si="34"/>
        <v>Espacialidade</v>
      </c>
      <c r="M32" s="43" t="str">
        <f t="shared" si="35"/>
        <v>Elementos.Estruturantes</v>
      </c>
      <c r="N32" s="43" t="str">
        <f t="shared" si="36"/>
        <v>Eixos Estruturais</v>
      </c>
      <c r="O32" s="43" t="str">
        <f t="shared" si="37"/>
        <v>Símbolo de Eixo</v>
      </c>
      <c r="P32" s="44" t="s">
        <v>357</v>
      </c>
      <c r="Q32" s="44" t="str">
        <f t="shared" ref="Q32" si="39">_xlfn.TRANSLATE(P32,"pt","es")</f>
        <v>Elemento simbólico de referencia de la posición del eje estructural: marcador del eje.</v>
      </c>
      <c r="R32" s="45" t="s">
        <v>10</v>
      </c>
      <c r="S32" s="46" t="str">
        <f t="shared" ref="S32" si="40">SUBSTITUTE(C32, ".", " ")</f>
        <v>Espacialidade</v>
      </c>
      <c r="T32" s="46" t="str">
        <f t="shared" ref="T32" si="41">SUBSTITUTE(D32, ".", " ")</f>
        <v>Elementos Estruturantes</v>
      </c>
      <c r="U32" s="46" t="str">
        <f t="shared" ref="U32" si="42">SUBSTITUTE(E32, ".", " ")</f>
        <v>Eixos Estruturais</v>
      </c>
      <c r="V32" s="45" t="s">
        <v>191</v>
      </c>
      <c r="W32" s="2" t="str">
        <f t="shared" si="5"/>
        <v>Key-ESP-32</v>
      </c>
      <c r="X32" s="44" t="s">
        <v>393</v>
      </c>
      <c r="Y32" s="61" t="s">
        <v>371</v>
      </c>
      <c r="Z32" s="45" t="s">
        <v>424</v>
      </c>
      <c r="AA32" s="44" t="str">
        <f t="shared" si="38"/>
        <v>Symbolic reference element of the position of the Structural Axis: Axis marker.</v>
      </c>
    </row>
    <row r="33" spans="1:27" customFormat="1" ht="6" customHeight="1" x14ac:dyDescent="0.4">
      <c r="A33" s="39">
        <v>33</v>
      </c>
      <c r="B33" s="40" t="s">
        <v>81</v>
      </c>
      <c r="C33" s="40" t="s">
        <v>442</v>
      </c>
      <c r="D33" s="40" t="s">
        <v>340</v>
      </c>
      <c r="E33" s="40" t="s">
        <v>566</v>
      </c>
      <c r="F33" s="41" t="s">
        <v>444</v>
      </c>
      <c r="G33" s="42" t="s">
        <v>10</v>
      </c>
      <c r="H33" s="42" t="s">
        <v>10</v>
      </c>
      <c r="I33" s="42" t="s">
        <v>10</v>
      </c>
      <c r="J33" s="42" t="s">
        <v>10</v>
      </c>
      <c r="K33" s="42" t="s">
        <v>10</v>
      </c>
      <c r="L33" s="43" t="str">
        <f t="shared" ref="L33" si="43">CONCATENATE("", C33)</f>
        <v>Espacialidade</v>
      </c>
      <c r="M33" s="43" t="str">
        <f t="shared" ref="M33" si="44">CONCATENATE("", D33)</f>
        <v>Elementos.Estruturantes</v>
      </c>
      <c r="N33" s="43" t="str">
        <f t="shared" ref="N33" si="45">(SUBSTITUTE(SUBSTITUTE(CONCATENATE("",E33),"."," ")," De "," de "))</f>
        <v>Eixos de Simetrias</v>
      </c>
      <c r="O33" s="43" t="str">
        <f t="shared" ref="O33" si="46">(SUBSTITUTE(SUBSTITUTE(CONCATENATE("",F33),"."," ")," De "," de "))</f>
        <v>Eixo Simetria Principal</v>
      </c>
      <c r="P33" s="44" t="s">
        <v>445</v>
      </c>
      <c r="Q33" s="44" t="str">
        <f t="shared" si="6"/>
        <v>Elemento simbólico de referencia de la posición de un eje axial principal de simetría del edificio.</v>
      </c>
      <c r="R33" s="45" t="s">
        <v>10</v>
      </c>
      <c r="S33" s="46" t="str">
        <f t="shared" si="4"/>
        <v>Espacialidade</v>
      </c>
      <c r="T33" s="46" t="str">
        <f t="shared" si="7"/>
        <v>Elementos Estruturantes</v>
      </c>
      <c r="U33" s="46" t="str">
        <f t="shared" si="8"/>
        <v>Eixos de Simetrias</v>
      </c>
      <c r="V33" s="45" t="s">
        <v>191</v>
      </c>
      <c r="W33" s="2" t="str">
        <f t="shared" si="5"/>
        <v>Key-ESP-33</v>
      </c>
      <c r="X33" s="44" t="s">
        <v>393</v>
      </c>
      <c r="Y33" s="61" t="s">
        <v>367</v>
      </c>
      <c r="Z33" s="45" t="s">
        <v>424</v>
      </c>
      <c r="AA33" s="44" t="str">
        <f t="shared" ref="AA33" si="47">_xlfn.TRANSLATE(P33,"pt","en")</f>
        <v>Symbolic reference element of the position of a Main Axial Symmetry Axis of the Building.</v>
      </c>
    </row>
    <row r="34" spans="1:27" customFormat="1" ht="6" customHeight="1" x14ac:dyDescent="0.4">
      <c r="A34" s="39">
        <v>34</v>
      </c>
      <c r="B34" s="40" t="s">
        <v>81</v>
      </c>
      <c r="C34" s="40" t="s">
        <v>442</v>
      </c>
      <c r="D34" s="40" t="s">
        <v>340</v>
      </c>
      <c r="E34" s="40" t="s">
        <v>566</v>
      </c>
      <c r="F34" s="41" t="s">
        <v>443</v>
      </c>
      <c r="G34" s="42" t="s">
        <v>10</v>
      </c>
      <c r="H34" s="42" t="s">
        <v>10</v>
      </c>
      <c r="I34" s="42" t="s">
        <v>10</v>
      </c>
      <c r="J34" s="42" t="s">
        <v>10</v>
      </c>
      <c r="K34" s="42" t="s">
        <v>10</v>
      </c>
      <c r="L34" s="43" t="str">
        <f t="shared" si="34"/>
        <v>Espacialidade</v>
      </c>
      <c r="M34" s="43" t="str">
        <f t="shared" si="35"/>
        <v>Elementos.Estruturantes</v>
      </c>
      <c r="N34" s="43" t="str">
        <f t="shared" si="36"/>
        <v>Eixos de Simetrias</v>
      </c>
      <c r="O34" s="43" t="str">
        <f t="shared" si="37"/>
        <v>Eixo Simetria Local</v>
      </c>
      <c r="P34" s="44" t="s">
        <v>446</v>
      </c>
      <c r="Q34" s="44" t="str">
        <f t="shared" ref="Q34:Q35" si="48">_xlfn.TRANSLATE(P34,"pt","es")</f>
        <v>Elemento de referencia simbólico de la posición de un eje axial secundario o local de simetría de una parte del edificio.</v>
      </c>
      <c r="R34" s="45" t="s">
        <v>10</v>
      </c>
      <c r="S34" s="46" t="str">
        <f t="shared" ref="S34:S35" si="49">SUBSTITUTE(C34, ".", " ")</f>
        <v>Espacialidade</v>
      </c>
      <c r="T34" s="46" t="str">
        <f t="shared" ref="T34:T35" si="50">SUBSTITUTE(D34, ".", " ")</f>
        <v>Elementos Estruturantes</v>
      </c>
      <c r="U34" s="46" t="str">
        <f t="shared" ref="U34:U35" si="51">SUBSTITUTE(E34, ".", " ")</f>
        <v>Eixos de Simetrias</v>
      </c>
      <c r="V34" s="45" t="s">
        <v>191</v>
      </c>
      <c r="W34" s="2" t="str">
        <f t="shared" si="5"/>
        <v>Key-ESP-34</v>
      </c>
      <c r="X34" s="44" t="s">
        <v>393</v>
      </c>
      <c r="Y34" s="61" t="s">
        <v>367</v>
      </c>
      <c r="Z34" s="45" t="s">
        <v>424</v>
      </c>
      <c r="AA34" s="44" t="str">
        <f t="shared" ca="1" si="38"/>
        <v>Symbolic reference element of the position of a Secondary or Local Axial Symmetry Axis of a Part of the Building.</v>
      </c>
    </row>
    <row r="35" spans="1:27" customFormat="1" ht="6" customHeight="1" x14ac:dyDescent="0.4">
      <c r="A35" s="39">
        <v>35</v>
      </c>
      <c r="B35" s="40" t="s">
        <v>81</v>
      </c>
      <c r="C35" s="40" t="s">
        <v>442</v>
      </c>
      <c r="D35" s="40" t="s">
        <v>623</v>
      </c>
      <c r="E35" s="40" t="s">
        <v>658</v>
      </c>
      <c r="F35" s="41" t="s">
        <v>399</v>
      </c>
      <c r="G35" s="42" t="s">
        <v>10</v>
      </c>
      <c r="H35" s="42" t="s">
        <v>10</v>
      </c>
      <c r="I35" s="42" t="s">
        <v>10</v>
      </c>
      <c r="J35" s="42" t="s">
        <v>10</v>
      </c>
      <c r="K35" s="42" t="s">
        <v>10</v>
      </c>
      <c r="L35" s="43" t="str">
        <f t="shared" si="34"/>
        <v>Espacialidade</v>
      </c>
      <c r="M35" s="43" t="str">
        <f t="shared" si="35"/>
        <v>Elementos.de.Implantação</v>
      </c>
      <c r="N35" s="43" t="str">
        <f t="shared" si="36"/>
        <v>Divisas e Entorno</v>
      </c>
      <c r="O35" s="43" t="str">
        <f t="shared" si="37"/>
        <v>Campus</v>
      </c>
      <c r="P35" s="44" t="s">
        <v>624</v>
      </c>
      <c r="Q35" s="44" t="str">
        <f t="shared" ca="1" si="48"/>
        <v>Se refiere al lugar de implantación tipo campus donde se encuentra el proyecto. Se utiliza para proyectos urbanos implantados en grandes parcelas tipo campus.</v>
      </c>
      <c r="R35" s="45" t="s">
        <v>10</v>
      </c>
      <c r="S35" s="46" t="str">
        <f t="shared" si="49"/>
        <v>Espacialidade</v>
      </c>
      <c r="T35" s="46" t="str">
        <f t="shared" si="50"/>
        <v>Elementos de Implantação</v>
      </c>
      <c r="U35" s="46" t="str">
        <f t="shared" si="51"/>
        <v>Divisas e Entorno</v>
      </c>
      <c r="V35" s="45" t="s">
        <v>191</v>
      </c>
      <c r="W35" s="2" t="str">
        <f t="shared" ref="W35" si="52">CONCATENATE("Key-ESP-",A35)</f>
        <v>Key-ESP-35</v>
      </c>
      <c r="X35" s="44" t="s">
        <v>394</v>
      </c>
      <c r="Y35" s="61" t="s">
        <v>372</v>
      </c>
      <c r="Z35" s="45" t="s">
        <v>678</v>
      </c>
      <c r="AA35" s="44" t="str">
        <f t="shared" ca="1" si="38"/>
        <v>Refers to the Campus-type implantation location where the project is located. Used for urban projects implanted in large Campus-type lots.</v>
      </c>
    </row>
    <row r="36" spans="1:27" customFormat="1" ht="6" customHeight="1" x14ac:dyDescent="0.4">
      <c r="A36" s="39">
        <v>36</v>
      </c>
      <c r="B36" s="40" t="s">
        <v>81</v>
      </c>
      <c r="C36" s="40" t="s">
        <v>442</v>
      </c>
      <c r="D36" s="40" t="s">
        <v>623</v>
      </c>
      <c r="E36" s="40" t="s">
        <v>658</v>
      </c>
      <c r="F36" s="41" t="s">
        <v>634</v>
      </c>
      <c r="G36" s="42" t="s">
        <v>10</v>
      </c>
      <c r="H36" s="42" t="s">
        <v>10</v>
      </c>
      <c r="I36" s="42" t="s">
        <v>10</v>
      </c>
      <c r="J36" s="42" t="s">
        <v>10</v>
      </c>
      <c r="K36" s="42" t="s">
        <v>10</v>
      </c>
      <c r="L36" s="43" t="str">
        <f t="shared" si="1"/>
        <v>Espacialidade</v>
      </c>
      <c r="M36" s="43" t="str">
        <f t="shared" si="2"/>
        <v>Elementos.de.Implantação</v>
      </c>
      <c r="N36" s="43" t="str">
        <f t="shared" si="19"/>
        <v>Divisas e Entorno</v>
      </c>
      <c r="O36" s="43" t="str">
        <f t="shared" si="19"/>
        <v>Lote Urbano</v>
      </c>
      <c r="P36" s="44" t="s">
        <v>625</v>
      </c>
      <c r="Q36" s="44" t="str">
        <f t="shared" ca="1" si="6"/>
        <v>Se refiere a la ubicación del tipo de lote urbano donde se encuentra el proyecto. Se utiliza para proyectos urbanos realizados en lotes normales.</v>
      </c>
      <c r="R36" s="45" t="s">
        <v>10</v>
      </c>
      <c r="S36" s="46" t="str">
        <f t="shared" ref="S36" si="53">SUBSTITUTE(C36, ".", " ")</f>
        <v>Espacialidade</v>
      </c>
      <c r="T36" s="46" t="str">
        <f t="shared" ref="T36" si="54">SUBSTITUTE(D36, ".", " ")</f>
        <v>Elementos de Implantação</v>
      </c>
      <c r="U36" s="46" t="str">
        <f t="shared" ref="U36" si="55">SUBSTITUTE(E36, ".", " ")</f>
        <v>Divisas e Entorno</v>
      </c>
      <c r="V36" s="45" t="s">
        <v>191</v>
      </c>
      <c r="W36" s="2" t="str">
        <f t="shared" si="5"/>
        <v>Key-ESP-36</v>
      </c>
      <c r="X36" s="44" t="s">
        <v>394</v>
      </c>
      <c r="Y36" s="61" t="s">
        <v>372</v>
      </c>
      <c r="Z36" s="45" t="s">
        <v>365</v>
      </c>
      <c r="AA36" s="44" t="str">
        <f t="shared" ca="1" si="9"/>
        <v>Refers to the location of the Urban Lot type where the project is located. Used for urban projects implemented in normal lots.</v>
      </c>
    </row>
    <row r="37" spans="1:27" customFormat="1" ht="6" customHeight="1" x14ac:dyDescent="0.4">
      <c r="A37" s="39">
        <v>37</v>
      </c>
      <c r="B37" s="40" t="s">
        <v>81</v>
      </c>
      <c r="C37" s="40" t="s">
        <v>442</v>
      </c>
      <c r="D37" s="40" t="s">
        <v>623</v>
      </c>
      <c r="E37" s="40" t="s">
        <v>658</v>
      </c>
      <c r="F37" s="41" t="s">
        <v>236</v>
      </c>
      <c r="G37" s="42" t="s">
        <v>10</v>
      </c>
      <c r="H37" s="42" t="s">
        <v>10</v>
      </c>
      <c r="I37" s="42" t="s">
        <v>10</v>
      </c>
      <c r="J37" s="42" t="s">
        <v>10</v>
      </c>
      <c r="K37" s="42" t="s">
        <v>10</v>
      </c>
      <c r="L37" s="43" t="str">
        <f t="shared" ref="L37" si="56">CONCATENATE("", C37)</f>
        <v>Espacialidade</v>
      </c>
      <c r="M37" s="43" t="str">
        <f t="shared" ref="M37" si="57">CONCATENATE("", D37)</f>
        <v>Elementos.de.Implantação</v>
      </c>
      <c r="N37" s="43" t="str">
        <f t="shared" ref="N37" si="58">(SUBSTITUTE(SUBSTITUTE(CONCATENATE("",E37),"."," ")," De "," de "))</f>
        <v>Divisas e Entorno</v>
      </c>
      <c r="O37" s="43" t="str">
        <f t="shared" ref="O37" si="59">(SUBSTITUTE(SUBSTITUTE(CONCATENATE("",F37),"."," ")," De "," de "))</f>
        <v>Área Bruta</v>
      </c>
      <c r="P37" s="44" t="s">
        <v>637</v>
      </c>
      <c r="Q37" s="44" t="str">
        <f t="shared" ca="1" si="6"/>
        <v>Se implementó la delimitación del área bruta del proyecto.</v>
      </c>
      <c r="R37" s="45" t="s">
        <v>10</v>
      </c>
      <c r="S37" s="46" t="str">
        <f t="shared" si="4"/>
        <v>Espacialidade</v>
      </c>
      <c r="T37" s="46" t="str">
        <f t="shared" si="7"/>
        <v>Elementos de Implantação</v>
      </c>
      <c r="U37" s="46" t="str">
        <f t="shared" si="8"/>
        <v>Divisas e Entorno</v>
      </c>
      <c r="V37" s="45" t="s">
        <v>191</v>
      </c>
      <c r="W37" s="2" t="str">
        <f t="shared" si="5"/>
        <v>Key-ESP-37</v>
      </c>
      <c r="X37" s="44" t="s">
        <v>394</v>
      </c>
      <c r="Y37" s="61" t="s">
        <v>372</v>
      </c>
      <c r="Z37" s="45" t="s">
        <v>365</v>
      </c>
      <c r="AA37" s="44" t="str">
        <f t="shared" ref="AA37" ca="1" si="60">_xlfn.TRANSLATE(P37,"pt","en")</f>
        <v>Delimitation of the Gross Area of the Project implemented.</v>
      </c>
    </row>
    <row r="38" spans="1:27" customFormat="1" ht="6" customHeight="1" x14ac:dyDescent="0.4">
      <c r="A38" s="39">
        <v>38</v>
      </c>
      <c r="B38" s="40" t="s">
        <v>81</v>
      </c>
      <c r="C38" s="40" t="s">
        <v>442</v>
      </c>
      <c r="D38" s="40" t="s">
        <v>623</v>
      </c>
      <c r="E38" s="40" t="s">
        <v>658</v>
      </c>
      <c r="F38" s="41" t="s">
        <v>628</v>
      </c>
      <c r="G38" s="42" t="s">
        <v>10</v>
      </c>
      <c r="H38" s="42" t="s">
        <v>10</v>
      </c>
      <c r="I38" s="42" t="s">
        <v>10</v>
      </c>
      <c r="J38" s="42" t="s">
        <v>10</v>
      </c>
      <c r="K38" s="42" t="s">
        <v>10</v>
      </c>
      <c r="L38" s="43" t="str">
        <f t="shared" si="1"/>
        <v>Espacialidade</v>
      </c>
      <c r="M38" s="43" t="str">
        <f t="shared" si="2"/>
        <v>Elementos.de.Implantação</v>
      </c>
      <c r="N38" s="43" t="str">
        <f t="shared" si="19"/>
        <v>Divisas e Entorno</v>
      </c>
      <c r="O38" s="43" t="str">
        <f t="shared" si="19"/>
        <v>Área Construível Exterior</v>
      </c>
      <c r="P38" s="44" t="s">
        <v>629</v>
      </c>
      <c r="Q38" s="44" t="str">
        <f t="shared" ca="1" si="6"/>
        <v>Delimitación del espacio construible para llevar a cabo el proyecto.</v>
      </c>
      <c r="R38" s="45" t="s">
        <v>10</v>
      </c>
      <c r="S38" s="46" t="str">
        <f t="shared" si="4"/>
        <v>Espacialidade</v>
      </c>
      <c r="T38" s="46" t="str">
        <f t="shared" si="7"/>
        <v>Elementos de Implantação</v>
      </c>
      <c r="U38" s="46" t="str">
        <f t="shared" si="8"/>
        <v>Divisas e Entorno</v>
      </c>
      <c r="V38" s="45" t="s">
        <v>191</v>
      </c>
      <c r="W38" s="2" t="str">
        <f t="shared" si="5"/>
        <v>Key-ESP-38</v>
      </c>
      <c r="X38" s="44" t="s">
        <v>394</v>
      </c>
      <c r="Y38" s="61" t="s">
        <v>373</v>
      </c>
      <c r="Z38" s="45" t="s">
        <v>365</v>
      </c>
      <c r="AA38" s="44" t="str">
        <f t="shared" ca="1" si="9"/>
        <v>Delimitation of buildable space to implement the project.</v>
      </c>
    </row>
    <row r="39" spans="1:27" customFormat="1" ht="6" customHeight="1" x14ac:dyDescent="0.4">
      <c r="A39" s="39">
        <v>39</v>
      </c>
      <c r="B39" s="40" t="s">
        <v>81</v>
      </c>
      <c r="C39" s="40" t="s">
        <v>442</v>
      </c>
      <c r="D39" s="40" t="s">
        <v>623</v>
      </c>
      <c r="E39" s="40" t="s">
        <v>658</v>
      </c>
      <c r="F39" s="41" t="s">
        <v>633</v>
      </c>
      <c r="G39" s="42" t="s">
        <v>10</v>
      </c>
      <c r="H39" s="42" t="s">
        <v>10</v>
      </c>
      <c r="I39" s="42" t="s">
        <v>10</v>
      </c>
      <c r="J39" s="42" t="s">
        <v>10</v>
      </c>
      <c r="K39" s="42" t="s">
        <v>10</v>
      </c>
      <c r="L39" s="43" t="str">
        <f t="shared" si="1"/>
        <v>Espacialidade</v>
      </c>
      <c r="M39" s="43" t="str">
        <f t="shared" si="2"/>
        <v>Elementos.de.Implantação</v>
      </c>
      <c r="N39" s="43" t="str">
        <f t="shared" si="19"/>
        <v>Divisas e Entorno</v>
      </c>
      <c r="O39" s="43" t="str">
        <f t="shared" si="19"/>
        <v>Construção Vizinha</v>
      </c>
      <c r="P39" s="44" t="s">
        <v>636</v>
      </c>
      <c r="Q39" s="44" t="str">
        <f t="shared" ca="1" si="6"/>
        <v>Espacio ocupado por edificios vecinos al lugar de implantación.</v>
      </c>
      <c r="R39" s="45" t="s">
        <v>10</v>
      </c>
      <c r="S39" s="46" t="str">
        <f t="shared" si="4"/>
        <v>Espacialidade</v>
      </c>
      <c r="T39" s="46" t="str">
        <f t="shared" si="7"/>
        <v>Elementos de Implantação</v>
      </c>
      <c r="U39" s="46" t="str">
        <f t="shared" si="8"/>
        <v>Divisas e Entorno</v>
      </c>
      <c r="V39" s="45" t="s">
        <v>191</v>
      </c>
      <c r="W39" s="2" t="str">
        <f t="shared" si="5"/>
        <v>Key-ESP-39</v>
      </c>
      <c r="X39" s="44" t="s">
        <v>394</v>
      </c>
      <c r="Y39" s="61" t="s">
        <v>374</v>
      </c>
      <c r="Z39" s="45" t="s">
        <v>677</v>
      </c>
      <c r="AA39" s="44" t="str">
        <f t="shared" ca="1" si="9"/>
        <v>Space occupied by buildings neighboring the site of implantation.</v>
      </c>
    </row>
    <row r="40" spans="1:27" customFormat="1" ht="6" customHeight="1" x14ac:dyDescent="0.4">
      <c r="A40" s="39">
        <v>40</v>
      </c>
      <c r="B40" s="40" t="s">
        <v>81</v>
      </c>
      <c r="C40" s="40" t="s">
        <v>442</v>
      </c>
      <c r="D40" s="40" t="s">
        <v>623</v>
      </c>
      <c r="E40" s="40" t="s">
        <v>658</v>
      </c>
      <c r="F40" s="41" t="s">
        <v>630</v>
      </c>
      <c r="G40" s="42" t="s">
        <v>10</v>
      </c>
      <c r="H40" s="42" t="s">
        <v>10</v>
      </c>
      <c r="I40" s="42" t="s">
        <v>10</v>
      </c>
      <c r="J40" s="42" t="s">
        <v>10</v>
      </c>
      <c r="K40" s="42" t="s">
        <v>10</v>
      </c>
      <c r="L40" s="43" t="str">
        <f t="shared" si="1"/>
        <v>Espacialidade</v>
      </c>
      <c r="M40" s="43" t="str">
        <f t="shared" si="2"/>
        <v>Elementos.de.Implantação</v>
      </c>
      <c r="N40" s="43" t="str">
        <f t="shared" si="19"/>
        <v>Divisas e Entorno</v>
      </c>
      <c r="O40" s="43" t="str">
        <f t="shared" si="19"/>
        <v>Áreas Exteriores</v>
      </c>
      <c r="P40" s="44" t="s">
        <v>627</v>
      </c>
      <c r="Q40" s="44" t="str">
        <f t="shared" ca="1" si="6"/>
        <v>Espacio exterior de un proyecto implantado.</v>
      </c>
      <c r="R40" s="45" t="s">
        <v>10</v>
      </c>
      <c r="S40" s="46" t="str">
        <f t="shared" si="4"/>
        <v>Espacialidade</v>
      </c>
      <c r="T40" s="46" t="str">
        <f t="shared" si="7"/>
        <v>Elementos de Implantação</v>
      </c>
      <c r="U40" s="46" t="str">
        <f t="shared" si="8"/>
        <v>Divisas e Entorno</v>
      </c>
      <c r="V40" s="45" t="s">
        <v>191</v>
      </c>
      <c r="W40" s="2" t="str">
        <f t="shared" si="5"/>
        <v>Key-ESP-40</v>
      </c>
      <c r="X40" s="44" t="s">
        <v>394</v>
      </c>
      <c r="Y40" s="61" t="s">
        <v>376</v>
      </c>
      <c r="Z40" s="45" t="s">
        <v>365</v>
      </c>
      <c r="AA40" s="44" t="str">
        <f t="shared" si="9"/>
        <v>Outdoor space of an implanted project.</v>
      </c>
    </row>
    <row r="41" spans="1:27" customFormat="1" ht="6" customHeight="1" x14ac:dyDescent="0.4">
      <c r="A41" s="39">
        <v>41</v>
      </c>
      <c r="B41" s="40" t="s">
        <v>81</v>
      </c>
      <c r="C41" s="40" t="s">
        <v>442</v>
      </c>
      <c r="D41" s="40" t="s">
        <v>623</v>
      </c>
      <c r="E41" s="40" t="s">
        <v>658</v>
      </c>
      <c r="F41" s="41" t="s">
        <v>631</v>
      </c>
      <c r="G41" s="42" t="s">
        <v>10</v>
      </c>
      <c r="H41" s="42" t="s">
        <v>10</v>
      </c>
      <c r="I41" s="42" t="s">
        <v>10</v>
      </c>
      <c r="J41" s="42" t="s">
        <v>10</v>
      </c>
      <c r="K41" s="42" t="s">
        <v>10</v>
      </c>
      <c r="L41" s="43" t="str">
        <f t="shared" si="1"/>
        <v>Espacialidade</v>
      </c>
      <c r="M41" s="43" t="str">
        <f t="shared" si="2"/>
        <v>Elementos.de.Implantação</v>
      </c>
      <c r="N41" s="43" t="str">
        <f t="shared" si="19"/>
        <v>Divisas e Entorno</v>
      </c>
      <c r="O41" s="43" t="str">
        <f t="shared" si="19"/>
        <v>Áreas Exteriores Hídricas</v>
      </c>
      <c r="P41" s="44" t="s">
        <v>635</v>
      </c>
      <c r="Q41" s="44" t="str">
        <f t="shared" ca="1" si="6"/>
        <v>Espacio exterior cubierto de agua alrededor del edificio implantado.</v>
      </c>
      <c r="R41" s="45" t="s">
        <v>10</v>
      </c>
      <c r="S41" s="46" t="str">
        <f t="shared" si="4"/>
        <v>Espacialidade</v>
      </c>
      <c r="T41" s="46" t="str">
        <f t="shared" si="7"/>
        <v>Elementos de Implantação</v>
      </c>
      <c r="U41" s="46" t="str">
        <f t="shared" si="8"/>
        <v>Divisas e Entorno</v>
      </c>
      <c r="V41" s="45" t="s">
        <v>191</v>
      </c>
      <c r="W41" s="2" t="str">
        <f t="shared" si="5"/>
        <v>Key-ESP-41</v>
      </c>
      <c r="X41" s="44" t="s">
        <v>394</v>
      </c>
      <c r="Y41" s="61" t="s">
        <v>375</v>
      </c>
      <c r="Z41" s="45" t="s">
        <v>679</v>
      </c>
      <c r="AA41" s="44" t="str">
        <f t="shared" ca="1" si="9"/>
        <v>Outdoor space covered with water around the implanted building.</v>
      </c>
    </row>
    <row r="42" spans="1:27" customFormat="1" ht="6" customHeight="1" x14ac:dyDescent="0.4">
      <c r="A42" s="39">
        <v>42</v>
      </c>
      <c r="B42" s="40" t="s">
        <v>81</v>
      </c>
      <c r="C42" s="40" t="s">
        <v>442</v>
      </c>
      <c r="D42" s="40" t="s">
        <v>623</v>
      </c>
      <c r="E42" s="40" t="s">
        <v>658</v>
      </c>
      <c r="F42" s="41" t="s">
        <v>632</v>
      </c>
      <c r="G42" s="42" t="s">
        <v>10</v>
      </c>
      <c r="H42" s="42" t="s">
        <v>10</v>
      </c>
      <c r="I42" s="42" t="s">
        <v>10</v>
      </c>
      <c r="J42" s="42" t="s">
        <v>10</v>
      </c>
      <c r="K42" s="42" t="s">
        <v>10</v>
      </c>
      <c r="L42" s="43" t="str">
        <f t="shared" ref="L42" si="61">CONCATENATE("", C42)</f>
        <v>Espacialidade</v>
      </c>
      <c r="M42" s="43" t="str">
        <f t="shared" ref="M42" si="62">CONCATENATE("", D42)</f>
        <v>Elementos.de.Implantação</v>
      </c>
      <c r="N42" s="43" t="str">
        <f t="shared" ref="N42" si="63">(SUBSTITUTE(SUBSTITUTE(CONCATENATE("",E42),"."," ")," De "," de "))</f>
        <v>Divisas e Entorno</v>
      </c>
      <c r="O42" s="43" t="str">
        <f t="shared" ref="O42" si="64">(SUBSTITUTE(SUBSTITUTE(CONCATENATE("",F42),"."," ")," De "," de "))</f>
        <v>Áreas Exteriores Arvorizadas</v>
      </c>
      <c r="P42" s="44" t="s">
        <v>626</v>
      </c>
      <c r="Q42" s="44" t="str">
        <f t="shared" ref="Q42" si="65">_xlfn.TRANSLATE(P42,"pt","es")</f>
        <v>Árbol espacial exterior de un proyecto implantado.</v>
      </c>
      <c r="R42" s="45" t="s">
        <v>10</v>
      </c>
      <c r="S42" s="46" t="str">
        <f t="shared" ref="S42" si="66">SUBSTITUTE(C42, ".", " ")</f>
        <v>Espacialidade</v>
      </c>
      <c r="T42" s="46" t="str">
        <f t="shared" ref="T42" si="67">SUBSTITUTE(D42, ".", " ")</f>
        <v>Elementos de Implantação</v>
      </c>
      <c r="U42" s="46" t="str">
        <f t="shared" ref="U42" si="68">SUBSTITUTE(E42, ".", " ")</f>
        <v>Divisas e Entorno</v>
      </c>
      <c r="V42" s="45" t="s">
        <v>191</v>
      </c>
      <c r="W42" s="2" t="str">
        <f t="shared" ref="W42" si="69">CONCATENATE("Key-ESP-",A42)</f>
        <v>Key-ESP-42</v>
      </c>
      <c r="X42" s="44" t="s">
        <v>394</v>
      </c>
      <c r="Y42" s="61" t="s">
        <v>376</v>
      </c>
      <c r="Z42" s="45" t="s">
        <v>365</v>
      </c>
      <c r="AA42" s="44" t="str">
        <f t="shared" ref="AA42" si="70">_xlfn.TRANSLATE(P42,"pt","en")</f>
        <v>Outdoor space tree of an implanted project.</v>
      </c>
    </row>
    <row r="43" spans="1:27" customFormat="1" ht="6" customHeight="1" x14ac:dyDescent="0.4">
      <c r="A43" s="39">
        <v>43</v>
      </c>
      <c r="B43" s="40" t="s">
        <v>81</v>
      </c>
      <c r="C43" s="40" t="s">
        <v>442</v>
      </c>
      <c r="D43" s="40" t="s">
        <v>623</v>
      </c>
      <c r="E43" s="40" t="s">
        <v>658</v>
      </c>
      <c r="F43" s="41" t="s">
        <v>680</v>
      </c>
      <c r="G43" s="42" t="s">
        <v>10</v>
      </c>
      <c r="H43" s="42" t="s">
        <v>10</v>
      </c>
      <c r="I43" s="42" t="s">
        <v>10</v>
      </c>
      <c r="J43" s="42" t="s">
        <v>10</v>
      </c>
      <c r="K43" s="42" t="s">
        <v>10</v>
      </c>
      <c r="L43" s="43" t="str">
        <f t="shared" si="1"/>
        <v>Espacialidade</v>
      </c>
      <c r="M43" s="43" t="str">
        <f t="shared" si="2"/>
        <v>Elementos.de.Implantação</v>
      </c>
      <c r="N43" s="43" t="str">
        <f t="shared" si="19"/>
        <v>Divisas e Entorno</v>
      </c>
      <c r="O43" s="43" t="str">
        <f t="shared" si="19"/>
        <v>Áreas de Preservação</v>
      </c>
      <c r="P43" s="44" t="s">
        <v>682</v>
      </c>
      <c r="Q43" s="44" t="str">
        <f t="shared" si="6"/>
        <v>Espacio exterior protegido por algún tipo de protección medioambiental.</v>
      </c>
      <c r="R43" s="45" t="s">
        <v>10</v>
      </c>
      <c r="S43" s="46" t="str">
        <f t="shared" ref="S43:S139" si="71">SUBSTITUTE(C43, ".", " ")</f>
        <v>Espacialidade</v>
      </c>
      <c r="T43" s="46" t="str">
        <f t="shared" si="7"/>
        <v>Elementos de Implantação</v>
      </c>
      <c r="U43" s="46" t="str">
        <f t="shared" si="8"/>
        <v>Divisas e Entorno</v>
      </c>
      <c r="V43" s="45" t="s">
        <v>191</v>
      </c>
      <c r="W43" s="2" t="str">
        <f t="shared" si="5"/>
        <v>Key-ESP-43</v>
      </c>
      <c r="X43" s="44" t="s">
        <v>394</v>
      </c>
      <c r="Y43" s="61" t="s">
        <v>376</v>
      </c>
      <c r="Z43" s="45" t="s">
        <v>681</v>
      </c>
      <c r="AA43" s="44" t="str">
        <f t="shared" ca="1" si="9"/>
        <v>Outdoor space protected by some kind of environmental preservation provision.</v>
      </c>
    </row>
    <row r="44" spans="1:27" customFormat="1" ht="6" customHeight="1" x14ac:dyDescent="0.4">
      <c r="A44" s="39">
        <v>44</v>
      </c>
      <c r="B44" s="40" t="s">
        <v>81</v>
      </c>
      <c r="C44" s="40" t="s">
        <v>442</v>
      </c>
      <c r="D44" s="40" t="s">
        <v>623</v>
      </c>
      <c r="E44" s="40" t="s">
        <v>658</v>
      </c>
      <c r="F44" s="41" t="s">
        <v>531</v>
      </c>
      <c r="G44" s="42" t="s">
        <v>10</v>
      </c>
      <c r="H44" s="42" t="s">
        <v>10</v>
      </c>
      <c r="I44" s="42" t="s">
        <v>10</v>
      </c>
      <c r="J44" s="42" t="s">
        <v>10</v>
      </c>
      <c r="K44" s="42" t="s">
        <v>10</v>
      </c>
      <c r="L44" s="43" t="str">
        <f t="shared" si="1"/>
        <v>Espacialidade</v>
      </c>
      <c r="M44" s="43" t="str">
        <f t="shared" si="2"/>
        <v>Elementos.de.Implantação</v>
      </c>
      <c r="N44" s="43" t="str">
        <f t="shared" si="19"/>
        <v>Divisas e Entorno</v>
      </c>
      <c r="O44" s="43" t="str">
        <f t="shared" si="19"/>
        <v>Doca</v>
      </c>
      <c r="P44" s="44" t="s">
        <v>533</v>
      </c>
      <c r="Q44" s="44" t="str">
        <f t="shared" ca="1" si="6"/>
        <v>Espacios arquitectónicos exteriores dedicados para carga y descarga tipo muelle.</v>
      </c>
      <c r="R44" s="45" t="s">
        <v>10</v>
      </c>
      <c r="S44" s="46" t="str">
        <f t="shared" si="71"/>
        <v>Espacialidade</v>
      </c>
      <c r="T44" s="46" t="str">
        <f t="shared" si="7"/>
        <v>Elementos de Implantação</v>
      </c>
      <c r="U44" s="46" t="str">
        <f t="shared" si="8"/>
        <v>Divisas e Entorno</v>
      </c>
      <c r="V44" s="45" t="s">
        <v>191</v>
      </c>
      <c r="W44" s="2" t="str">
        <f t="shared" si="5"/>
        <v>Key-ESP-44</v>
      </c>
      <c r="X44" s="44" t="s">
        <v>394</v>
      </c>
      <c r="Y44" s="61" t="s">
        <v>377</v>
      </c>
      <c r="Z44" s="45" t="s">
        <v>365</v>
      </c>
      <c r="AA44" s="44" t="str">
        <f t="shared" si="9"/>
        <v>Dedicated outdoor architectural spaces for Dock-type Loading and Unloading.</v>
      </c>
    </row>
    <row r="45" spans="1:27" customFormat="1" ht="6" customHeight="1" x14ac:dyDescent="0.4">
      <c r="A45" s="39">
        <v>45</v>
      </c>
      <c r="B45" s="40" t="s">
        <v>81</v>
      </c>
      <c r="C45" s="40" t="s">
        <v>442</v>
      </c>
      <c r="D45" s="40" t="s">
        <v>623</v>
      </c>
      <c r="E45" s="40" t="s">
        <v>658</v>
      </c>
      <c r="F45" s="41" t="s">
        <v>536</v>
      </c>
      <c r="G45" s="42" t="s">
        <v>10</v>
      </c>
      <c r="H45" s="42" t="s">
        <v>10</v>
      </c>
      <c r="I45" s="42" t="s">
        <v>10</v>
      </c>
      <c r="J45" s="42" t="s">
        <v>10</v>
      </c>
      <c r="K45" s="42" t="s">
        <v>10</v>
      </c>
      <c r="L45" s="43" t="str">
        <f t="shared" ref="L45" si="72">CONCATENATE("", C45)</f>
        <v>Espacialidade</v>
      </c>
      <c r="M45" s="43" t="str">
        <f t="shared" ref="M45" si="73">CONCATENATE("", D45)</f>
        <v>Elementos.de.Implantação</v>
      </c>
      <c r="N45" s="43" t="str">
        <f t="shared" ref="N45" si="74">(SUBSTITUTE(SUBSTITUTE(CONCATENATE("",E45),"."," ")," De "," de "))</f>
        <v>Divisas e Entorno</v>
      </c>
      <c r="O45" s="43" t="str">
        <f t="shared" ref="O45" si="75">(SUBSTITUTE(SUBSTITUTE(CONCATENATE("",F45),"."," ")," De "," de "))</f>
        <v xml:space="preserve">Pátio Logístico </v>
      </c>
      <c r="P45" s="44" t="s">
        <v>534</v>
      </c>
      <c r="Q45" s="44" t="str">
        <f t="shared" ref="Q45" si="76">_xlfn.TRANSLATE(P45,"pt","es")</f>
        <v>Espacios arquitectónicos exteriores dedicados para el almacenamiento temporal de productos tipo patio.</v>
      </c>
      <c r="R45" s="45" t="s">
        <v>10</v>
      </c>
      <c r="S45" s="46" t="str">
        <f t="shared" ref="S45" si="77">SUBSTITUTE(C45, ".", " ")</f>
        <v>Espacialidade</v>
      </c>
      <c r="T45" s="46" t="str">
        <f t="shared" ref="T45" si="78">SUBSTITUTE(D45, ".", " ")</f>
        <v>Elementos de Implantação</v>
      </c>
      <c r="U45" s="46" t="str">
        <f t="shared" ref="U45" si="79">SUBSTITUTE(E45, ".", " ")</f>
        <v>Divisas e Entorno</v>
      </c>
      <c r="V45" s="45" t="s">
        <v>191</v>
      </c>
      <c r="W45" s="2" t="str">
        <f t="shared" ref="W45" si="80">CONCATENATE("Key-ESP-",A45)</f>
        <v>Key-ESP-45</v>
      </c>
      <c r="X45" s="44" t="s">
        <v>394</v>
      </c>
      <c r="Y45" s="61" t="s">
        <v>377</v>
      </c>
      <c r="Z45" s="45" t="s">
        <v>365</v>
      </c>
      <c r="AA45" s="44" t="str">
        <f t="shared" ref="AA45" si="81">_xlfn.TRANSLATE(P45,"pt","en")</f>
        <v>Dedicated outdoor architectural spaces for temporary storage of patio-type products.</v>
      </c>
    </row>
    <row r="46" spans="1:27" customFormat="1" ht="6" customHeight="1" x14ac:dyDescent="0.4">
      <c r="A46" s="39">
        <v>46</v>
      </c>
      <c r="B46" s="40" t="s">
        <v>81</v>
      </c>
      <c r="C46" s="40" t="s">
        <v>442</v>
      </c>
      <c r="D46" s="40" t="s">
        <v>623</v>
      </c>
      <c r="E46" s="40" t="s">
        <v>658</v>
      </c>
      <c r="F46" s="41" t="s">
        <v>532</v>
      </c>
      <c r="G46" s="42" t="s">
        <v>10</v>
      </c>
      <c r="H46" s="42" t="s">
        <v>10</v>
      </c>
      <c r="I46" s="42" t="s">
        <v>10</v>
      </c>
      <c r="J46" s="42" t="s">
        <v>10</v>
      </c>
      <c r="K46" s="42" t="s">
        <v>10</v>
      </c>
      <c r="L46" s="43" t="str">
        <f t="shared" si="1"/>
        <v>Espacialidade</v>
      </c>
      <c r="M46" s="43" t="str">
        <f t="shared" si="2"/>
        <v>Elementos.de.Implantação</v>
      </c>
      <c r="N46" s="43" t="str">
        <f t="shared" si="19"/>
        <v>Divisas e Entorno</v>
      </c>
      <c r="O46" s="43" t="str">
        <f t="shared" si="19"/>
        <v>Estacionamento</v>
      </c>
      <c r="P46" s="44" t="s">
        <v>535</v>
      </c>
      <c r="Q46" s="44" t="str">
        <f t="shared" ca="1" si="6"/>
        <v>Espacios arquitectónicos exteriores dedicados para usar como aparcamiento de vehículos, incluyendo acceso.</v>
      </c>
      <c r="R46" s="45" t="s">
        <v>10</v>
      </c>
      <c r="S46" s="46" t="str">
        <f t="shared" si="71"/>
        <v>Espacialidade</v>
      </c>
      <c r="T46" s="46" t="str">
        <f t="shared" si="7"/>
        <v>Elementos de Implantação</v>
      </c>
      <c r="U46" s="46" t="str">
        <f t="shared" si="8"/>
        <v>Divisas e Entorno</v>
      </c>
      <c r="V46" s="45" t="s">
        <v>191</v>
      </c>
      <c r="W46" s="2" t="str">
        <f t="shared" si="5"/>
        <v>Key-ESP-46</v>
      </c>
      <c r="X46" s="44" t="s">
        <v>394</v>
      </c>
      <c r="Y46" s="61" t="s">
        <v>377</v>
      </c>
      <c r="Z46" s="45" t="s">
        <v>365</v>
      </c>
      <c r="AA46" s="44" t="str">
        <f t="shared" ca="1" si="9"/>
        <v>Dedicated exterior architectural spaces to use as vehicle parking space, including access.</v>
      </c>
    </row>
    <row r="47" spans="1:27" customFormat="1" ht="6" customHeight="1" x14ac:dyDescent="0.4">
      <c r="A47" s="39">
        <v>47</v>
      </c>
      <c r="B47" s="40" t="s">
        <v>81</v>
      </c>
      <c r="C47" s="40" t="s">
        <v>442</v>
      </c>
      <c r="D47" s="40" t="s">
        <v>447</v>
      </c>
      <c r="E47" s="40" t="s">
        <v>456</v>
      </c>
      <c r="F47" s="41" t="s">
        <v>46</v>
      </c>
      <c r="G47" s="42" t="s">
        <v>10</v>
      </c>
      <c r="H47" s="42" t="s">
        <v>10</v>
      </c>
      <c r="I47" s="42" t="s">
        <v>10</v>
      </c>
      <c r="J47" s="42" t="s">
        <v>10</v>
      </c>
      <c r="K47" s="42" t="s">
        <v>10</v>
      </c>
      <c r="L47" s="43" t="str">
        <f t="shared" ref="L47" si="82">CONCATENATE("", C47)</f>
        <v>Espacialidade</v>
      </c>
      <c r="M47" s="43" t="str">
        <f t="shared" ref="M47" si="83">CONCATENATE("", D47)</f>
        <v>Elementos.Espaciais</v>
      </c>
      <c r="N47" s="43" t="str">
        <f t="shared" ref="N47" si="84">(SUBSTITUTE(SUBSTITUTE(CONCATENATE("",E47),"."," ")," De "," de "))</f>
        <v>Ambientes Gerais</v>
      </c>
      <c r="O47" s="43" t="str">
        <f t="shared" ref="O47" si="85">(SUBSTITUTE(SUBSTITUTE(CONCATENATE("",F47),"."," ")," De "," de "))</f>
        <v>Ambiente</v>
      </c>
      <c r="P47" s="44" t="s">
        <v>484</v>
      </c>
      <c r="Q47" s="44" t="str">
        <f t="shared" si="6"/>
        <v>Espacios arquitectónicos que aún no han sido especificados con una funcionalidad definida o que aún no tienen una clase definida en esta Ontología.</v>
      </c>
      <c r="R47" s="45" t="s">
        <v>10</v>
      </c>
      <c r="S47" s="46" t="str">
        <f t="shared" si="71"/>
        <v>Espacialidade</v>
      </c>
      <c r="T47" s="46" t="str">
        <f t="shared" si="7"/>
        <v>Elementos Espaciais</v>
      </c>
      <c r="U47" s="46" t="str">
        <f t="shared" si="8"/>
        <v>Ambientes Gerais</v>
      </c>
      <c r="V47" s="45" t="s">
        <v>191</v>
      </c>
      <c r="W47" s="2" t="str">
        <f t="shared" si="5"/>
        <v>Key-ESP-47</v>
      </c>
      <c r="X47" s="44" t="s">
        <v>395</v>
      </c>
      <c r="Y47" s="61" t="s">
        <v>378</v>
      </c>
      <c r="Z47" s="45" t="s">
        <v>365</v>
      </c>
      <c r="AA47" s="44" t="str">
        <f t="shared" ref="AA47" si="86">_xlfn.TRANSLATE(P47,"pt","en")</f>
        <v>Architectural spaces that have not yet been specified with a defined functionality or that do not yet have a defined class in this Ontology.</v>
      </c>
    </row>
    <row r="48" spans="1:27" customFormat="1" ht="6" customHeight="1" x14ac:dyDescent="0.4">
      <c r="A48" s="39">
        <v>48</v>
      </c>
      <c r="B48" s="40" t="s">
        <v>81</v>
      </c>
      <c r="C48" s="40" t="s">
        <v>442</v>
      </c>
      <c r="D48" s="40" t="s">
        <v>447</v>
      </c>
      <c r="E48" s="40" t="s">
        <v>456</v>
      </c>
      <c r="F48" s="41" t="s">
        <v>473</v>
      </c>
      <c r="G48" s="42" t="s">
        <v>10</v>
      </c>
      <c r="H48" s="42" t="s">
        <v>10</v>
      </c>
      <c r="I48" s="42" t="s">
        <v>10</v>
      </c>
      <c r="J48" s="42" t="s">
        <v>10</v>
      </c>
      <c r="K48" s="42" t="s">
        <v>10</v>
      </c>
      <c r="L48" s="43" t="str">
        <f t="shared" si="1"/>
        <v>Espacialidade</v>
      </c>
      <c r="M48" s="43" t="str">
        <f t="shared" si="2"/>
        <v>Elementos.Espaciais</v>
      </c>
      <c r="N48" s="43" t="str">
        <f t="shared" si="19"/>
        <v>Ambientes Gerais</v>
      </c>
      <c r="O48" s="43" t="str">
        <f t="shared" si="19"/>
        <v>Ambiente Articulador</v>
      </c>
      <c r="P48" s="44" t="s">
        <v>483</v>
      </c>
      <c r="Q48" s="44" t="str">
        <f t="shared" si="6"/>
        <v>Espacios arquitectónicos que tienen la función de articular otros entornos y áreas de un proyecto: pueden ser circulaciones, vestíbulos, escaleras, ascensores, vestíbulos, salidas de emergencia, etc...</v>
      </c>
      <c r="R48" s="45" t="s">
        <v>10</v>
      </c>
      <c r="S48" s="46" t="str">
        <f t="shared" ref="S48:S50" si="87">SUBSTITUTE(C48, ".", " ")</f>
        <v>Espacialidade</v>
      </c>
      <c r="T48" s="46" t="str">
        <f t="shared" ref="T48:T50" si="88">SUBSTITUTE(D48, ".", " ")</f>
        <v>Elementos Espaciais</v>
      </c>
      <c r="U48" s="46" t="str">
        <f t="shared" ref="U48:U50" si="89">SUBSTITUTE(E48, ".", " ")</f>
        <v>Ambientes Gerais</v>
      </c>
      <c r="V48" s="45" t="s">
        <v>191</v>
      </c>
      <c r="W48" s="2" t="str">
        <f t="shared" ref="W48:W50" si="90">CONCATENATE("Key-ESP-",A48)</f>
        <v>Key-ESP-48</v>
      </c>
      <c r="X48" s="44" t="s">
        <v>395</v>
      </c>
      <c r="Y48" s="61" t="s">
        <v>378</v>
      </c>
      <c r="Z48" s="45" t="s">
        <v>365</v>
      </c>
      <c r="AA48" s="44" t="str">
        <f t="shared" si="9"/>
        <v>Architectural spaces that have the function of articulating other environments and areas of a project: They can be Circulations, Halls, Stairs, Elevators, Foyers, Emergency Exits, etc...</v>
      </c>
    </row>
    <row r="49" spans="1:27" customFormat="1" ht="6" customHeight="1" x14ac:dyDescent="0.4">
      <c r="A49" s="39">
        <v>49</v>
      </c>
      <c r="B49" s="40" t="s">
        <v>81</v>
      </c>
      <c r="C49" s="40" t="s">
        <v>442</v>
      </c>
      <c r="D49" s="40" t="s">
        <v>447</v>
      </c>
      <c r="E49" s="40" t="s">
        <v>613</v>
      </c>
      <c r="F49" s="41" t="s">
        <v>478</v>
      </c>
      <c r="G49" s="42" t="s">
        <v>10</v>
      </c>
      <c r="H49" s="42" t="s">
        <v>10</v>
      </c>
      <c r="I49" s="42" t="s">
        <v>10</v>
      </c>
      <c r="J49" s="42" t="s">
        <v>10</v>
      </c>
      <c r="K49" s="42" t="s">
        <v>10</v>
      </c>
      <c r="L49" s="43" t="str">
        <f t="shared" ref="L49:L50" si="91">CONCATENATE("", C49)</f>
        <v>Espacialidade</v>
      </c>
      <c r="M49" s="43" t="str">
        <f t="shared" ref="M49:M50" si="92">CONCATENATE("", D49)</f>
        <v>Elementos.Espaciais</v>
      </c>
      <c r="N49" s="43" t="str">
        <f t="shared" ref="N49:N50" si="93">(SUBSTITUTE(SUBSTITUTE(CONCATENATE("",E49),"."," ")," De "," de "))</f>
        <v>Ambientes Gerais Especializados</v>
      </c>
      <c r="O49" s="43" t="str">
        <f t="shared" ref="O49:O50" si="94">(SUBSTITUTE(SUBSTITUTE(CONCATENATE("",F49),"."," ")," De "," de "))</f>
        <v>Sala Acústica</v>
      </c>
      <c r="P49" s="44" t="s">
        <v>570</v>
      </c>
      <c r="Q49" s="44" t="str">
        <f t="shared" si="6"/>
        <v>Espacios arquitectónicos con tratamiento acústico especializado, como estudios de grabación, espacios arquitectónicos de radio y televisión, etc.</v>
      </c>
      <c r="R49" s="45" t="s">
        <v>10</v>
      </c>
      <c r="S49" s="46" t="str">
        <f t="shared" si="87"/>
        <v>Espacialidade</v>
      </c>
      <c r="T49" s="46" t="str">
        <f t="shared" si="88"/>
        <v>Elementos Espaciais</v>
      </c>
      <c r="U49" s="46" t="str">
        <f t="shared" si="89"/>
        <v>Ambientes Gerais Especializados</v>
      </c>
      <c r="V49" s="45" t="s">
        <v>191</v>
      </c>
      <c r="W49" s="2" t="str">
        <f t="shared" si="90"/>
        <v>Key-ESP-49</v>
      </c>
      <c r="X49" s="44" t="s">
        <v>395</v>
      </c>
      <c r="Y49" s="61" t="s">
        <v>378</v>
      </c>
      <c r="Z49" s="45" t="s">
        <v>365</v>
      </c>
      <c r="AA49" s="44" t="str">
        <f t="shared" ref="AA49:AA50" si="95">_xlfn.TRANSLATE(P49,"pt","en")</f>
        <v>Architectural spaces with specialized acoustic treatment such as recording studios, Radio and TV architectural spaces, etc.</v>
      </c>
    </row>
    <row r="50" spans="1:27" customFormat="1" ht="6" customHeight="1" x14ac:dyDescent="0.4">
      <c r="A50" s="39">
        <v>50</v>
      </c>
      <c r="B50" s="40" t="s">
        <v>81</v>
      </c>
      <c r="C50" s="40" t="s">
        <v>442</v>
      </c>
      <c r="D50" s="40" t="s">
        <v>447</v>
      </c>
      <c r="E50" s="40" t="s">
        <v>613</v>
      </c>
      <c r="F50" s="41" t="s">
        <v>479</v>
      </c>
      <c r="G50" s="42" t="s">
        <v>10</v>
      </c>
      <c r="H50" s="42" t="s">
        <v>10</v>
      </c>
      <c r="I50" s="42" t="s">
        <v>10</v>
      </c>
      <c r="J50" s="42" t="s">
        <v>10</v>
      </c>
      <c r="K50" s="42" t="s">
        <v>10</v>
      </c>
      <c r="L50" s="43" t="str">
        <f t="shared" si="91"/>
        <v>Espacialidade</v>
      </c>
      <c r="M50" s="43" t="str">
        <f t="shared" si="92"/>
        <v>Elementos.Espaciais</v>
      </c>
      <c r="N50" s="43" t="str">
        <f t="shared" si="93"/>
        <v>Ambientes Gerais Especializados</v>
      </c>
      <c r="O50" s="43" t="str">
        <f t="shared" si="94"/>
        <v>Sala Anecóica</v>
      </c>
      <c r="P50" s="44" t="s">
        <v>571</v>
      </c>
      <c r="Q50" s="44" t="str">
        <f t="shared" si="6"/>
        <v>Espacios arquitectónicos con tratamiento acústico especializado para eliminar reflejos sonoros (eco).</v>
      </c>
      <c r="R50" s="45" t="s">
        <v>10</v>
      </c>
      <c r="S50" s="46" t="str">
        <f t="shared" si="87"/>
        <v>Espacialidade</v>
      </c>
      <c r="T50" s="46" t="str">
        <f t="shared" si="88"/>
        <v>Elementos Espaciais</v>
      </c>
      <c r="U50" s="46" t="str">
        <f t="shared" si="89"/>
        <v>Ambientes Gerais Especializados</v>
      </c>
      <c r="V50" s="45" t="s">
        <v>191</v>
      </c>
      <c r="W50" s="2" t="str">
        <f t="shared" si="90"/>
        <v>Key-ESP-50</v>
      </c>
      <c r="X50" s="44" t="s">
        <v>395</v>
      </c>
      <c r="Y50" s="61" t="s">
        <v>378</v>
      </c>
      <c r="Z50" s="45" t="s">
        <v>365</v>
      </c>
      <c r="AA50" s="44" t="str">
        <f t="shared" si="95"/>
        <v>Architectural spaces with specialized acoustic treatment to eliminate sound reflections (echo).</v>
      </c>
    </row>
    <row r="51" spans="1:27" customFormat="1" ht="6" customHeight="1" x14ac:dyDescent="0.4">
      <c r="A51" s="39">
        <v>51</v>
      </c>
      <c r="B51" s="40" t="s">
        <v>81</v>
      </c>
      <c r="C51" s="40" t="s">
        <v>442</v>
      </c>
      <c r="D51" s="40" t="s">
        <v>447</v>
      </c>
      <c r="E51" s="40" t="s">
        <v>613</v>
      </c>
      <c r="F51" s="41" t="s">
        <v>513</v>
      </c>
      <c r="G51" s="42" t="s">
        <v>10</v>
      </c>
      <c r="H51" s="42" t="s">
        <v>10</v>
      </c>
      <c r="I51" s="42" t="s">
        <v>10</v>
      </c>
      <c r="J51" s="42" t="s">
        <v>10</v>
      </c>
      <c r="K51" s="42" t="s">
        <v>10</v>
      </c>
      <c r="L51" s="43" t="str">
        <f t="shared" si="1"/>
        <v>Espacialidade</v>
      </c>
      <c r="M51" s="43" t="str">
        <f t="shared" si="2"/>
        <v>Elementos.Espaciais</v>
      </c>
      <c r="N51" s="43" t="str">
        <f t="shared" si="19"/>
        <v>Ambientes Gerais Especializados</v>
      </c>
      <c r="O51" s="43" t="str">
        <f t="shared" si="19"/>
        <v>Sala Reverberante</v>
      </c>
      <c r="P51" s="44" t="s">
        <v>572</v>
      </c>
      <c r="Q51" s="44" t="str">
        <f t="shared" si="6"/>
        <v>Espacios arquitectónicos con tratamiento acústico especializado para aumentar el tiempo de reflexión del sonido.</v>
      </c>
      <c r="R51" s="45" t="s">
        <v>10</v>
      </c>
      <c r="S51" s="46" t="str">
        <f t="shared" si="71"/>
        <v>Espacialidade</v>
      </c>
      <c r="T51" s="46" t="str">
        <f t="shared" si="7"/>
        <v>Elementos Espaciais</v>
      </c>
      <c r="U51" s="46" t="str">
        <f t="shared" si="8"/>
        <v>Ambientes Gerais Especializados</v>
      </c>
      <c r="V51" s="45" t="s">
        <v>191</v>
      </c>
      <c r="W51" s="2" t="str">
        <f t="shared" si="5"/>
        <v>Key-ESP-51</v>
      </c>
      <c r="X51" s="44" t="s">
        <v>395</v>
      </c>
      <c r="Y51" s="61" t="s">
        <v>378</v>
      </c>
      <c r="Z51" s="45" t="s">
        <v>365</v>
      </c>
      <c r="AA51" s="44" t="str">
        <f t="shared" ca="1" si="9"/>
        <v>Architectural spaces with specialized acoustic treatment to increase sound reflection time.</v>
      </c>
    </row>
    <row r="52" spans="1:27" customFormat="1" ht="6" customHeight="1" x14ac:dyDescent="0.4">
      <c r="A52" s="39">
        <v>52</v>
      </c>
      <c r="B52" s="40" t="s">
        <v>81</v>
      </c>
      <c r="C52" s="40" t="s">
        <v>442</v>
      </c>
      <c r="D52" s="40" t="s">
        <v>447</v>
      </c>
      <c r="E52" s="40" t="s">
        <v>613</v>
      </c>
      <c r="F52" s="41" t="s">
        <v>480</v>
      </c>
      <c r="G52" s="42" t="s">
        <v>10</v>
      </c>
      <c r="H52" s="42" t="s">
        <v>10</v>
      </c>
      <c r="I52" s="42" t="s">
        <v>10</v>
      </c>
      <c r="J52" s="42" t="s">
        <v>10</v>
      </c>
      <c r="K52" s="42" t="s">
        <v>10</v>
      </c>
      <c r="L52" s="43" t="str">
        <f t="shared" si="1"/>
        <v>Espacialidade</v>
      </c>
      <c r="M52" s="43" t="str">
        <f t="shared" si="2"/>
        <v>Elementos.Espaciais</v>
      </c>
      <c r="N52" s="43" t="str">
        <f t="shared" si="19"/>
        <v>Ambientes Gerais Especializados</v>
      </c>
      <c r="O52" s="43" t="str">
        <f t="shared" si="19"/>
        <v>Sala Grande</v>
      </c>
      <c r="P52" s="44" t="s">
        <v>573</v>
      </c>
      <c r="Q52" s="44" t="str">
        <f t="shared" si="6"/>
        <v>Grandes espacios arquitectónicos como el público de cines y teatros, etc.</v>
      </c>
      <c r="R52" s="45" t="s">
        <v>10</v>
      </c>
      <c r="S52" s="46" t="str">
        <f t="shared" si="71"/>
        <v>Espacialidade</v>
      </c>
      <c r="T52" s="46" t="str">
        <f t="shared" si="7"/>
        <v>Elementos Espaciais</v>
      </c>
      <c r="U52" s="46" t="str">
        <f t="shared" si="8"/>
        <v>Ambientes Gerais Especializados</v>
      </c>
      <c r="V52" s="45" t="s">
        <v>191</v>
      </c>
      <c r="W52" s="2" t="str">
        <f t="shared" si="5"/>
        <v>Key-ESP-52</v>
      </c>
      <c r="X52" s="44" t="s">
        <v>395</v>
      </c>
      <c r="Y52" s="61" t="s">
        <v>378</v>
      </c>
      <c r="Z52" s="45" t="s">
        <v>365</v>
      </c>
      <c r="AA52" s="44" t="str">
        <f t="shared" ca="1" si="9"/>
        <v>Large architectural spaces such as cinema and theater audiences, etc.</v>
      </c>
    </row>
    <row r="53" spans="1:27" customFormat="1" ht="6" customHeight="1" x14ac:dyDescent="0.4">
      <c r="A53" s="39">
        <v>53</v>
      </c>
      <c r="B53" s="40" t="s">
        <v>81</v>
      </c>
      <c r="C53" s="40" t="s">
        <v>442</v>
      </c>
      <c r="D53" s="40" t="s">
        <v>447</v>
      </c>
      <c r="E53" s="40" t="s">
        <v>613</v>
      </c>
      <c r="F53" s="41" t="s">
        <v>481</v>
      </c>
      <c r="G53" s="42" t="s">
        <v>10</v>
      </c>
      <c r="H53" s="42" t="s">
        <v>10</v>
      </c>
      <c r="I53" s="42" t="s">
        <v>10</v>
      </c>
      <c r="J53" s="42" t="s">
        <v>10</v>
      </c>
      <c r="K53" s="42" t="s">
        <v>10</v>
      </c>
      <c r="L53" s="43" t="str">
        <f t="shared" ref="L53:L54" si="96">CONCATENATE("", C53)</f>
        <v>Espacialidade</v>
      </c>
      <c r="M53" s="43" t="str">
        <f t="shared" ref="M53:M54" si="97">CONCATENATE("", D53)</f>
        <v>Elementos.Espaciais</v>
      </c>
      <c r="N53" s="43" t="str">
        <f t="shared" ref="N53:N54" si="98">(SUBSTITUTE(SUBSTITUTE(CONCATENATE("",E53),"."," ")," De "," de "))</f>
        <v>Ambientes Gerais Especializados</v>
      </c>
      <c r="O53" s="43" t="str">
        <f t="shared" ref="O53:O54" si="99">(SUBSTITUTE(SUBSTITUTE(CONCATENATE("",F53),"."," ")," De "," de "))</f>
        <v>Sala Expositiva</v>
      </c>
      <c r="P53" s="44" t="s">
        <v>574</v>
      </c>
      <c r="Q53" s="44" t="str">
        <f t="shared" si="6"/>
        <v>Espacios arquitectónicos dimensionados y equipados para exhibir obras de arte o productos, para museos, exposiciones, etc.</v>
      </c>
      <c r="R53" s="45" t="s">
        <v>10</v>
      </c>
      <c r="S53" s="46" t="str">
        <f t="shared" ref="S53:S54" si="100">SUBSTITUTE(C53, ".", " ")</f>
        <v>Espacialidade</v>
      </c>
      <c r="T53" s="46" t="str">
        <f t="shared" ref="T53:T54" si="101">SUBSTITUTE(D53, ".", " ")</f>
        <v>Elementos Espaciais</v>
      </c>
      <c r="U53" s="46" t="str">
        <f t="shared" ref="U53:U54" si="102">SUBSTITUTE(E53, ".", " ")</f>
        <v>Ambientes Gerais Especializados</v>
      </c>
      <c r="V53" s="45" t="s">
        <v>191</v>
      </c>
      <c r="W53" s="2" t="str">
        <f t="shared" ref="W53:W54" si="103">CONCATENATE("Key-ESP-",A53)</f>
        <v>Key-ESP-53</v>
      </c>
      <c r="X53" s="44" t="s">
        <v>395</v>
      </c>
      <c r="Y53" s="61" t="s">
        <v>378</v>
      </c>
      <c r="Z53" s="45" t="s">
        <v>365</v>
      </c>
      <c r="AA53" s="44" t="str">
        <f t="shared" ref="AA53:AA54" si="104">_xlfn.TRANSLATE(P53,"pt","en")</f>
        <v>Architectural spaces sized and equipped to exhibit works of art or products, for museums, exhibitions, etc.</v>
      </c>
    </row>
    <row r="54" spans="1:27" customFormat="1" ht="6" customHeight="1" x14ac:dyDescent="0.4">
      <c r="A54" s="39">
        <v>54</v>
      </c>
      <c r="B54" s="40" t="s">
        <v>81</v>
      </c>
      <c r="C54" s="40" t="s">
        <v>442</v>
      </c>
      <c r="D54" s="40" t="s">
        <v>447</v>
      </c>
      <c r="E54" s="40" t="s">
        <v>613</v>
      </c>
      <c r="F54" s="41" t="s">
        <v>482</v>
      </c>
      <c r="G54" s="42" t="s">
        <v>10</v>
      </c>
      <c r="H54" s="42" t="s">
        <v>10</v>
      </c>
      <c r="I54" s="42" t="s">
        <v>10</v>
      </c>
      <c r="J54" s="42" t="s">
        <v>10</v>
      </c>
      <c r="K54" s="42" t="s">
        <v>10</v>
      </c>
      <c r="L54" s="43" t="str">
        <f t="shared" si="96"/>
        <v>Espacialidade</v>
      </c>
      <c r="M54" s="43" t="str">
        <f t="shared" si="97"/>
        <v>Elementos.Espaciais</v>
      </c>
      <c r="N54" s="43" t="str">
        <f t="shared" si="98"/>
        <v>Ambientes Gerais Especializados</v>
      </c>
      <c r="O54" s="43" t="str">
        <f t="shared" si="99"/>
        <v>Sala Teca</v>
      </c>
      <c r="P54" s="44" t="s">
        <v>575</v>
      </c>
      <c r="Q54" s="44" t="str">
        <f t="shared" si="6"/>
        <v>Espacios arquitectónicos dimensionados y equipados para almacenar productos culturales como bibliotecas, bibliotecas de periódicos, bibliotecas de mapas, discotecas, etc.</v>
      </c>
      <c r="R54" s="45" t="s">
        <v>10</v>
      </c>
      <c r="S54" s="46" t="str">
        <f t="shared" si="100"/>
        <v>Espacialidade</v>
      </c>
      <c r="T54" s="46" t="str">
        <f t="shared" si="101"/>
        <v>Elementos Espaciais</v>
      </c>
      <c r="U54" s="46" t="str">
        <f t="shared" si="102"/>
        <v>Ambientes Gerais Especializados</v>
      </c>
      <c r="V54" s="45" t="s">
        <v>191</v>
      </c>
      <c r="W54" s="2" t="str">
        <f t="shared" si="103"/>
        <v>Key-ESP-54</v>
      </c>
      <c r="X54" s="44" t="s">
        <v>395</v>
      </c>
      <c r="Y54" s="61" t="s">
        <v>378</v>
      </c>
      <c r="Z54" s="45" t="s">
        <v>365</v>
      </c>
      <c r="AA54" s="44" t="str">
        <f t="shared" si="104"/>
        <v>Architectural spaces sized and equipped to store cultural products such as libraries, newspaper libraries, map libraries, discotheques, etc.</v>
      </c>
    </row>
    <row r="55" spans="1:27" customFormat="1" ht="6" customHeight="1" x14ac:dyDescent="0.4">
      <c r="A55" s="39">
        <v>55</v>
      </c>
      <c r="B55" s="40" t="s">
        <v>81</v>
      </c>
      <c r="C55" s="40" t="s">
        <v>442</v>
      </c>
      <c r="D55" s="40" t="s">
        <v>447</v>
      </c>
      <c r="E55" s="40" t="s">
        <v>613</v>
      </c>
      <c r="F55" s="41" t="s">
        <v>510</v>
      </c>
      <c r="G55" s="42" t="s">
        <v>10</v>
      </c>
      <c r="H55" s="42" t="s">
        <v>10</v>
      </c>
      <c r="I55" s="42" t="s">
        <v>10</v>
      </c>
      <c r="J55" s="42" t="s">
        <v>10</v>
      </c>
      <c r="K55" s="42" t="s">
        <v>10</v>
      </c>
      <c r="L55" s="43" t="str">
        <f t="shared" si="1"/>
        <v>Espacialidade</v>
      </c>
      <c r="M55" s="43" t="str">
        <f t="shared" si="2"/>
        <v>Elementos.Espaciais</v>
      </c>
      <c r="N55" s="43" t="str">
        <f t="shared" si="19"/>
        <v>Ambientes Gerais Especializados</v>
      </c>
      <c r="O55" s="43" t="str">
        <f t="shared" si="19"/>
        <v>Sala Fria</v>
      </c>
      <c r="P55" s="44" t="s">
        <v>576</v>
      </c>
      <c r="Q55" s="44" t="str">
        <f t="shared" si="6"/>
        <v>Espacios arquitectónicos de tamaño y equipamiento para almacenar productos a bajas temperaturas, como espacios arquitectónicos Frezzers, espacios arquitectónicos refrigerados, etc.</v>
      </c>
      <c r="R55" s="45" t="s">
        <v>10</v>
      </c>
      <c r="S55" s="46" t="str">
        <f t="shared" si="71"/>
        <v>Espacialidade</v>
      </c>
      <c r="T55" s="46" t="str">
        <f t="shared" si="7"/>
        <v>Elementos Espaciais</v>
      </c>
      <c r="U55" s="46" t="str">
        <f t="shared" si="8"/>
        <v>Ambientes Gerais Especializados</v>
      </c>
      <c r="V55" s="45" t="s">
        <v>191</v>
      </c>
      <c r="W55" s="2" t="str">
        <f t="shared" si="5"/>
        <v>Key-ESP-55</v>
      </c>
      <c r="X55" s="44" t="s">
        <v>395</v>
      </c>
      <c r="Y55" s="61" t="s">
        <v>378</v>
      </c>
      <c r="Z55" s="45" t="s">
        <v>365</v>
      </c>
      <c r="AA55" s="44" t="str">
        <f t="shared" ca="1" si="9"/>
        <v>Architectural spaces sized and equipped to store products at low temperatures, such as Frezzers Architectural Spaces, Refrigerated Architectural Spaces, etc.</v>
      </c>
    </row>
    <row r="56" spans="1:27" customFormat="1" ht="6" customHeight="1" x14ac:dyDescent="0.4">
      <c r="A56" s="39">
        <v>56</v>
      </c>
      <c r="B56" s="40" t="s">
        <v>81</v>
      </c>
      <c r="C56" s="40" t="s">
        <v>442</v>
      </c>
      <c r="D56" s="40" t="s">
        <v>447</v>
      </c>
      <c r="E56" s="40" t="s">
        <v>613</v>
      </c>
      <c r="F56" s="41" t="s">
        <v>512</v>
      </c>
      <c r="G56" s="42" t="s">
        <v>10</v>
      </c>
      <c r="H56" s="42" t="s">
        <v>10</v>
      </c>
      <c r="I56" s="42" t="s">
        <v>10</v>
      </c>
      <c r="J56" s="42" t="s">
        <v>10</v>
      </c>
      <c r="K56" s="42" t="s">
        <v>10</v>
      </c>
      <c r="L56" s="43" t="str">
        <f t="shared" si="1"/>
        <v>Espacialidade</v>
      </c>
      <c r="M56" s="43" t="str">
        <f t="shared" si="2"/>
        <v>Elementos.Espaciais</v>
      </c>
      <c r="N56" s="43" t="str">
        <f t="shared" si="19"/>
        <v>Ambientes Gerais Especializados</v>
      </c>
      <c r="O56" s="43" t="str">
        <f t="shared" si="19"/>
        <v>Sala Telemática</v>
      </c>
      <c r="P56" s="44" t="s">
        <v>577</v>
      </c>
      <c r="Q56" s="44" t="str">
        <f t="shared" si="6"/>
        <v>Espacios arquitectónicos dimensionados y equipados para servidores informáticos para actividades telemáticas virtuales.</v>
      </c>
      <c r="R56" s="45" t="s">
        <v>10</v>
      </c>
      <c r="S56" s="46" t="str">
        <f t="shared" si="71"/>
        <v>Espacialidade</v>
      </c>
      <c r="T56" s="46" t="str">
        <f t="shared" si="7"/>
        <v>Elementos Espaciais</v>
      </c>
      <c r="U56" s="46" t="str">
        <f t="shared" si="8"/>
        <v>Ambientes Gerais Especializados</v>
      </c>
      <c r="V56" s="45" t="s">
        <v>191</v>
      </c>
      <c r="W56" s="2" t="str">
        <f t="shared" si="5"/>
        <v>Key-ESP-56</v>
      </c>
      <c r="X56" s="44" t="s">
        <v>395</v>
      </c>
      <c r="Y56" s="61" t="s">
        <v>378</v>
      </c>
      <c r="Z56" s="45" t="s">
        <v>365</v>
      </c>
      <c r="AA56" s="44" t="str">
        <f t="shared" si="9"/>
        <v>Architectural spaces sized and equipped for computer servers for virtual telematic activities.</v>
      </c>
    </row>
    <row r="57" spans="1:27" customFormat="1" ht="6" customHeight="1" x14ac:dyDescent="0.4">
      <c r="A57" s="39">
        <v>57</v>
      </c>
      <c r="B57" s="40" t="s">
        <v>81</v>
      </c>
      <c r="C57" s="40" t="s">
        <v>442</v>
      </c>
      <c r="D57" s="40" t="s">
        <v>447</v>
      </c>
      <c r="E57" s="40" t="s">
        <v>613</v>
      </c>
      <c r="F57" s="41" t="s">
        <v>568</v>
      </c>
      <c r="G57" s="42" t="s">
        <v>10</v>
      </c>
      <c r="H57" s="42" t="s">
        <v>10</v>
      </c>
      <c r="I57" s="42" t="s">
        <v>10</v>
      </c>
      <c r="J57" s="42" t="s">
        <v>10</v>
      </c>
      <c r="K57" s="42" t="s">
        <v>10</v>
      </c>
      <c r="L57" s="43" t="str">
        <f t="shared" ref="L57:L59" si="105">CONCATENATE("", C57)</f>
        <v>Espacialidade</v>
      </c>
      <c r="M57" s="43" t="str">
        <f t="shared" ref="M57:M59" si="106">CONCATENATE("", D57)</f>
        <v>Elementos.Espaciais</v>
      </c>
      <c r="N57" s="43" t="str">
        <f t="shared" ref="N57:N59" si="107">(SUBSTITUTE(SUBSTITUTE(CONCATENATE("",E57),"."," ")," De "," de "))</f>
        <v>Ambientes Gerais Especializados</v>
      </c>
      <c r="O57" s="43" t="str">
        <f t="shared" ref="O57:O59" si="108">(SUBSTITUTE(SUBSTITUTE(CONCATENATE("",F57),"."," ")," De "," de "))</f>
        <v>Sala Gastronômica</v>
      </c>
      <c r="P57" s="44" t="s">
        <v>578</v>
      </c>
      <c r="Q57" s="44" t="str">
        <f t="shared" si="6"/>
        <v>Espacios arquitectónicos dimensionados y equipados para actividades de servicio público en la gastronomía como restaurantes, bares, quioscos, etc.</v>
      </c>
      <c r="R57" s="45" t="s">
        <v>10</v>
      </c>
      <c r="S57" s="46" t="str">
        <f t="shared" ref="S57:S59" si="109">SUBSTITUTE(C57, ".", " ")</f>
        <v>Espacialidade</v>
      </c>
      <c r="T57" s="46" t="str">
        <f t="shared" ref="T57:T59" si="110">SUBSTITUTE(D57, ".", " ")</f>
        <v>Elementos Espaciais</v>
      </c>
      <c r="U57" s="46" t="str">
        <f t="shared" ref="U57:U59" si="111">SUBSTITUTE(E57, ".", " ")</f>
        <v>Ambientes Gerais Especializados</v>
      </c>
      <c r="V57" s="45" t="s">
        <v>191</v>
      </c>
      <c r="W57" s="2" t="str">
        <f t="shared" ref="W57:W59" si="112">CONCATENATE("Key-ESP-",A57)</f>
        <v>Key-ESP-57</v>
      </c>
      <c r="X57" s="44" t="s">
        <v>395</v>
      </c>
      <c r="Y57" s="61" t="s">
        <v>378</v>
      </c>
      <c r="Z57" s="45" t="s">
        <v>365</v>
      </c>
      <c r="AA57" s="44" t="str">
        <f t="shared" ref="AA57:AA59" si="113">_xlfn.TRANSLATE(P57,"pt","en")</f>
        <v>Architectural spaces sized and equipped for public service food activities such as restaurants, bars, kiosks, etc.</v>
      </c>
    </row>
    <row r="58" spans="1:27" customFormat="1" ht="6" customHeight="1" x14ac:dyDescent="0.4">
      <c r="A58" s="39">
        <v>58</v>
      </c>
      <c r="B58" s="40" t="s">
        <v>81</v>
      </c>
      <c r="C58" s="40" t="s">
        <v>442</v>
      </c>
      <c r="D58" s="40" t="s">
        <v>447</v>
      </c>
      <c r="E58" s="40" t="s">
        <v>613</v>
      </c>
      <c r="F58" s="41" t="s">
        <v>567</v>
      </c>
      <c r="G58" s="42" t="s">
        <v>10</v>
      </c>
      <c r="H58" s="42" t="s">
        <v>10</v>
      </c>
      <c r="I58" s="42" t="s">
        <v>10</v>
      </c>
      <c r="J58" s="42" t="s">
        <v>10</v>
      </c>
      <c r="K58" s="42" t="s">
        <v>10</v>
      </c>
      <c r="L58" s="43" t="str">
        <f t="shared" si="105"/>
        <v>Espacialidade</v>
      </c>
      <c r="M58" s="43" t="str">
        <f t="shared" si="106"/>
        <v>Elementos.Espaciais</v>
      </c>
      <c r="N58" s="43" t="str">
        <f t="shared" si="107"/>
        <v>Ambientes Gerais Especializados</v>
      </c>
      <c r="O58" s="43" t="str">
        <f t="shared" si="108"/>
        <v>Sala Manutenção</v>
      </c>
      <c r="P58" s="44" t="s">
        <v>579</v>
      </c>
      <c r="Q58" s="44" t="str">
        <f t="shared" si="6"/>
        <v>Espacios arquitectónicos dimensionados y equipados para actividades de limpieza y mantenimiento de edificios, etc.</v>
      </c>
      <c r="R58" s="45" t="s">
        <v>10</v>
      </c>
      <c r="S58" s="46" t="str">
        <f t="shared" si="109"/>
        <v>Espacialidade</v>
      </c>
      <c r="T58" s="46" t="str">
        <f t="shared" si="110"/>
        <v>Elementos Espaciais</v>
      </c>
      <c r="U58" s="46" t="str">
        <f t="shared" si="111"/>
        <v>Ambientes Gerais Especializados</v>
      </c>
      <c r="V58" s="45" t="s">
        <v>191</v>
      </c>
      <c r="W58" s="2" t="str">
        <f t="shared" si="112"/>
        <v>Key-ESP-58</v>
      </c>
      <c r="X58" s="44" t="s">
        <v>395</v>
      </c>
      <c r="Y58" s="61" t="s">
        <v>378</v>
      </c>
      <c r="Z58" s="45" t="s">
        <v>365</v>
      </c>
      <c r="AA58" s="44" t="str">
        <f t="shared" si="113"/>
        <v>Architectural spaces sized and equipped for Building Cleaning and Maintenance Activities, etc.</v>
      </c>
    </row>
    <row r="59" spans="1:27" customFormat="1" ht="6" customHeight="1" x14ac:dyDescent="0.4">
      <c r="A59" s="39">
        <v>59</v>
      </c>
      <c r="B59" s="40" t="s">
        <v>81</v>
      </c>
      <c r="C59" s="40" t="s">
        <v>442</v>
      </c>
      <c r="D59" s="40" t="s">
        <v>447</v>
      </c>
      <c r="E59" s="40" t="s">
        <v>613</v>
      </c>
      <c r="F59" s="41" t="s">
        <v>472</v>
      </c>
      <c r="G59" s="42" t="s">
        <v>10</v>
      </c>
      <c r="H59" s="42" t="s">
        <v>10</v>
      </c>
      <c r="I59" s="42" t="s">
        <v>10</v>
      </c>
      <c r="J59" s="42" t="s">
        <v>10</v>
      </c>
      <c r="K59" s="42" t="s">
        <v>10</v>
      </c>
      <c r="L59" s="43" t="str">
        <f t="shared" si="105"/>
        <v>Espacialidade</v>
      </c>
      <c r="M59" s="43" t="str">
        <f t="shared" si="106"/>
        <v>Elementos.Espaciais</v>
      </c>
      <c r="N59" s="43" t="str">
        <f t="shared" si="107"/>
        <v>Ambientes Gerais Especializados</v>
      </c>
      <c r="O59" s="43" t="str">
        <f t="shared" si="108"/>
        <v>Sala Logística</v>
      </c>
      <c r="P59" s="44" t="s">
        <v>611</v>
      </c>
      <c r="Q59" s="44" t="str">
        <f t="shared" si="6"/>
        <v>Espacios arquitectónicos diseñados y equipados para la recepción, almacenamiento y distribución de elementos logísticos tipo almacén.</v>
      </c>
      <c r="R59" s="45" t="s">
        <v>10</v>
      </c>
      <c r="S59" s="46" t="str">
        <f t="shared" si="109"/>
        <v>Espacialidade</v>
      </c>
      <c r="T59" s="46" t="str">
        <f t="shared" si="110"/>
        <v>Elementos Espaciais</v>
      </c>
      <c r="U59" s="46" t="str">
        <f t="shared" si="111"/>
        <v>Ambientes Gerais Especializados</v>
      </c>
      <c r="V59" s="45" t="s">
        <v>191</v>
      </c>
      <c r="W59" s="2" t="str">
        <f t="shared" si="112"/>
        <v>Key-ESP-59</v>
      </c>
      <c r="X59" s="44" t="s">
        <v>395</v>
      </c>
      <c r="Y59" s="61" t="s">
        <v>378</v>
      </c>
      <c r="Z59" s="45" t="s">
        <v>365</v>
      </c>
      <c r="AA59" s="44" t="str">
        <f t="shared" si="113"/>
        <v>Architectural spaces designed and equipped for the reception, storage and distribution of logistic warehouse-type elements.</v>
      </c>
    </row>
    <row r="60" spans="1:27" customFormat="1" ht="6" customHeight="1" x14ac:dyDescent="0.4">
      <c r="A60" s="39">
        <v>60</v>
      </c>
      <c r="B60" s="40" t="s">
        <v>81</v>
      </c>
      <c r="C60" s="40" t="s">
        <v>442</v>
      </c>
      <c r="D60" s="40" t="s">
        <v>447</v>
      </c>
      <c r="E60" s="40" t="s">
        <v>613</v>
      </c>
      <c r="F60" s="41" t="s">
        <v>675</v>
      </c>
      <c r="G60" s="42" t="s">
        <v>10</v>
      </c>
      <c r="H60" s="42" t="s">
        <v>10</v>
      </c>
      <c r="I60" s="42" t="s">
        <v>10</v>
      </c>
      <c r="J60" s="42" t="s">
        <v>10</v>
      </c>
      <c r="K60" s="42" t="s">
        <v>10</v>
      </c>
      <c r="L60" s="43" t="str">
        <f t="shared" si="1"/>
        <v>Espacialidade</v>
      </c>
      <c r="M60" s="43" t="str">
        <f t="shared" si="2"/>
        <v>Elementos.Espaciais</v>
      </c>
      <c r="N60" s="43" t="str">
        <f t="shared" si="19"/>
        <v>Ambientes Gerais Especializados</v>
      </c>
      <c r="O60" s="43" t="str">
        <f t="shared" si="19"/>
        <v>Sala Blindada</v>
      </c>
      <c r="P60" s="44" t="s">
        <v>676</v>
      </c>
      <c r="Q60" s="44" t="str">
        <f t="shared" ref="Q60" ca="1" si="114">_xlfn.TRANSLATE(P60,"pt","es")</f>
        <v>Espacios arquitectónicos dimensionados y equipados para actividades que deben permanecer protegidos por el uso de explosivos o emisores de radiación.</v>
      </c>
      <c r="R60" s="45" t="s">
        <v>10</v>
      </c>
      <c r="S60" s="46" t="str">
        <f t="shared" si="71"/>
        <v>Espacialidade</v>
      </c>
      <c r="T60" s="46" t="str">
        <f t="shared" si="7"/>
        <v>Elementos Espaciais</v>
      </c>
      <c r="U60" s="46" t="str">
        <f t="shared" si="8"/>
        <v>Ambientes Gerais Especializados</v>
      </c>
      <c r="V60" s="45" t="s">
        <v>191</v>
      </c>
      <c r="W60" s="2" t="str">
        <f t="shared" si="5"/>
        <v>Key-ESP-60</v>
      </c>
      <c r="X60" s="44" t="s">
        <v>395</v>
      </c>
      <c r="Y60" s="61" t="s">
        <v>378</v>
      </c>
      <c r="Z60" s="45" t="s">
        <v>365</v>
      </c>
      <c r="AA60" s="44" t="str">
        <f t="shared" si="9"/>
        <v>Architectural spaces sized and equipped for Activities that must remain shielded by the use of explosives or radiation emitters.</v>
      </c>
    </row>
    <row r="61" spans="1:27" customFormat="1" ht="6" customHeight="1" x14ac:dyDescent="0.4">
      <c r="A61" s="39">
        <v>61</v>
      </c>
      <c r="B61" s="40" t="s">
        <v>81</v>
      </c>
      <c r="C61" s="40" t="s">
        <v>442</v>
      </c>
      <c r="D61" s="40" t="s">
        <v>447</v>
      </c>
      <c r="E61" s="40" t="s">
        <v>614</v>
      </c>
      <c r="F61" s="41" t="s">
        <v>237</v>
      </c>
      <c r="G61" s="42" t="s">
        <v>10</v>
      </c>
      <c r="H61" s="42" t="s">
        <v>10</v>
      </c>
      <c r="I61" s="42" t="s">
        <v>10</v>
      </c>
      <c r="J61" s="42" t="s">
        <v>10</v>
      </c>
      <c r="K61" s="42" t="s">
        <v>10</v>
      </c>
      <c r="L61" s="43" t="str">
        <f t="shared" ref="L61:L65" si="115">CONCATENATE("", C61)</f>
        <v>Espacialidade</v>
      </c>
      <c r="M61" s="43" t="str">
        <f t="shared" ref="M61:M65" si="116">CONCATENATE("", D61)</f>
        <v>Elementos.Espaciais</v>
      </c>
      <c r="N61" s="43" t="str">
        <f t="shared" ref="N61:N65" si="117">(SUBSTITUTE(SUBSTITUTE(CONCATENATE("",E61),"."," ")," De "," de "))</f>
        <v>Ambientes Esportivos</v>
      </c>
      <c r="O61" s="43" t="str">
        <f t="shared" ref="O61:O65" si="118">(SUBSTITUTE(SUBSTITUTE(CONCATENATE("",F61),"."," ")," De "," de "))</f>
        <v>Local Esportivo</v>
      </c>
      <c r="P61" s="44" t="s">
        <v>580</v>
      </c>
      <c r="Q61" s="44" t="str">
        <f t="shared" si="6"/>
        <v>Espacios arquitectónicos dimensionados y equipados para actividades deportivas, etc.</v>
      </c>
      <c r="R61" s="45" t="s">
        <v>10</v>
      </c>
      <c r="S61" s="46" t="str">
        <f t="shared" ref="S61:S65" si="119">SUBSTITUTE(C61, ".", " ")</f>
        <v>Espacialidade</v>
      </c>
      <c r="T61" s="46" t="str">
        <f t="shared" ref="T61:T65" si="120">SUBSTITUTE(D61, ".", " ")</f>
        <v>Elementos Espaciais</v>
      </c>
      <c r="U61" s="46" t="str">
        <f t="shared" ref="U61:U65" si="121">SUBSTITUTE(E61, ".", " ")</f>
        <v>Ambientes Esportivos</v>
      </c>
      <c r="V61" s="45" t="s">
        <v>191</v>
      </c>
      <c r="W61" s="2" t="str">
        <f t="shared" si="5"/>
        <v>Key-ESP-61</v>
      </c>
      <c r="X61" s="44" t="s">
        <v>395</v>
      </c>
      <c r="Y61" s="61" t="s">
        <v>378</v>
      </c>
      <c r="Z61" s="45" t="s">
        <v>365</v>
      </c>
      <c r="AA61" s="44" t="str">
        <f t="shared" ref="AA61:AA65" ca="1" si="122">_xlfn.TRANSLATE(P61,"pt","en")</f>
        <v>Architectural spaces sized and equipped for sports activities, etc.</v>
      </c>
    </row>
    <row r="62" spans="1:27" customFormat="1" ht="6" customHeight="1" x14ac:dyDescent="0.4">
      <c r="A62" s="39">
        <v>62</v>
      </c>
      <c r="B62" s="40" t="s">
        <v>81</v>
      </c>
      <c r="C62" s="40" t="s">
        <v>442</v>
      </c>
      <c r="D62" s="40" t="s">
        <v>447</v>
      </c>
      <c r="E62" s="40" t="s">
        <v>614</v>
      </c>
      <c r="F62" s="41" t="s">
        <v>362</v>
      </c>
      <c r="G62" s="42" t="s">
        <v>10</v>
      </c>
      <c r="H62" s="42" t="s">
        <v>10</v>
      </c>
      <c r="I62" s="42" t="s">
        <v>10</v>
      </c>
      <c r="J62" s="42" t="s">
        <v>10</v>
      </c>
      <c r="K62" s="42" t="s">
        <v>10</v>
      </c>
      <c r="L62" s="43" t="str">
        <f t="shared" si="115"/>
        <v>Espacialidade</v>
      </c>
      <c r="M62" s="43" t="str">
        <f t="shared" si="116"/>
        <v>Elementos.Espaciais</v>
      </c>
      <c r="N62" s="43" t="str">
        <f t="shared" si="117"/>
        <v>Ambientes Esportivos</v>
      </c>
      <c r="O62" s="43" t="str">
        <f t="shared" si="118"/>
        <v>Quadra Esportiva</v>
      </c>
      <c r="P62" s="44" t="s">
        <v>581</v>
      </c>
      <c r="Q62" s="44" t="str">
        <f t="shared" si="6"/>
        <v>Espacios arquitectónicos diseñados y equipados para actividades deportivas al aire libre o interior, como pistas deportivas.</v>
      </c>
      <c r="R62" s="45" t="s">
        <v>10</v>
      </c>
      <c r="S62" s="46" t="str">
        <f t="shared" si="119"/>
        <v>Espacialidade</v>
      </c>
      <c r="T62" s="46" t="str">
        <f t="shared" si="120"/>
        <v>Elementos Espaciais</v>
      </c>
      <c r="U62" s="46" t="str">
        <f t="shared" si="121"/>
        <v>Ambientes Esportivos</v>
      </c>
      <c r="V62" s="45" t="s">
        <v>191</v>
      </c>
      <c r="W62" s="2" t="str">
        <f t="shared" si="5"/>
        <v>Key-ESP-62</v>
      </c>
      <c r="X62" s="44" t="s">
        <v>395</v>
      </c>
      <c r="Y62" s="61" t="s">
        <v>378</v>
      </c>
      <c r="Z62" s="45" t="s">
        <v>365</v>
      </c>
      <c r="AA62" s="44" t="str">
        <f t="shared" ca="1" si="122"/>
        <v>Architectural spaces designed and equipped for outdoor or indoor sports activities such as sports courts.</v>
      </c>
    </row>
    <row r="63" spans="1:27" customFormat="1" ht="6" customHeight="1" x14ac:dyDescent="0.4">
      <c r="A63" s="39">
        <v>63</v>
      </c>
      <c r="B63" s="40" t="s">
        <v>81</v>
      </c>
      <c r="C63" s="40" t="s">
        <v>442</v>
      </c>
      <c r="D63" s="40" t="s">
        <v>447</v>
      </c>
      <c r="E63" s="40" t="s">
        <v>614</v>
      </c>
      <c r="F63" s="41" t="s">
        <v>363</v>
      </c>
      <c r="G63" s="42" t="s">
        <v>10</v>
      </c>
      <c r="H63" s="42" t="s">
        <v>10</v>
      </c>
      <c r="I63" s="42" t="s">
        <v>10</v>
      </c>
      <c r="J63" s="42" t="s">
        <v>10</v>
      </c>
      <c r="K63" s="42" t="s">
        <v>10</v>
      </c>
      <c r="L63" s="43" t="str">
        <f t="shared" ref="L63" si="123">CONCATENATE("", C63)</f>
        <v>Espacialidade</v>
      </c>
      <c r="M63" s="43" t="str">
        <f t="shared" ref="M63" si="124">CONCATENATE("", D63)</f>
        <v>Elementos.Espaciais</v>
      </c>
      <c r="N63" s="43" t="str">
        <f t="shared" ref="N63" si="125">(SUBSTITUTE(SUBSTITUTE(CONCATENATE("",E63),"."," ")," De "," de "))</f>
        <v>Ambientes Esportivos</v>
      </c>
      <c r="O63" s="43" t="str">
        <f t="shared" ref="O63" si="126">(SUBSTITUTE(SUBSTITUTE(CONCATENATE("",F63),"."," ")," De "," de "))</f>
        <v>Piscina Esportiva</v>
      </c>
      <c r="P63" s="44" t="s">
        <v>582</v>
      </c>
      <c r="Q63" s="44" t="str">
        <f t="shared" ref="Q63" si="127">_xlfn.TRANSLATE(P63,"pt","es")</f>
        <v>Espacios arquitectónicos diseñados y equipados para actividades acuáticas al aire libre o interior, como piscinas deportivas.</v>
      </c>
      <c r="R63" s="45" t="s">
        <v>10</v>
      </c>
      <c r="S63" s="46" t="str">
        <f t="shared" ref="S63" si="128">SUBSTITUTE(C63, ".", " ")</f>
        <v>Espacialidade</v>
      </c>
      <c r="T63" s="46" t="str">
        <f t="shared" ref="T63" si="129">SUBSTITUTE(D63, ".", " ")</f>
        <v>Elementos Espaciais</v>
      </c>
      <c r="U63" s="46" t="str">
        <f t="shared" ref="U63" si="130">SUBSTITUTE(E63, ".", " ")</f>
        <v>Ambientes Esportivos</v>
      </c>
      <c r="V63" s="45" t="s">
        <v>191</v>
      </c>
      <c r="W63" s="2" t="str">
        <f t="shared" ref="W63" si="131">CONCATENATE("Key-ESP-",A63)</f>
        <v>Key-ESP-63</v>
      </c>
      <c r="X63" s="44" t="s">
        <v>395</v>
      </c>
      <c r="Y63" s="61" t="s">
        <v>378</v>
      </c>
      <c r="Z63" s="45" t="s">
        <v>365</v>
      </c>
      <c r="AA63" s="44" t="str">
        <f t="shared" ref="AA63" si="132">_xlfn.TRANSLATE(P63,"pt","en")</f>
        <v>Architectural spaces designed and equipped for outdoor or indoor water sports activities such as sports pools.</v>
      </c>
    </row>
    <row r="64" spans="1:27" customFormat="1" ht="6" customHeight="1" x14ac:dyDescent="0.4">
      <c r="A64" s="39">
        <v>64</v>
      </c>
      <c r="B64" s="40" t="s">
        <v>81</v>
      </c>
      <c r="C64" s="40" t="s">
        <v>442</v>
      </c>
      <c r="D64" s="40" t="s">
        <v>447</v>
      </c>
      <c r="E64" s="40" t="s">
        <v>614</v>
      </c>
      <c r="F64" s="41" t="s">
        <v>569</v>
      </c>
      <c r="G64" s="42" t="s">
        <v>10</v>
      </c>
      <c r="H64" s="42" t="s">
        <v>10</v>
      </c>
      <c r="I64" s="42" t="s">
        <v>10</v>
      </c>
      <c r="J64" s="42" t="s">
        <v>10</v>
      </c>
      <c r="K64" s="42" t="s">
        <v>10</v>
      </c>
      <c r="L64" s="43" t="str">
        <f t="shared" si="115"/>
        <v>Espacialidade</v>
      </c>
      <c r="M64" s="43" t="str">
        <f t="shared" si="116"/>
        <v>Elementos.Espaciais</v>
      </c>
      <c r="N64" s="43" t="str">
        <f t="shared" si="117"/>
        <v>Ambientes Esportivos</v>
      </c>
      <c r="O64" s="43" t="str">
        <f t="shared" si="118"/>
        <v>Pista Esportiva</v>
      </c>
      <c r="P64" s="44" t="s">
        <v>610</v>
      </c>
      <c r="Q64" s="44" t="str">
        <f t="shared" si="6"/>
        <v>Espacios arquitectónicos dimensionados y equipados para actividades deportivas de competición en pistas deportivas.</v>
      </c>
      <c r="R64" s="45" t="s">
        <v>10</v>
      </c>
      <c r="S64" s="46" t="str">
        <f t="shared" si="119"/>
        <v>Espacialidade</v>
      </c>
      <c r="T64" s="46" t="str">
        <f t="shared" si="120"/>
        <v>Elementos Espaciais</v>
      </c>
      <c r="U64" s="46" t="str">
        <f t="shared" si="121"/>
        <v>Ambientes Esportivos</v>
      </c>
      <c r="V64" s="45" t="s">
        <v>191</v>
      </c>
      <c r="W64" s="2" t="str">
        <f t="shared" si="5"/>
        <v>Key-ESP-64</v>
      </c>
      <c r="X64" s="44" t="s">
        <v>395</v>
      </c>
      <c r="Y64" s="61" t="s">
        <v>378</v>
      </c>
      <c r="Z64" s="45" t="s">
        <v>365</v>
      </c>
      <c r="AA64" s="44" t="str">
        <f t="shared" ca="1" si="122"/>
        <v>Architectural spaces sized and equipped for sports activities of racing on sports tracks.</v>
      </c>
    </row>
    <row r="65" spans="1:27" customFormat="1" ht="6" customHeight="1" x14ac:dyDescent="0.4">
      <c r="A65" s="39">
        <v>65</v>
      </c>
      <c r="B65" s="40" t="s">
        <v>81</v>
      </c>
      <c r="C65" s="40" t="s">
        <v>442</v>
      </c>
      <c r="D65" s="40" t="s">
        <v>447</v>
      </c>
      <c r="E65" s="40" t="s">
        <v>614</v>
      </c>
      <c r="F65" s="41" t="s">
        <v>485</v>
      </c>
      <c r="G65" s="42" t="s">
        <v>10</v>
      </c>
      <c r="H65" s="42" t="s">
        <v>10</v>
      </c>
      <c r="I65" s="42" t="s">
        <v>10</v>
      </c>
      <c r="J65" s="42" t="s">
        <v>10</v>
      </c>
      <c r="K65" s="42" t="s">
        <v>10</v>
      </c>
      <c r="L65" s="43" t="str">
        <f t="shared" si="115"/>
        <v>Espacialidade</v>
      </c>
      <c r="M65" s="43" t="str">
        <f t="shared" si="116"/>
        <v>Elementos.Espaciais</v>
      </c>
      <c r="N65" s="43" t="str">
        <f t="shared" si="117"/>
        <v>Ambientes Esportivos</v>
      </c>
      <c r="O65" s="43" t="str">
        <f t="shared" si="118"/>
        <v>Arquibancada Esportiva</v>
      </c>
      <c r="P65" s="44" t="s">
        <v>583</v>
      </c>
      <c r="Q65" s="44" t="str">
        <f t="shared" si="6"/>
        <v>Espacios arquitectónicos dimensionados y equipados para que el público pueda ver un evento deportivo como Grandstand.</v>
      </c>
      <c r="R65" s="45" t="s">
        <v>10</v>
      </c>
      <c r="S65" s="46" t="str">
        <f t="shared" si="119"/>
        <v>Espacialidade</v>
      </c>
      <c r="T65" s="46" t="str">
        <f t="shared" si="120"/>
        <v>Elementos Espaciais</v>
      </c>
      <c r="U65" s="46" t="str">
        <f t="shared" si="121"/>
        <v>Ambientes Esportivos</v>
      </c>
      <c r="V65" s="45" t="s">
        <v>191</v>
      </c>
      <c r="W65" s="2" t="str">
        <f t="shared" ref="W65" si="133">CONCATENATE("Key-ESP-",A65)</f>
        <v>Key-ESP-65</v>
      </c>
      <c r="X65" s="44" t="s">
        <v>395</v>
      </c>
      <c r="Y65" s="61" t="s">
        <v>378</v>
      </c>
      <c r="Z65" s="45" t="s">
        <v>365</v>
      </c>
      <c r="AA65" s="44" t="str">
        <f t="shared" si="122"/>
        <v>Architectural spaces sized and equipped for the public to see a sporting event like Grandstand.</v>
      </c>
    </row>
    <row r="66" spans="1:27" customFormat="1" ht="6" customHeight="1" x14ac:dyDescent="0.4">
      <c r="A66" s="39">
        <v>66</v>
      </c>
      <c r="B66" s="40" t="s">
        <v>81</v>
      </c>
      <c r="C66" s="40" t="s">
        <v>442</v>
      </c>
      <c r="D66" s="40" t="s">
        <v>447</v>
      </c>
      <c r="E66" s="40" t="s">
        <v>614</v>
      </c>
      <c r="F66" s="41" t="s">
        <v>364</v>
      </c>
      <c r="G66" s="42" t="s">
        <v>10</v>
      </c>
      <c r="H66" s="42" t="s">
        <v>10</v>
      </c>
      <c r="I66" s="42" t="s">
        <v>10</v>
      </c>
      <c r="J66" s="42" t="s">
        <v>10</v>
      </c>
      <c r="K66" s="42" t="s">
        <v>10</v>
      </c>
      <c r="L66" s="43" t="str">
        <f t="shared" si="1"/>
        <v>Espacialidade</v>
      </c>
      <c r="M66" s="43" t="str">
        <f t="shared" si="2"/>
        <v>Elementos.Espaciais</v>
      </c>
      <c r="N66" s="43" t="str">
        <f t="shared" si="19"/>
        <v>Ambientes Esportivos</v>
      </c>
      <c r="O66" s="43" t="str">
        <f t="shared" si="19"/>
        <v>Vestiário Esportivo</v>
      </c>
      <c r="P66" s="44" t="s">
        <v>584</v>
      </c>
      <c r="Q66" s="44" t="str">
        <f t="shared" ca="1" si="6"/>
        <v>Espacios arquitectónicos de tamaño y equipamiento para vestuarios deportivos.</v>
      </c>
      <c r="R66" s="45" t="s">
        <v>10</v>
      </c>
      <c r="S66" s="46" t="str">
        <f t="shared" si="71"/>
        <v>Espacialidade</v>
      </c>
      <c r="T66" s="46" t="str">
        <f t="shared" si="7"/>
        <v>Elementos Espaciais</v>
      </c>
      <c r="U66" s="46" t="str">
        <f t="shared" si="8"/>
        <v>Ambientes Esportivos</v>
      </c>
      <c r="V66" s="45" t="s">
        <v>191</v>
      </c>
      <c r="W66" s="2" t="str">
        <f t="shared" si="5"/>
        <v>Key-ESP-66</v>
      </c>
      <c r="X66" s="44" t="s">
        <v>395</v>
      </c>
      <c r="Y66" s="61" t="s">
        <v>378</v>
      </c>
      <c r="Z66" s="45" t="s">
        <v>365</v>
      </c>
      <c r="AA66" s="44" t="str">
        <f t="shared" ca="1" si="9"/>
        <v>Architectural spaces sized and equipped for sports locker room.</v>
      </c>
    </row>
    <row r="67" spans="1:27" customFormat="1" ht="6" customHeight="1" x14ac:dyDescent="0.4">
      <c r="A67" s="39">
        <v>67</v>
      </c>
      <c r="B67" s="40" t="s">
        <v>81</v>
      </c>
      <c r="C67" s="40" t="s">
        <v>442</v>
      </c>
      <c r="D67" s="40" t="s">
        <v>447</v>
      </c>
      <c r="E67" s="40" t="s">
        <v>514</v>
      </c>
      <c r="F67" s="41" t="s">
        <v>359</v>
      </c>
      <c r="G67" s="42" t="s">
        <v>10</v>
      </c>
      <c r="H67" s="42" t="s">
        <v>10</v>
      </c>
      <c r="I67" s="42" t="s">
        <v>10</v>
      </c>
      <c r="J67" s="42" t="s">
        <v>10</v>
      </c>
      <c r="K67" s="42" t="s">
        <v>10</v>
      </c>
      <c r="L67" s="43" t="str">
        <f t="shared" si="1"/>
        <v>Espacialidade</v>
      </c>
      <c r="M67" s="43" t="str">
        <f t="shared" si="2"/>
        <v>Elementos.Espaciais</v>
      </c>
      <c r="N67" s="43" t="str">
        <f t="shared" si="19"/>
        <v>Sanitários Coletivos</v>
      </c>
      <c r="O67" s="43" t="str">
        <f t="shared" si="19"/>
        <v>Sanitário Masculino</v>
      </c>
      <c r="P67" s="44" t="s">
        <v>585</v>
      </c>
      <c r="Q67" s="44" t="str">
        <f t="shared" si="6"/>
        <v>Espacios arquitectónicos dimensionados y equipados con partes sanitarias para uso masculino.</v>
      </c>
      <c r="R67" s="45" t="s">
        <v>10</v>
      </c>
      <c r="S67" s="46" t="str">
        <f t="shared" si="71"/>
        <v>Espacialidade</v>
      </c>
      <c r="T67" s="46" t="str">
        <f t="shared" si="7"/>
        <v>Elementos Espaciais</v>
      </c>
      <c r="U67" s="46" t="str">
        <f t="shared" si="8"/>
        <v>Sanitários Coletivos</v>
      </c>
      <c r="V67" s="45" t="s">
        <v>191</v>
      </c>
      <c r="W67" s="2" t="str">
        <f t="shared" si="5"/>
        <v>Key-ESP-67</v>
      </c>
      <c r="X67" s="44" t="s">
        <v>395</v>
      </c>
      <c r="Y67" s="61" t="s">
        <v>378</v>
      </c>
      <c r="Z67" s="45" t="s">
        <v>422</v>
      </c>
      <c r="AA67" s="44" t="str">
        <f t="shared" ca="1" si="9"/>
        <v>Architectural spaces sized and equipped with sanitary parts for male use.</v>
      </c>
    </row>
    <row r="68" spans="1:27" customFormat="1" ht="6" customHeight="1" x14ac:dyDescent="0.4">
      <c r="A68" s="39">
        <v>68</v>
      </c>
      <c r="B68" s="40" t="s">
        <v>81</v>
      </c>
      <c r="C68" s="40" t="s">
        <v>442</v>
      </c>
      <c r="D68" s="40" t="s">
        <v>447</v>
      </c>
      <c r="E68" s="40" t="s">
        <v>514</v>
      </c>
      <c r="F68" s="41" t="s">
        <v>360</v>
      </c>
      <c r="G68" s="42" t="s">
        <v>10</v>
      </c>
      <c r="H68" s="42" t="s">
        <v>10</v>
      </c>
      <c r="I68" s="42" t="s">
        <v>10</v>
      </c>
      <c r="J68" s="42" t="s">
        <v>10</v>
      </c>
      <c r="K68" s="42" t="s">
        <v>10</v>
      </c>
      <c r="L68" s="43" t="str">
        <f t="shared" si="1"/>
        <v>Espacialidade</v>
      </c>
      <c r="M68" s="43" t="str">
        <f t="shared" si="2"/>
        <v>Elementos.Espaciais</v>
      </c>
      <c r="N68" s="43" t="str">
        <f t="shared" si="19"/>
        <v>Sanitários Coletivos</v>
      </c>
      <c r="O68" s="43" t="str">
        <f t="shared" si="19"/>
        <v>Sanitário Feminino</v>
      </c>
      <c r="P68" s="44" t="s">
        <v>585</v>
      </c>
      <c r="Q68" s="44" t="str">
        <f t="shared" si="6"/>
        <v>Espacios arquitectónicos dimensionados y equipados con partes sanitarias para uso masculino.</v>
      </c>
      <c r="R68" s="45" t="s">
        <v>10</v>
      </c>
      <c r="S68" s="46" t="str">
        <f t="shared" si="71"/>
        <v>Espacialidade</v>
      </c>
      <c r="T68" s="46" t="str">
        <f t="shared" si="7"/>
        <v>Elementos Espaciais</v>
      </c>
      <c r="U68" s="46" t="str">
        <f t="shared" si="8"/>
        <v>Sanitários Coletivos</v>
      </c>
      <c r="V68" s="45" t="s">
        <v>191</v>
      </c>
      <c r="W68" s="2" t="str">
        <f t="shared" si="5"/>
        <v>Key-ESP-68</v>
      </c>
      <c r="X68" s="44" t="s">
        <v>395</v>
      </c>
      <c r="Y68" s="61" t="s">
        <v>378</v>
      </c>
      <c r="Z68" s="45" t="s">
        <v>422</v>
      </c>
      <c r="AA68" s="44" t="str">
        <f t="shared" ca="1" si="9"/>
        <v>Architectural spaces sized and equipped with sanitary parts for male use.</v>
      </c>
    </row>
    <row r="69" spans="1:27" customFormat="1" ht="6" customHeight="1" x14ac:dyDescent="0.4">
      <c r="A69" s="39">
        <v>69</v>
      </c>
      <c r="B69" s="40" t="s">
        <v>81</v>
      </c>
      <c r="C69" s="40" t="s">
        <v>442</v>
      </c>
      <c r="D69" s="40" t="s">
        <v>447</v>
      </c>
      <c r="E69" s="40" t="s">
        <v>514</v>
      </c>
      <c r="F69" s="41" t="s">
        <v>361</v>
      </c>
      <c r="G69" s="42" t="s">
        <v>10</v>
      </c>
      <c r="H69" s="42" t="s">
        <v>10</v>
      </c>
      <c r="I69" s="42" t="s">
        <v>10</v>
      </c>
      <c r="J69" s="42" t="s">
        <v>10</v>
      </c>
      <c r="K69" s="42" t="s">
        <v>10</v>
      </c>
      <c r="L69" s="43" t="str">
        <f t="shared" si="1"/>
        <v>Espacialidade</v>
      </c>
      <c r="M69" s="43" t="str">
        <f t="shared" si="2"/>
        <v>Elementos.Espaciais</v>
      </c>
      <c r="N69" s="43" t="str">
        <f t="shared" si="19"/>
        <v>Sanitários Coletivos</v>
      </c>
      <c r="O69" s="43" t="str">
        <f t="shared" si="19"/>
        <v>Sanitário Indiferenciado</v>
      </c>
      <c r="P69" s="44" t="s">
        <v>586</v>
      </c>
      <c r="Q69" s="44" t="str">
        <f t="shared" si="6"/>
        <v>Espacios arquitectónicos dimensionados y equipados con piezas sanitarias para uso común tanto por mujeres como por hombres.</v>
      </c>
      <c r="R69" s="45" t="s">
        <v>10</v>
      </c>
      <c r="S69" s="46" t="str">
        <f t="shared" ref="S69" si="134">SUBSTITUTE(C69, ".", " ")</f>
        <v>Espacialidade</v>
      </c>
      <c r="T69" s="46" t="str">
        <f t="shared" ref="T69" si="135">SUBSTITUTE(D69, ".", " ")</f>
        <v>Elementos Espaciais</v>
      </c>
      <c r="U69" s="46" t="str">
        <f t="shared" ref="U69" si="136">SUBSTITUTE(E69, ".", " ")</f>
        <v>Sanitários Coletivos</v>
      </c>
      <c r="V69" s="45" t="s">
        <v>191</v>
      </c>
      <c r="W69" s="2" t="str">
        <f t="shared" ref="W69" si="137">CONCATENATE("Key-ESP-",A69)</f>
        <v>Key-ESP-69</v>
      </c>
      <c r="X69" s="44" t="s">
        <v>395</v>
      </c>
      <c r="Y69" s="61" t="s">
        <v>378</v>
      </c>
      <c r="Z69" s="45" t="s">
        <v>422</v>
      </c>
      <c r="AA69" s="44" t="str">
        <f t="shared" ca="1" si="9"/>
        <v>Architectural spaces sized and equipped with sanitary parts for common use by women and men.</v>
      </c>
    </row>
    <row r="70" spans="1:27" customFormat="1" ht="6" customHeight="1" x14ac:dyDescent="0.4">
      <c r="A70" s="39">
        <v>70</v>
      </c>
      <c r="B70" s="40" t="s">
        <v>81</v>
      </c>
      <c r="C70" s="40" t="s">
        <v>442</v>
      </c>
      <c r="D70" s="40" t="s">
        <v>447</v>
      </c>
      <c r="E70" s="40" t="s">
        <v>514</v>
      </c>
      <c r="F70" s="41" t="s">
        <v>508</v>
      </c>
      <c r="G70" s="42" t="s">
        <v>10</v>
      </c>
      <c r="H70" s="42" t="s">
        <v>10</v>
      </c>
      <c r="I70" s="42" t="s">
        <v>10</v>
      </c>
      <c r="J70" s="42" t="s">
        <v>10</v>
      </c>
      <c r="K70" s="42" t="s">
        <v>10</v>
      </c>
      <c r="L70" s="43" t="str">
        <f t="shared" si="1"/>
        <v>Espacialidade</v>
      </c>
      <c r="M70" s="43" t="str">
        <f t="shared" si="2"/>
        <v>Elementos.Espaciais</v>
      </c>
      <c r="N70" s="43" t="str">
        <f t="shared" si="19"/>
        <v>Sanitários Coletivos</v>
      </c>
      <c r="O70" s="43" t="str">
        <f t="shared" si="19"/>
        <v>Sanitário PNE</v>
      </c>
      <c r="P70" s="44" t="s">
        <v>587</v>
      </c>
      <c r="Q70" s="44" t="str">
        <f t="shared" si="6"/>
        <v>Espacios arquitectónicos dimensionados y equipados con componentes sanitarios para uso de personas con necesidades especiales (PNE).</v>
      </c>
      <c r="R70" s="45" t="s">
        <v>10</v>
      </c>
      <c r="S70" s="46" t="str">
        <f t="shared" si="71"/>
        <v>Espacialidade</v>
      </c>
      <c r="T70" s="46" t="str">
        <f t="shared" si="7"/>
        <v>Elementos Espaciais</v>
      </c>
      <c r="U70" s="46" t="str">
        <f t="shared" si="8"/>
        <v>Sanitários Coletivos</v>
      </c>
      <c r="V70" s="45" t="s">
        <v>191</v>
      </c>
      <c r="W70" s="2" t="str">
        <f t="shared" si="5"/>
        <v>Key-ESP-70</v>
      </c>
      <c r="X70" s="44" t="s">
        <v>395</v>
      </c>
      <c r="Y70" s="61" t="s">
        <v>378</v>
      </c>
      <c r="Z70" s="45" t="s">
        <v>422</v>
      </c>
      <c r="AA70" s="44" t="str">
        <f t="shared" ca="1" si="9"/>
        <v>Architectural spaces sized and equipped with sanitary parts for use by people with special needs (PNE).</v>
      </c>
    </row>
    <row r="71" spans="1:27" customFormat="1" ht="6" customHeight="1" x14ac:dyDescent="0.4">
      <c r="A71" s="39">
        <v>71</v>
      </c>
      <c r="B71" s="40" t="s">
        <v>81</v>
      </c>
      <c r="C71" s="40" t="s">
        <v>442</v>
      </c>
      <c r="D71" s="40" t="s">
        <v>447</v>
      </c>
      <c r="E71" s="40" t="s">
        <v>514</v>
      </c>
      <c r="F71" s="41" t="s">
        <v>507</v>
      </c>
      <c r="G71" s="42" t="s">
        <v>10</v>
      </c>
      <c r="H71" s="42" t="s">
        <v>10</v>
      </c>
      <c r="I71" s="42" t="s">
        <v>10</v>
      </c>
      <c r="J71" s="42" t="s">
        <v>10</v>
      </c>
      <c r="K71" s="42" t="s">
        <v>10</v>
      </c>
      <c r="L71" s="43" t="str">
        <f t="shared" si="1"/>
        <v>Espacialidade</v>
      </c>
      <c r="M71" s="43" t="str">
        <f t="shared" si="2"/>
        <v>Elementos.Espaciais</v>
      </c>
      <c r="N71" s="43" t="str">
        <f t="shared" si="19"/>
        <v>Sanitários Coletivos</v>
      </c>
      <c r="O71" s="43" t="str">
        <f t="shared" si="19"/>
        <v>Sanitário WC</v>
      </c>
      <c r="P71" s="44" t="s">
        <v>588</v>
      </c>
      <c r="Q71" s="44" t="str">
        <f t="shared" si="6"/>
        <v>Espacios arquitectónicos de tamaño y equipamiento con partes sanitarias de un pequeño baño.</v>
      </c>
      <c r="R71" s="45" t="s">
        <v>10</v>
      </c>
      <c r="S71" s="46" t="str">
        <f t="shared" si="71"/>
        <v>Espacialidade</v>
      </c>
      <c r="T71" s="46" t="str">
        <f t="shared" si="7"/>
        <v>Elementos Espaciais</v>
      </c>
      <c r="U71" s="46" t="str">
        <f t="shared" si="8"/>
        <v>Sanitários Coletivos</v>
      </c>
      <c r="V71" s="45" t="s">
        <v>191</v>
      </c>
      <c r="W71" s="2" t="str">
        <f t="shared" si="5"/>
        <v>Key-ESP-71</v>
      </c>
      <c r="X71" s="44" t="s">
        <v>395</v>
      </c>
      <c r="Y71" s="61" t="s">
        <v>378</v>
      </c>
      <c r="Z71" s="45" t="s">
        <v>422</v>
      </c>
      <c r="AA71" s="44" t="str">
        <f t="shared" ca="1" si="9"/>
        <v>Architectural spaces sized and equipped with sanitary parts of a small bathroom.</v>
      </c>
    </row>
    <row r="72" spans="1:27" customFormat="1" ht="6" customHeight="1" x14ac:dyDescent="0.4">
      <c r="A72" s="39">
        <v>72</v>
      </c>
      <c r="B72" s="40" t="s">
        <v>81</v>
      </c>
      <c r="C72" s="40" t="s">
        <v>442</v>
      </c>
      <c r="D72" s="40" t="s">
        <v>447</v>
      </c>
      <c r="E72" s="40" t="s">
        <v>615</v>
      </c>
      <c r="F72" s="41" t="s">
        <v>470</v>
      </c>
      <c r="G72" s="42" t="s">
        <v>10</v>
      </c>
      <c r="H72" s="42" t="s">
        <v>10</v>
      </c>
      <c r="I72" s="42" t="s">
        <v>10</v>
      </c>
      <c r="J72" s="42" t="s">
        <v>10</v>
      </c>
      <c r="K72" s="42" t="s">
        <v>10</v>
      </c>
      <c r="L72" s="43" t="str">
        <f t="shared" ref="L72:L73" si="138">CONCATENATE("", C72)</f>
        <v>Espacialidade</v>
      </c>
      <c r="M72" s="43" t="str">
        <f t="shared" ref="M72:M73" si="139">CONCATENATE("", D72)</f>
        <v>Elementos.Espaciais</v>
      </c>
      <c r="N72" s="43" t="str">
        <f t="shared" ref="N72:N73" si="140">(SUBSTITUTE(SUBSTITUTE(CONCATENATE("",E72),"."," ")," De "," de "))</f>
        <v>Ambientes Comerciais</v>
      </c>
      <c r="O72" s="43" t="str">
        <f t="shared" ref="O72:O73" si="141">(SUBSTITUTE(SUBSTITUTE(CONCATENATE("",F72),"."," ")," De "," de "))</f>
        <v>Sala Trabalho</v>
      </c>
      <c r="P72" s="44" t="s">
        <v>589</v>
      </c>
      <c r="Q72" s="44" t="str">
        <f t="shared" si="6"/>
        <v>Espacios arquitectónicos dimensionados y equipados para trabajos comerciales administrativos.</v>
      </c>
      <c r="R72" s="45" t="s">
        <v>10</v>
      </c>
      <c r="S72" s="46" t="str">
        <f t="shared" ref="S72:S73" si="142">SUBSTITUTE(C72, ".", " ")</f>
        <v>Espacialidade</v>
      </c>
      <c r="T72" s="46" t="str">
        <f t="shared" ref="T72:T73" si="143">SUBSTITUTE(D72, ".", " ")</f>
        <v>Elementos Espaciais</v>
      </c>
      <c r="U72" s="46" t="str">
        <f t="shared" ref="U72:U73" si="144">SUBSTITUTE(E72, ".", " ")</f>
        <v>Ambientes Comerciais</v>
      </c>
      <c r="V72" s="45" t="s">
        <v>191</v>
      </c>
      <c r="W72" s="2" t="str">
        <f t="shared" ref="W72:W73" si="145">CONCATENATE("Key-ESP-",A72)</f>
        <v>Key-ESP-72</v>
      </c>
      <c r="X72" s="44" t="s">
        <v>395</v>
      </c>
      <c r="Y72" s="61" t="s">
        <v>378</v>
      </c>
      <c r="Z72" s="45" t="s">
        <v>365</v>
      </c>
      <c r="AA72" s="44" t="str">
        <f t="shared" ref="AA72:AA73" si="146">_xlfn.TRANSLATE(P72,"pt","en")</f>
        <v>Architectural spaces sized and equipped for administrative commercial work.</v>
      </c>
    </row>
    <row r="73" spans="1:27" customFormat="1" ht="6" customHeight="1" x14ac:dyDescent="0.4">
      <c r="A73" s="39">
        <v>73</v>
      </c>
      <c r="B73" s="40" t="s">
        <v>81</v>
      </c>
      <c r="C73" s="40" t="s">
        <v>442</v>
      </c>
      <c r="D73" s="40" t="s">
        <v>447</v>
      </c>
      <c r="E73" s="40" t="s">
        <v>615</v>
      </c>
      <c r="F73" s="41" t="s">
        <v>471</v>
      </c>
      <c r="G73" s="42" t="s">
        <v>10</v>
      </c>
      <c r="H73" s="42" t="s">
        <v>10</v>
      </c>
      <c r="I73" s="42" t="s">
        <v>10</v>
      </c>
      <c r="J73" s="42" t="s">
        <v>10</v>
      </c>
      <c r="K73" s="42" t="s">
        <v>10</v>
      </c>
      <c r="L73" s="43" t="str">
        <f t="shared" si="138"/>
        <v>Espacialidade</v>
      </c>
      <c r="M73" s="43" t="str">
        <f t="shared" si="139"/>
        <v>Elementos.Espaciais</v>
      </c>
      <c r="N73" s="43" t="str">
        <f t="shared" si="140"/>
        <v>Ambientes Comerciais</v>
      </c>
      <c r="O73" s="43" t="str">
        <f t="shared" si="141"/>
        <v>Sala Vendas</v>
      </c>
      <c r="P73" s="44" t="s">
        <v>590</v>
      </c>
      <c r="Q73" s="44" t="str">
        <f t="shared" ref="Q73" si="147">_xlfn.TRANSLATE(P73,"pt","es")</f>
        <v>Espacios arquitectónicos dimensionados y equipados para ventas comerciales de atención al cliente, como taquillas o venta de productos.</v>
      </c>
      <c r="R73" s="45" t="s">
        <v>10</v>
      </c>
      <c r="S73" s="46" t="str">
        <f t="shared" si="142"/>
        <v>Espacialidade</v>
      </c>
      <c r="T73" s="46" t="str">
        <f t="shared" si="143"/>
        <v>Elementos Espaciais</v>
      </c>
      <c r="U73" s="46" t="str">
        <f t="shared" si="144"/>
        <v>Ambientes Comerciais</v>
      </c>
      <c r="V73" s="45" t="s">
        <v>191</v>
      </c>
      <c r="W73" s="2" t="str">
        <f t="shared" si="145"/>
        <v>Key-ESP-73</v>
      </c>
      <c r="X73" s="44" t="s">
        <v>395</v>
      </c>
      <c r="Y73" s="61" t="s">
        <v>378</v>
      </c>
      <c r="Z73" s="45" t="s">
        <v>365</v>
      </c>
      <c r="AA73" s="44" t="str">
        <f t="shared" si="146"/>
        <v>Architectural spaces sized and equipped for commercial sales of customer service such as ticket offices or product sales.</v>
      </c>
    </row>
    <row r="74" spans="1:27" customFormat="1" ht="6" customHeight="1" x14ac:dyDescent="0.4">
      <c r="A74" s="39">
        <v>74</v>
      </c>
      <c r="B74" s="40" t="s">
        <v>81</v>
      </c>
      <c r="C74" s="40" t="s">
        <v>442</v>
      </c>
      <c r="D74" s="40" t="s">
        <v>447</v>
      </c>
      <c r="E74" s="40" t="s">
        <v>616</v>
      </c>
      <c r="F74" s="41" t="s">
        <v>496</v>
      </c>
      <c r="G74" s="42" t="s">
        <v>10</v>
      </c>
      <c r="H74" s="42" t="s">
        <v>10</v>
      </c>
      <c r="I74" s="42" t="s">
        <v>10</v>
      </c>
      <c r="J74" s="42" t="s">
        <v>10</v>
      </c>
      <c r="K74" s="42" t="s">
        <v>10</v>
      </c>
      <c r="L74" s="43" t="str">
        <f t="shared" si="1"/>
        <v>Espacialidade</v>
      </c>
      <c r="M74" s="43" t="str">
        <f t="shared" si="2"/>
        <v>Elementos.Espaciais</v>
      </c>
      <c r="N74" s="43" t="str">
        <f t="shared" si="19"/>
        <v>Ambientes Habitacionais</v>
      </c>
      <c r="O74" s="43" t="str">
        <f t="shared" si="19"/>
        <v>Sala Social</v>
      </c>
      <c r="P74" s="44" t="s">
        <v>591</v>
      </c>
      <c r="Q74" s="44" t="str">
        <f t="shared" si="6"/>
        <v>Espacios arquitectónicos dimensionados y equipados para la función residencial de la vivienda: espacios arquitectónicos, balcones, etc.</v>
      </c>
      <c r="R74" s="45" t="s">
        <v>10</v>
      </c>
      <c r="S74" s="46" t="str">
        <f t="shared" si="71"/>
        <v>Espacialidade</v>
      </c>
      <c r="T74" s="46" t="str">
        <f t="shared" si="7"/>
        <v>Elementos Espaciais</v>
      </c>
      <c r="U74" s="46" t="str">
        <f t="shared" si="8"/>
        <v>Ambientes Habitacionais</v>
      </c>
      <c r="V74" s="45" t="s">
        <v>191</v>
      </c>
      <c r="W74" s="2" t="str">
        <f t="shared" ref="W74:W150" si="148">CONCATENATE("Key-ESP-",A74)</f>
        <v>Key-ESP-74</v>
      </c>
      <c r="X74" s="44" t="s">
        <v>395</v>
      </c>
      <c r="Y74" s="61" t="s">
        <v>378</v>
      </c>
      <c r="Z74" s="45" t="s">
        <v>365</v>
      </c>
      <c r="AA74" s="44" t="str">
        <f t="shared" ca="1" si="9"/>
        <v>Architectural spaces sized and equipped for residential function of Living - Architectural spaces, Balconies, etc.</v>
      </c>
    </row>
    <row r="75" spans="1:27" customFormat="1" ht="6" customHeight="1" x14ac:dyDescent="0.4">
      <c r="A75" s="39">
        <v>75</v>
      </c>
      <c r="B75" s="40" t="s">
        <v>81</v>
      </c>
      <c r="C75" s="40" t="s">
        <v>442</v>
      </c>
      <c r="D75" s="40" t="s">
        <v>447</v>
      </c>
      <c r="E75" s="40" t="s">
        <v>616</v>
      </c>
      <c r="F75" s="41" t="s">
        <v>497</v>
      </c>
      <c r="G75" s="42" t="s">
        <v>10</v>
      </c>
      <c r="H75" s="42" t="s">
        <v>10</v>
      </c>
      <c r="I75" s="42" t="s">
        <v>10</v>
      </c>
      <c r="J75" s="42" t="s">
        <v>10</v>
      </c>
      <c r="K75" s="42" t="s">
        <v>10</v>
      </c>
      <c r="L75" s="43" t="str">
        <f t="shared" si="1"/>
        <v>Espacialidade</v>
      </c>
      <c r="M75" s="43" t="str">
        <f t="shared" si="2"/>
        <v>Elementos.Espaciais</v>
      </c>
      <c r="N75" s="43" t="str">
        <f t="shared" si="19"/>
        <v>Ambientes Habitacionais</v>
      </c>
      <c r="O75" s="43" t="str">
        <f t="shared" si="19"/>
        <v>Sala Intimo</v>
      </c>
      <c r="P75" s="44" t="s">
        <v>592</v>
      </c>
      <c r="Q75" s="44" t="str">
        <f t="shared" si="6"/>
        <v>Espacios arquitectónicos dimensionados y equipados para funciones residenciales íntimas: dormitorios, vestidores, etc.</v>
      </c>
      <c r="R75" s="45" t="s">
        <v>10</v>
      </c>
      <c r="S75" s="46" t="str">
        <f t="shared" si="71"/>
        <v>Espacialidade</v>
      </c>
      <c r="T75" s="46" t="str">
        <f t="shared" si="7"/>
        <v>Elementos Espaciais</v>
      </c>
      <c r="U75" s="46" t="str">
        <f t="shared" si="8"/>
        <v>Ambientes Habitacionais</v>
      </c>
      <c r="V75" s="45" t="s">
        <v>191</v>
      </c>
      <c r="W75" s="2" t="str">
        <f t="shared" si="148"/>
        <v>Key-ESP-75</v>
      </c>
      <c r="X75" s="44" t="s">
        <v>395</v>
      </c>
      <c r="Y75" s="61" t="s">
        <v>378</v>
      </c>
      <c r="Z75" s="45" t="s">
        <v>365</v>
      </c>
      <c r="AA75" s="44" t="str">
        <f t="shared" ca="1" si="9"/>
        <v>Architectural spaces sized and equipped for intimate residential function - Bedrooms, Dressing rooms, etc.</v>
      </c>
    </row>
    <row r="76" spans="1:27" customFormat="1" ht="6" customHeight="1" x14ac:dyDescent="0.4">
      <c r="A76" s="39">
        <v>76</v>
      </c>
      <c r="B76" s="40" t="s">
        <v>81</v>
      </c>
      <c r="C76" s="40" t="s">
        <v>442</v>
      </c>
      <c r="D76" s="40" t="s">
        <v>447</v>
      </c>
      <c r="E76" s="40" t="s">
        <v>616</v>
      </c>
      <c r="F76" s="41" t="s">
        <v>498</v>
      </c>
      <c r="G76" s="42" t="s">
        <v>10</v>
      </c>
      <c r="H76" s="42" t="s">
        <v>10</v>
      </c>
      <c r="I76" s="42" t="s">
        <v>10</v>
      </c>
      <c r="J76" s="42" t="s">
        <v>10</v>
      </c>
      <c r="K76" s="42" t="s">
        <v>10</v>
      </c>
      <c r="L76" s="43" t="str">
        <f t="shared" si="1"/>
        <v>Espacialidade</v>
      </c>
      <c r="M76" s="43" t="str">
        <f t="shared" si="2"/>
        <v>Elementos.Espaciais</v>
      </c>
      <c r="N76" s="43" t="str">
        <f t="shared" si="19"/>
        <v>Ambientes Habitacionais</v>
      </c>
      <c r="O76" s="43" t="str">
        <f t="shared" si="19"/>
        <v>Sala Higiene</v>
      </c>
      <c r="P76" s="44" t="s">
        <v>593</v>
      </c>
      <c r="Q76" s="44" t="str">
        <f t="shared" ca="1" si="6"/>
        <v>Espacios arquitectónicos dimensionados y equipados para la higiene residencial - baños, aseos, etc.</v>
      </c>
      <c r="R76" s="45" t="s">
        <v>10</v>
      </c>
      <c r="S76" s="46" t="str">
        <f t="shared" si="71"/>
        <v>Espacialidade</v>
      </c>
      <c r="T76" s="46" t="str">
        <f t="shared" si="7"/>
        <v>Elementos Espaciais</v>
      </c>
      <c r="U76" s="46" t="str">
        <f t="shared" si="8"/>
        <v>Ambientes Habitacionais</v>
      </c>
      <c r="V76" s="45" t="s">
        <v>191</v>
      </c>
      <c r="W76" s="2" t="str">
        <f t="shared" si="148"/>
        <v>Key-ESP-76</v>
      </c>
      <c r="X76" s="44" t="s">
        <v>395</v>
      </c>
      <c r="Y76" s="61" t="s">
        <v>378</v>
      </c>
      <c r="Z76" s="45" t="s">
        <v>365</v>
      </c>
      <c r="AA76" s="44" t="str">
        <f t="shared" ca="1" si="9"/>
        <v>Architectural spaces sized and equipped for residential hygiene function - Bathrooms, toilets, etc.</v>
      </c>
    </row>
    <row r="77" spans="1:27" customFormat="1" ht="6" customHeight="1" x14ac:dyDescent="0.4">
      <c r="A77" s="39">
        <v>77</v>
      </c>
      <c r="B77" s="40" t="s">
        <v>81</v>
      </c>
      <c r="C77" s="40" t="s">
        <v>442</v>
      </c>
      <c r="D77" s="40" t="s">
        <v>447</v>
      </c>
      <c r="E77" s="40" t="s">
        <v>616</v>
      </c>
      <c r="F77" s="41" t="s">
        <v>499</v>
      </c>
      <c r="G77" s="42" t="s">
        <v>10</v>
      </c>
      <c r="H77" s="42" t="s">
        <v>10</v>
      </c>
      <c r="I77" s="42" t="s">
        <v>10</v>
      </c>
      <c r="J77" s="42" t="s">
        <v>10</v>
      </c>
      <c r="K77" s="42" t="s">
        <v>10</v>
      </c>
      <c r="L77" s="43" t="str">
        <f t="shared" ref="L77:L80" si="149">CONCATENATE("", C77)</f>
        <v>Espacialidade</v>
      </c>
      <c r="M77" s="43" t="str">
        <f t="shared" ref="M77:M80" si="150">CONCATENATE("", D77)</f>
        <v>Elementos.Espaciais</v>
      </c>
      <c r="N77" s="43" t="str">
        <f t="shared" ref="N77:N80" si="151">(SUBSTITUTE(SUBSTITUTE(CONCATENATE("",E77),"."," ")," De "," de "))</f>
        <v>Ambientes Habitacionais</v>
      </c>
      <c r="O77" s="43" t="str">
        <f t="shared" ref="O77:O80" si="152">(SUBSTITUTE(SUBSTITUTE(CONCATENATE("",F77),"."," ")," De "," de "))</f>
        <v>Sala Serviço</v>
      </c>
      <c r="P77" s="44" t="s">
        <v>594</v>
      </c>
      <c r="Q77" s="44" t="str">
        <f t="shared" ref="Q77:Q146" ca="1" si="153">_xlfn.TRANSLATE(P77,"pt","es")</f>
        <v>Espacios arquitectónicos dimensionados y equipados para funciones de servicio residencial: áreas, cocinas, etc.</v>
      </c>
      <c r="R77" s="45" t="s">
        <v>10</v>
      </c>
      <c r="S77" s="46" t="str">
        <f t="shared" si="71"/>
        <v>Espacialidade</v>
      </c>
      <c r="T77" s="46" t="str">
        <f t="shared" si="7"/>
        <v>Elementos Espaciais</v>
      </c>
      <c r="U77" s="46" t="str">
        <f t="shared" si="8"/>
        <v>Ambientes Habitacionais</v>
      </c>
      <c r="V77" s="45" t="s">
        <v>191</v>
      </c>
      <c r="W77" s="2" t="str">
        <f t="shared" si="148"/>
        <v>Key-ESP-77</v>
      </c>
      <c r="X77" s="44" t="s">
        <v>395</v>
      </c>
      <c r="Y77" s="61" t="s">
        <v>378</v>
      </c>
      <c r="Z77" s="45" t="s">
        <v>365</v>
      </c>
      <c r="AA77" s="44" t="str">
        <f t="shared" ref="AA77:AA80" ca="1" si="154">_xlfn.TRANSLATE(P77,"pt","en")</f>
        <v>Architectural spaces sized and equipped for residential service function - Areas, Kitchens, etc.</v>
      </c>
    </row>
    <row r="78" spans="1:27" customFormat="1" ht="6" customHeight="1" x14ac:dyDescent="0.4">
      <c r="A78" s="39">
        <v>78</v>
      </c>
      <c r="B78" s="40" t="s">
        <v>81</v>
      </c>
      <c r="C78" s="40" t="s">
        <v>442</v>
      </c>
      <c r="D78" s="40" t="s">
        <v>447</v>
      </c>
      <c r="E78" s="40" t="s">
        <v>616</v>
      </c>
      <c r="F78" s="41" t="s">
        <v>500</v>
      </c>
      <c r="G78" s="42" t="s">
        <v>10</v>
      </c>
      <c r="H78" s="42" t="s">
        <v>10</v>
      </c>
      <c r="I78" s="42" t="s">
        <v>10</v>
      </c>
      <c r="J78" s="42" t="s">
        <v>10</v>
      </c>
      <c r="K78" s="42" t="s">
        <v>10</v>
      </c>
      <c r="L78" s="43" t="str">
        <f t="shared" si="149"/>
        <v>Espacialidade</v>
      </c>
      <c r="M78" s="43" t="str">
        <f t="shared" si="150"/>
        <v>Elementos.Espaciais</v>
      </c>
      <c r="N78" s="43" t="str">
        <f t="shared" si="151"/>
        <v>Ambientes Habitacionais</v>
      </c>
      <c r="O78" s="43" t="str">
        <f t="shared" si="152"/>
        <v xml:space="preserve">Sala Lazer </v>
      </c>
      <c r="P78" s="44" t="s">
        <v>595</v>
      </c>
      <c r="Q78" s="44" t="str">
        <f t="shared" si="153"/>
        <v>Espacios arquitectónicos de tamaño y equipamiento para funciones residenciales de ocio, como espacios arquitectónicos para televisión, juegos, etc.</v>
      </c>
      <c r="R78" s="45" t="s">
        <v>10</v>
      </c>
      <c r="S78" s="46" t="str">
        <f t="shared" si="71"/>
        <v>Espacialidade</v>
      </c>
      <c r="T78" s="46" t="str">
        <f t="shared" si="7"/>
        <v>Elementos Espaciais</v>
      </c>
      <c r="U78" s="46" t="str">
        <f t="shared" si="8"/>
        <v>Ambientes Habitacionais</v>
      </c>
      <c r="V78" s="45" t="s">
        <v>191</v>
      </c>
      <c r="W78" s="2" t="str">
        <f t="shared" si="148"/>
        <v>Key-ESP-78</v>
      </c>
      <c r="X78" s="44" t="s">
        <v>395</v>
      </c>
      <c r="Y78" s="61" t="s">
        <v>378</v>
      </c>
      <c r="Z78" s="45" t="s">
        <v>365</v>
      </c>
      <c r="AA78" s="44" t="str">
        <f t="shared" ca="1" si="154"/>
        <v>Architectural spaces sized and equipped for residential leisure function such as architectural spaces for TV, games, etc.</v>
      </c>
    </row>
    <row r="79" spans="1:27" customFormat="1" ht="6" customHeight="1" x14ac:dyDescent="0.4">
      <c r="A79" s="39">
        <v>79</v>
      </c>
      <c r="B79" s="40" t="s">
        <v>81</v>
      </c>
      <c r="C79" s="40" t="s">
        <v>442</v>
      </c>
      <c r="D79" s="40" t="s">
        <v>447</v>
      </c>
      <c r="E79" s="40" t="s">
        <v>616</v>
      </c>
      <c r="F79" s="41" t="s">
        <v>501</v>
      </c>
      <c r="G79" s="42" t="s">
        <v>10</v>
      </c>
      <c r="H79" s="42" t="s">
        <v>10</v>
      </c>
      <c r="I79" s="42" t="s">
        <v>10</v>
      </c>
      <c r="J79" s="42" t="s">
        <v>10</v>
      </c>
      <c r="K79" s="42" t="s">
        <v>10</v>
      </c>
      <c r="L79" s="43" t="str">
        <f t="shared" si="149"/>
        <v>Espacialidade</v>
      </c>
      <c r="M79" s="43" t="str">
        <f t="shared" si="150"/>
        <v>Elementos.Espaciais</v>
      </c>
      <c r="N79" s="43" t="str">
        <f t="shared" si="151"/>
        <v>Ambientes Habitacionais</v>
      </c>
      <c r="O79" s="43" t="str">
        <f t="shared" si="152"/>
        <v>Sala Profissional</v>
      </c>
      <c r="P79" s="44" t="s">
        <v>596</v>
      </c>
      <c r="Q79" s="44" t="str">
        <f t="shared" si="153"/>
        <v>Espacios arquitectónicos dimensionados y equipados para la función residencial de actividades profesionales.</v>
      </c>
      <c r="R79" s="45" t="s">
        <v>10</v>
      </c>
      <c r="S79" s="46" t="str">
        <f t="shared" si="71"/>
        <v>Espacialidade</v>
      </c>
      <c r="T79" s="46" t="str">
        <f t="shared" si="7"/>
        <v>Elementos Espaciais</v>
      </c>
      <c r="U79" s="46" t="str">
        <f t="shared" si="8"/>
        <v>Ambientes Habitacionais</v>
      </c>
      <c r="V79" s="45" t="s">
        <v>191</v>
      </c>
      <c r="W79" s="2" t="str">
        <f t="shared" si="148"/>
        <v>Key-ESP-79</v>
      </c>
      <c r="X79" s="44" t="s">
        <v>395</v>
      </c>
      <c r="Y79" s="61" t="s">
        <v>378</v>
      </c>
      <c r="Z79" s="45" t="s">
        <v>365</v>
      </c>
      <c r="AA79" s="44" t="str">
        <f t="shared" ca="1" si="154"/>
        <v>Architectural spaces sized and equipped for residential function of professional activities.</v>
      </c>
    </row>
    <row r="80" spans="1:27" customFormat="1" ht="6" customHeight="1" x14ac:dyDescent="0.4">
      <c r="A80" s="39">
        <v>80</v>
      </c>
      <c r="B80" s="40" t="s">
        <v>81</v>
      </c>
      <c r="C80" s="40" t="s">
        <v>442</v>
      </c>
      <c r="D80" s="40" t="s">
        <v>447</v>
      </c>
      <c r="E80" s="40" t="s">
        <v>617</v>
      </c>
      <c r="F80" s="41" t="s">
        <v>519</v>
      </c>
      <c r="G80" s="42" t="s">
        <v>10</v>
      </c>
      <c r="H80" s="42" t="s">
        <v>10</v>
      </c>
      <c r="I80" s="42" t="s">
        <v>10</v>
      </c>
      <c r="J80" s="42" t="s">
        <v>10</v>
      </c>
      <c r="K80" s="42" t="s">
        <v>10</v>
      </c>
      <c r="L80" s="43" t="str">
        <f t="shared" si="149"/>
        <v>Espacialidade</v>
      </c>
      <c r="M80" s="43" t="str">
        <f t="shared" si="150"/>
        <v>Elementos.Espaciais</v>
      </c>
      <c r="N80" s="43" t="str">
        <f t="shared" si="151"/>
        <v>Ambientes Hospitalares</v>
      </c>
      <c r="O80" s="43" t="str">
        <f t="shared" si="152"/>
        <v>Sala Saúde</v>
      </c>
      <c r="P80" s="44" t="s">
        <v>597</v>
      </c>
      <c r="Q80" s="44" t="str">
        <f t="shared" ca="1" si="153"/>
        <v>Espacios arquitectónicos dimensionados y equipados para actividades hospitalarias que lleven a cabo actividades hospitalarias generales.</v>
      </c>
      <c r="R80" s="45" t="s">
        <v>10</v>
      </c>
      <c r="S80" s="46" t="str">
        <f t="shared" ref="S80" si="155">SUBSTITUTE(C80, ".", " ")</f>
        <v>Espacialidade</v>
      </c>
      <c r="T80" s="46" t="str">
        <f t="shared" ref="T80" si="156">SUBSTITUTE(D80, ".", " ")</f>
        <v>Elementos Espaciais</v>
      </c>
      <c r="U80" s="46" t="str">
        <f t="shared" ref="U80" si="157">SUBSTITUTE(E80, ".", " ")</f>
        <v>Ambientes Hospitalares</v>
      </c>
      <c r="V80" s="45" t="s">
        <v>191</v>
      </c>
      <c r="W80" s="2" t="str">
        <f t="shared" ref="W80" si="158">CONCATENATE("Key-ESP-",A80)</f>
        <v>Key-ESP-80</v>
      </c>
      <c r="X80" s="44" t="s">
        <v>395</v>
      </c>
      <c r="Y80" s="61" t="s">
        <v>378</v>
      </c>
      <c r="Z80" s="45" t="s">
        <v>665</v>
      </c>
      <c r="AA80" s="44" t="str">
        <f t="shared" ca="1" si="154"/>
        <v>Architectural spaces sized and equipped for hospital activity to carry out general hospital activities.</v>
      </c>
    </row>
    <row r="81" spans="1:27" customFormat="1" ht="6" customHeight="1" x14ac:dyDescent="0.4">
      <c r="A81" s="39">
        <v>81</v>
      </c>
      <c r="B81" s="40" t="s">
        <v>81</v>
      </c>
      <c r="C81" s="40" t="s">
        <v>442</v>
      </c>
      <c r="D81" s="40" t="s">
        <v>447</v>
      </c>
      <c r="E81" s="40" t="s">
        <v>617</v>
      </c>
      <c r="F81" s="41" t="s">
        <v>502</v>
      </c>
      <c r="G81" s="42" t="s">
        <v>10</v>
      </c>
      <c r="H81" s="42" t="s">
        <v>10</v>
      </c>
      <c r="I81" s="42" t="s">
        <v>10</v>
      </c>
      <c r="J81" s="42" t="s">
        <v>10</v>
      </c>
      <c r="K81" s="42" t="s">
        <v>10</v>
      </c>
      <c r="L81" s="43" t="str">
        <f t="shared" ref="L81" si="159">CONCATENATE("", C81)</f>
        <v>Espacialidade</v>
      </c>
      <c r="M81" s="43" t="str">
        <f t="shared" ref="M81" si="160">CONCATENATE("", D81)</f>
        <v>Elementos.Espaciais</v>
      </c>
      <c r="N81" s="43" t="str">
        <f t="shared" ref="N81" si="161">(SUBSTITUTE(SUBSTITUTE(CONCATENATE("",E81),"."," ")," De "," de "))</f>
        <v>Ambientes Hospitalares</v>
      </c>
      <c r="O81" s="43" t="str">
        <f t="shared" ref="O81" si="162">(SUBSTITUTE(SUBSTITUTE(CONCATENATE("",F81),"."," ")," De "," de "))</f>
        <v>Sala Análises</v>
      </c>
      <c r="P81" s="44" t="s">
        <v>598</v>
      </c>
      <c r="Q81" s="44" t="str">
        <f t="shared" si="153"/>
        <v>Espacios arquitectónicos dimensionados y equipados para actividades hospitalarias que lleven a cabo actividades de Análisis Clínico.</v>
      </c>
      <c r="R81" s="45" t="s">
        <v>10</v>
      </c>
      <c r="S81" s="46" t="str">
        <f t="shared" si="71"/>
        <v>Espacialidade</v>
      </c>
      <c r="T81" s="46" t="str">
        <f t="shared" ref="T81:T147" si="163">SUBSTITUTE(D81, ".", " ")</f>
        <v>Elementos Espaciais</v>
      </c>
      <c r="U81" s="46" t="str">
        <f t="shared" ref="U81:U147" si="164">SUBSTITUTE(E81, ".", " ")</f>
        <v>Ambientes Hospitalares</v>
      </c>
      <c r="V81" s="45" t="s">
        <v>191</v>
      </c>
      <c r="W81" s="2" t="str">
        <f t="shared" si="148"/>
        <v>Key-ESP-81</v>
      </c>
      <c r="X81" s="44" t="s">
        <v>395</v>
      </c>
      <c r="Y81" s="61" t="s">
        <v>378</v>
      </c>
      <c r="Z81" s="45" t="s">
        <v>665</v>
      </c>
      <c r="AA81" s="44" t="str">
        <f t="shared" ref="AA81" ca="1" si="165">_xlfn.TRANSLATE(P81,"pt","en")</f>
        <v>Architectural spaces sized and equipped for hospital activity to carry out Clinical Analysis Activity.</v>
      </c>
    </row>
    <row r="82" spans="1:27" customFormat="1" ht="6" customHeight="1" x14ac:dyDescent="0.4">
      <c r="A82" s="39">
        <v>82</v>
      </c>
      <c r="B82" s="40" t="s">
        <v>81</v>
      </c>
      <c r="C82" s="40" t="s">
        <v>442</v>
      </c>
      <c r="D82" s="40" t="s">
        <v>447</v>
      </c>
      <c r="E82" s="40" t="s">
        <v>617</v>
      </c>
      <c r="F82" s="41" t="s">
        <v>503</v>
      </c>
      <c r="G82" s="42" t="s">
        <v>10</v>
      </c>
      <c r="H82" s="42" t="s">
        <v>10</v>
      </c>
      <c r="I82" s="42" t="s">
        <v>10</v>
      </c>
      <c r="J82" s="42" t="s">
        <v>10</v>
      </c>
      <c r="K82" s="42" t="s">
        <v>10</v>
      </c>
      <c r="L82" s="43" t="str">
        <f t="shared" si="1"/>
        <v>Espacialidade</v>
      </c>
      <c r="M82" s="43" t="str">
        <f t="shared" si="2"/>
        <v>Elementos.Espaciais</v>
      </c>
      <c r="N82" s="43" t="str">
        <f t="shared" si="19"/>
        <v>Ambientes Hospitalares</v>
      </c>
      <c r="O82" s="43" t="str">
        <f t="shared" si="19"/>
        <v>Sala Quirúrgico</v>
      </c>
      <c r="P82" s="44" t="s">
        <v>599</v>
      </c>
      <c r="Q82" s="44" t="str">
        <f t="shared" si="153"/>
        <v>Espacios arquitectónicos dimensionados y equipados para actividades hospitalarias para realizar actividades quirúrgicas.</v>
      </c>
      <c r="R82" s="45" t="s">
        <v>10</v>
      </c>
      <c r="S82" s="46" t="str">
        <f t="shared" si="71"/>
        <v>Espacialidade</v>
      </c>
      <c r="T82" s="46" t="str">
        <f t="shared" si="163"/>
        <v>Elementos Espaciais</v>
      </c>
      <c r="U82" s="46" t="str">
        <f t="shared" si="164"/>
        <v>Ambientes Hospitalares</v>
      </c>
      <c r="V82" s="45" t="s">
        <v>191</v>
      </c>
      <c r="W82" s="2" t="str">
        <f t="shared" si="148"/>
        <v>Key-ESP-82</v>
      </c>
      <c r="X82" s="44" t="s">
        <v>395</v>
      </c>
      <c r="Y82" s="61" t="s">
        <v>378</v>
      </c>
      <c r="Z82" s="45" t="s">
        <v>665</v>
      </c>
      <c r="AA82" s="44" t="str">
        <f t="shared" ca="1" si="9"/>
        <v>Architectural spaces sized and equipped for hospital activity to carry out Surgical Activity.</v>
      </c>
    </row>
    <row r="83" spans="1:27" customFormat="1" ht="6" customHeight="1" x14ac:dyDescent="0.4">
      <c r="A83" s="39">
        <v>83</v>
      </c>
      <c r="B83" s="40" t="s">
        <v>81</v>
      </c>
      <c r="C83" s="40" t="s">
        <v>442</v>
      </c>
      <c r="D83" s="40" t="s">
        <v>447</v>
      </c>
      <c r="E83" s="40" t="s">
        <v>617</v>
      </c>
      <c r="F83" s="41" t="s">
        <v>522</v>
      </c>
      <c r="G83" s="42" t="s">
        <v>10</v>
      </c>
      <c r="H83" s="42" t="s">
        <v>10</v>
      </c>
      <c r="I83" s="42" t="s">
        <v>10</v>
      </c>
      <c r="J83" s="42" t="s">
        <v>10</v>
      </c>
      <c r="K83" s="42" t="s">
        <v>10</v>
      </c>
      <c r="L83" s="43" t="str">
        <f t="shared" ref="L83" si="166">CONCATENATE("", C83)</f>
        <v>Espacialidade</v>
      </c>
      <c r="M83" s="43" t="str">
        <f t="shared" ref="M83" si="167">CONCATENATE("", D83)</f>
        <v>Elementos.Espaciais</v>
      </c>
      <c r="N83" s="43" t="str">
        <f t="shared" si="19"/>
        <v>Ambientes Hospitalares</v>
      </c>
      <c r="O83" s="43" t="str">
        <f t="shared" si="19"/>
        <v>Sala Internação</v>
      </c>
      <c r="P83" s="44" t="s">
        <v>600</v>
      </c>
      <c r="Q83" s="44" t="str">
        <f t="shared" si="153"/>
        <v>Espacios arquitectónicos dimensionados y equipados para actividades hospitalarias de atención hospitalaria.</v>
      </c>
      <c r="R83" s="45" t="s">
        <v>10</v>
      </c>
      <c r="S83" s="46" t="str">
        <f t="shared" si="71"/>
        <v>Espacialidade</v>
      </c>
      <c r="T83" s="46" t="str">
        <f t="shared" si="163"/>
        <v>Elementos Espaciais</v>
      </c>
      <c r="U83" s="46" t="str">
        <f t="shared" si="164"/>
        <v>Ambientes Hospitalares</v>
      </c>
      <c r="V83" s="45" t="s">
        <v>191</v>
      </c>
      <c r="W83" s="2" t="str">
        <f t="shared" si="148"/>
        <v>Key-ESP-83</v>
      </c>
      <c r="X83" s="44" t="s">
        <v>395</v>
      </c>
      <c r="Y83" s="61" t="s">
        <v>378</v>
      </c>
      <c r="Z83" s="45" t="s">
        <v>665</v>
      </c>
      <c r="AA83" s="44" t="str">
        <f t="shared" ca="1" si="9"/>
        <v>Architectural spaces sized and equipped for hospital activity for Inpatient Care.</v>
      </c>
    </row>
    <row r="84" spans="1:27" customFormat="1" ht="6" customHeight="1" x14ac:dyDescent="0.4">
      <c r="A84" s="39">
        <v>84</v>
      </c>
      <c r="B84" s="40" t="s">
        <v>81</v>
      </c>
      <c r="C84" s="40" t="s">
        <v>442</v>
      </c>
      <c r="D84" s="40" t="s">
        <v>447</v>
      </c>
      <c r="E84" s="40" t="s">
        <v>617</v>
      </c>
      <c r="F84" s="41" t="s">
        <v>521</v>
      </c>
      <c r="G84" s="42" t="s">
        <v>10</v>
      </c>
      <c r="H84" s="42" t="s">
        <v>10</v>
      </c>
      <c r="I84" s="42" t="s">
        <v>10</v>
      </c>
      <c r="J84" s="42" t="s">
        <v>10</v>
      </c>
      <c r="K84" s="42" t="s">
        <v>10</v>
      </c>
      <c r="L84" s="43" t="str">
        <f t="shared" ref="L84" si="168">CONCATENATE("", C84)</f>
        <v>Espacialidade</v>
      </c>
      <c r="M84" s="43" t="str">
        <f t="shared" ref="M84" si="169">CONCATENATE("", D84)</f>
        <v>Elementos.Espaciais</v>
      </c>
      <c r="N84" s="43" t="str">
        <f t="shared" ref="N84" si="170">(SUBSTITUTE(SUBSTITUTE(CONCATENATE("",E84),"."," ")," De "," de "))</f>
        <v>Ambientes Hospitalares</v>
      </c>
      <c r="O84" s="43" t="str">
        <f t="shared" ref="O84" si="171">(SUBSTITUTE(SUBSTITUTE(CONCATENATE("",F84),"."," ")," De "," de "))</f>
        <v>Sala UTI</v>
      </c>
      <c r="P84" s="44" t="s">
        <v>601</v>
      </c>
      <c r="Q84" s="44" t="str">
        <f t="shared" ca="1" si="153"/>
        <v>Espacios arquitectónicos dimensionados y equipados para actividades hospitalarias de hospitalización en cuidados intensivos.</v>
      </c>
      <c r="R84" s="45" t="s">
        <v>10</v>
      </c>
      <c r="S84" s="46" t="str">
        <f t="shared" ref="S84" si="172">SUBSTITUTE(C84, ".", " ")</f>
        <v>Espacialidade</v>
      </c>
      <c r="T84" s="46" t="str">
        <f t="shared" ref="T84" si="173">SUBSTITUTE(D84, ".", " ")</f>
        <v>Elementos Espaciais</v>
      </c>
      <c r="U84" s="46" t="str">
        <f t="shared" ref="U84" si="174">SUBSTITUTE(E84, ".", " ")</f>
        <v>Ambientes Hospitalares</v>
      </c>
      <c r="V84" s="45" t="s">
        <v>191</v>
      </c>
      <c r="W84" s="2" t="str">
        <f t="shared" ref="W84" si="175">CONCATENATE("Key-ESP-",A84)</f>
        <v>Key-ESP-84</v>
      </c>
      <c r="X84" s="44" t="s">
        <v>395</v>
      </c>
      <c r="Y84" s="61" t="s">
        <v>378</v>
      </c>
      <c r="Z84" s="45" t="s">
        <v>665</v>
      </c>
      <c r="AA84" s="44" t="str">
        <f t="shared" ref="AA84" si="176">_xlfn.TRANSLATE(P84,"pt","en")</f>
        <v>Architectural spaces sized and equipped for hospital activity for Intensive Care Hospitalization.</v>
      </c>
    </row>
    <row r="85" spans="1:27" customFormat="1" ht="6" customHeight="1" x14ac:dyDescent="0.4">
      <c r="A85" s="39">
        <v>85</v>
      </c>
      <c r="B85" s="40" t="s">
        <v>81</v>
      </c>
      <c r="C85" s="40" t="s">
        <v>442</v>
      </c>
      <c r="D85" s="40" t="s">
        <v>447</v>
      </c>
      <c r="E85" s="40" t="s">
        <v>617</v>
      </c>
      <c r="F85" s="41" t="s">
        <v>515</v>
      </c>
      <c r="G85" s="42" t="s">
        <v>10</v>
      </c>
      <c r="H85" s="42" t="s">
        <v>10</v>
      </c>
      <c r="I85" s="42" t="s">
        <v>10</v>
      </c>
      <c r="J85" s="42" t="s">
        <v>10</v>
      </c>
      <c r="K85" s="42" t="s">
        <v>10</v>
      </c>
      <c r="L85" s="43" t="str">
        <f t="shared" ref="L85:L87" si="177">CONCATENATE("", C85)</f>
        <v>Espacialidade</v>
      </c>
      <c r="M85" s="43" t="str">
        <f t="shared" ref="M85:M87" si="178">CONCATENATE("", D85)</f>
        <v>Elementos.Espaciais</v>
      </c>
      <c r="N85" s="43" t="str">
        <f t="shared" si="19"/>
        <v>Ambientes Hospitalares</v>
      </c>
      <c r="O85" s="43" t="str">
        <f t="shared" si="19"/>
        <v>Sala Terapia</v>
      </c>
      <c r="P85" s="44" t="s">
        <v>602</v>
      </c>
      <c r="Q85" s="44" t="str">
        <f t="shared" si="153"/>
        <v>Espacios arquitectónicos dimensionados y equipados para actividades hospitalarias para realizar terapias con pacientes (fisioterapia, respiratorios, etc.).</v>
      </c>
      <c r="R85" s="45" t="s">
        <v>10</v>
      </c>
      <c r="S85" s="46" t="str">
        <f t="shared" si="71"/>
        <v>Espacialidade</v>
      </c>
      <c r="T85" s="46" t="str">
        <f t="shared" si="163"/>
        <v>Elementos Espaciais</v>
      </c>
      <c r="U85" s="46" t="str">
        <f t="shared" si="164"/>
        <v>Ambientes Hospitalares</v>
      </c>
      <c r="V85" s="45" t="s">
        <v>191</v>
      </c>
      <c r="W85" s="2" t="str">
        <f t="shared" si="148"/>
        <v>Key-ESP-85</v>
      </c>
      <c r="X85" s="44" t="s">
        <v>395</v>
      </c>
      <c r="Y85" s="61" t="s">
        <v>378</v>
      </c>
      <c r="Z85" s="45" t="s">
        <v>665</v>
      </c>
      <c r="AA85" s="44" t="str">
        <f t="shared" ca="1" si="9"/>
        <v>Architectural spaces sized and equipped for hospital activity to carry out therapies with patients (physiotherapy, respiratory, etc.).</v>
      </c>
    </row>
    <row r="86" spans="1:27" customFormat="1" ht="6" customHeight="1" x14ac:dyDescent="0.4">
      <c r="A86" s="39">
        <v>86</v>
      </c>
      <c r="B86" s="40" t="s">
        <v>81</v>
      </c>
      <c r="C86" s="40" t="s">
        <v>442</v>
      </c>
      <c r="D86" s="40" t="s">
        <v>447</v>
      </c>
      <c r="E86" s="40" t="s">
        <v>617</v>
      </c>
      <c r="F86" s="41" t="s">
        <v>520</v>
      </c>
      <c r="G86" s="42" t="s">
        <v>10</v>
      </c>
      <c r="H86" s="42" t="s">
        <v>10</v>
      </c>
      <c r="I86" s="42" t="s">
        <v>10</v>
      </c>
      <c r="J86" s="42" t="s">
        <v>10</v>
      </c>
      <c r="K86" s="42" t="s">
        <v>10</v>
      </c>
      <c r="L86" s="43" t="str">
        <f t="shared" si="177"/>
        <v>Espacialidade</v>
      </c>
      <c r="M86" s="43" t="str">
        <f t="shared" si="178"/>
        <v>Elementos.Espaciais</v>
      </c>
      <c r="N86" s="43" t="str">
        <f t="shared" ref="N86" si="179">(SUBSTITUTE(SUBSTITUTE(CONCATENATE("",E86),"."," ")," De "," de "))</f>
        <v>Ambientes Hospitalares</v>
      </c>
      <c r="O86" s="43" t="str">
        <f t="shared" si="19"/>
        <v>Sala Hidroterapia</v>
      </c>
      <c r="P86" s="44" t="s">
        <v>603</v>
      </c>
      <c r="Q86" s="44" t="str">
        <f t="shared" si="153"/>
        <v>Espacios arquitectónicos dimensionados y equipados para actividades hospitalarias para realizar actividades terapéuticas en piscinas, etc.</v>
      </c>
      <c r="R86" s="45" t="s">
        <v>10</v>
      </c>
      <c r="S86" s="46" t="str">
        <f t="shared" ref="S86" si="180">SUBSTITUTE(C86, ".", " ")</f>
        <v>Espacialidade</v>
      </c>
      <c r="T86" s="46" t="str">
        <f t="shared" ref="T86" si="181">SUBSTITUTE(D86, ".", " ")</f>
        <v>Elementos Espaciais</v>
      </c>
      <c r="U86" s="46" t="str">
        <f t="shared" ref="U86" si="182">SUBSTITUTE(E86, ".", " ")</f>
        <v>Ambientes Hospitalares</v>
      </c>
      <c r="V86" s="45" t="s">
        <v>191</v>
      </c>
      <c r="W86" s="2" t="str">
        <f t="shared" ref="W86" si="183">CONCATENATE("Key-ESP-",A86)</f>
        <v>Key-ESP-86</v>
      </c>
      <c r="X86" s="44" t="s">
        <v>395</v>
      </c>
      <c r="Y86" s="61" t="s">
        <v>378</v>
      </c>
      <c r="Z86" s="45" t="s">
        <v>665</v>
      </c>
      <c r="AA86" s="44" t="str">
        <f t="shared" ref="AA86" si="184">_xlfn.TRANSLATE(P86,"pt","en")</f>
        <v>Architectural spaces sized and equipped for hospital activity to carry out Therapeutic Activities in Swimming Pools, etc.</v>
      </c>
    </row>
    <row r="87" spans="1:27" customFormat="1" ht="6" customHeight="1" x14ac:dyDescent="0.4">
      <c r="A87" s="39">
        <v>87</v>
      </c>
      <c r="B87" s="40" t="s">
        <v>81</v>
      </c>
      <c r="C87" s="40" t="s">
        <v>442</v>
      </c>
      <c r="D87" s="40" t="s">
        <v>447</v>
      </c>
      <c r="E87" s="40" t="s">
        <v>617</v>
      </c>
      <c r="F87" s="41" t="s">
        <v>516</v>
      </c>
      <c r="G87" s="42" t="s">
        <v>10</v>
      </c>
      <c r="H87" s="42" t="s">
        <v>10</v>
      </c>
      <c r="I87" s="42" t="s">
        <v>10</v>
      </c>
      <c r="J87" s="42" t="s">
        <v>10</v>
      </c>
      <c r="K87" s="42" t="s">
        <v>10</v>
      </c>
      <c r="L87" s="43" t="str">
        <f t="shared" si="177"/>
        <v>Espacialidade</v>
      </c>
      <c r="M87" s="43" t="str">
        <f t="shared" si="178"/>
        <v>Elementos.Espaciais</v>
      </c>
      <c r="N87" s="43" t="str">
        <f t="shared" si="19"/>
        <v>Ambientes Hospitalares</v>
      </c>
      <c r="O87" s="43" t="str">
        <f t="shared" si="19"/>
        <v>Sala Emergência</v>
      </c>
      <c r="P87" s="44" t="s">
        <v>604</v>
      </c>
      <c r="Q87" s="44" t="str">
        <f t="shared" si="153"/>
        <v>Espacios arquitectónicos dimensionados y equipados para actividades hospitalarias para realizar atención de urgencias.</v>
      </c>
      <c r="R87" s="45" t="s">
        <v>10</v>
      </c>
      <c r="S87" s="46" t="str">
        <f t="shared" ref="S87" si="185">SUBSTITUTE(C87, ".", " ")</f>
        <v>Espacialidade</v>
      </c>
      <c r="T87" s="46" t="str">
        <f t="shared" ref="T87" si="186">SUBSTITUTE(D87, ".", " ")</f>
        <v>Elementos Espaciais</v>
      </c>
      <c r="U87" s="46" t="str">
        <f t="shared" ref="U87" si="187">SUBSTITUTE(E87, ".", " ")</f>
        <v>Ambientes Hospitalares</v>
      </c>
      <c r="V87" s="45" t="s">
        <v>191</v>
      </c>
      <c r="W87" s="2" t="str">
        <f t="shared" si="148"/>
        <v>Key-ESP-87</v>
      </c>
      <c r="X87" s="44" t="s">
        <v>395</v>
      </c>
      <c r="Y87" s="61" t="s">
        <v>378</v>
      </c>
      <c r="Z87" s="45" t="s">
        <v>665</v>
      </c>
      <c r="AA87" s="44" t="str">
        <f t="shared" ca="1" si="9"/>
        <v>Architectural spaces sized and equipped for hospital activity to perform Emergency Care.</v>
      </c>
    </row>
    <row r="88" spans="1:27" customFormat="1" ht="6" customHeight="1" x14ac:dyDescent="0.4">
      <c r="A88" s="39">
        <v>88</v>
      </c>
      <c r="B88" s="40" t="s">
        <v>81</v>
      </c>
      <c r="C88" s="40" t="s">
        <v>442</v>
      </c>
      <c r="D88" s="40" t="s">
        <v>447</v>
      </c>
      <c r="E88" s="40" t="s">
        <v>617</v>
      </c>
      <c r="F88" s="41" t="s">
        <v>504</v>
      </c>
      <c r="G88" s="42" t="s">
        <v>10</v>
      </c>
      <c r="H88" s="42" t="s">
        <v>10</v>
      </c>
      <c r="I88" s="42" t="s">
        <v>10</v>
      </c>
      <c r="J88" s="42" t="s">
        <v>10</v>
      </c>
      <c r="K88" s="42" t="s">
        <v>10</v>
      </c>
      <c r="L88" s="43" t="str">
        <f t="shared" ref="L88:L92" si="188">CONCATENATE("", C88)</f>
        <v>Espacialidade</v>
      </c>
      <c r="M88" s="43" t="str">
        <f t="shared" ref="M88:M92" si="189">CONCATENATE("", D88)</f>
        <v>Elementos.Espaciais</v>
      </c>
      <c r="N88" s="43" t="str">
        <f t="shared" ref="N88:N92" si="190">(SUBSTITUTE(SUBSTITUTE(CONCATENATE("",E88),"."," ")," De "," de "))</f>
        <v>Ambientes Hospitalares</v>
      </c>
      <c r="O88" s="43" t="str">
        <f t="shared" ref="O88:O92" si="191">(SUBSTITUTE(SUBSTITUTE(CONCATENATE("",F88),"."," ")," De "," de "))</f>
        <v>Sala Triagem</v>
      </c>
      <c r="P88" s="44" t="s">
        <v>605</v>
      </c>
      <c r="Q88" s="44" t="str">
        <f t="shared" si="153"/>
        <v>Espacios arquitectónicos dimensionados y equipados para actividades hospitalarias para realizar cribado de pacientes o materiales.</v>
      </c>
      <c r="R88" s="45" t="s">
        <v>10</v>
      </c>
      <c r="S88" s="46" t="str">
        <f t="shared" si="71"/>
        <v>Espacialidade</v>
      </c>
      <c r="T88" s="46" t="str">
        <f t="shared" si="163"/>
        <v>Elementos Espaciais</v>
      </c>
      <c r="U88" s="46" t="str">
        <f t="shared" si="164"/>
        <v>Ambientes Hospitalares</v>
      </c>
      <c r="V88" s="45" t="s">
        <v>191</v>
      </c>
      <c r="W88" s="2" t="str">
        <f t="shared" si="148"/>
        <v>Key-ESP-88</v>
      </c>
      <c r="X88" s="44" t="s">
        <v>395</v>
      </c>
      <c r="Y88" s="61" t="s">
        <v>378</v>
      </c>
      <c r="Z88" s="45" t="s">
        <v>665</v>
      </c>
      <c r="AA88" s="44" t="str">
        <f t="shared" ref="AA88:AA92" ca="1" si="192">_xlfn.TRANSLATE(P88,"pt","en")</f>
        <v>Architectural spaces sized and equipped for hospital activity to perform Patient or Material Screening.</v>
      </c>
    </row>
    <row r="89" spans="1:27" customFormat="1" ht="6" customHeight="1" x14ac:dyDescent="0.4">
      <c r="A89" s="39">
        <v>89</v>
      </c>
      <c r="B89" s="40" t="s">
        <v>81</v>
      </c>
      <c r="C89" s="40" t="s">
        <v>442</v>
      </c>
      <c r="D89" s="40" t="s">
        <v>447</v>
      </c>
      <c r="E89" s="40" t="s">
        <v>617</v>
      </c>
      <c r="F89" s="41" t="s">
        <v>505</v>
      </c>
      <c r="G89" s="42" t="s">
        <v>10</v>
      </c>
      <c r="H89" s="42" t="s">
        <v>10</v>
      </c>
      <c r="I89" s="42" t="s">
        <v>10</v>
      </c>
      <c r="J89" s="42" t="s">
        <v>10</v>
      </c>
      <c r="K89" s="42" t="s">
        <v>10</v>
      </c>
      <c r="L89" s="43" t="str">
        <f t="shared" ref="L89" si="193">CONCATENATE("", C89)</f>
        <v>Espacialidade</v>
      </c>
      <c r="M89" s="43" t="str">
        <f t="shared" ref="M89" si="194">CONCATENATE("", D89)</f>
        <v>Elementos.Espaciais</v>
      </c>
      <c r="N89" s="43" t="str">
        <f t="shared" ref="N89" si="195">(SUBSTITUTE(SUBSTITUTE(CONCATENATE("",E89),"."," ")," De "," de "))</f>
        <v>Ambientes Hospitalares</v>
      </c>
      <c r="O89" s="43" t="str">
        <f t="shared" ref="O89" si="196">(SUBSTITUTE(SUBSTITUTE(CONCATENATE("",F89),"."," ")," De "," de "))</f>
        <v>Sala Veicular</v>
      </c>
      <c r="P89" s="44" t="s">
        <v>606</v>
      </c>
      <c r="Q89" s="44" t="str">
        <f t="shared" ca="1" si="153"/>
        <v>Espacios arquitectónicos dimensionados y equipados para actividades hospitalarias para llevar a cabo el movimiento vehicular.</v>
      </c>
      <c r="R89" s="45" t="s">
        <v>10</v>
      </c>
      <c r="S89" s="46" t="str">
        <f t="shared" si="71"/>
        <v>Espacialidade</v>
      </c>
      <c r="T89" s="46" t="str">
        <f t="shared" si="163"/>
        <v>Elementos Espaciais</v>
      </c>
      <c r="U89" s="46" t="str">
        <f t="shared" si="164"/>
        <v>Ambientes Hospitalares</v>
      </c>
      <c r="V89" s="45" t="s">
        <v>191</v>
      </c>
      <c r="W89" s="2" t="str">
        <f t="shared" si="148"/>
        <v>Key-ESP-89</v>
      </c>
      <c r="X89" s="44" t="s">
        <v>395</v>
      </c>
      <c r="Y89" s="61" t="s">
        <v>378</v>
      </c>
      <c r="Z89" s="45" t="s">
        <v>665</v>
      </c>
      <c r="AA89" s="44" t="str">
        <f t="shared" ref="AA89" ca="1" si="197">_xlfn.TRANSLATE(P89,"pt","en")</f>
        <v>Architectural spaces sized and equipped for hospital activity to carry out Vehicular Movement.</v>
      </c>
    </row>
    <row r="90" spans="1:27" customFormat="1" ht="6" customHeight="1" x14ac:dyDescent="0.4">
      <c r="A90" s="39">
        <v>90</v>
      </c>
      <c r="B90" s="40" t="s">
        <v>81</v>
      </c>
      <c r="C90" s="40" t="s">
        <v>442</v>
      </c>
      <c r="D90" s="40" t="s">
        <v>447</v>
      </c>
      <c r="E90" s="40" t="s">
        <v>617</v>
      </c>
      <c r="F90" s="41" t="s">
        <v>506</v>
      </c>
      <c r="G90" s="42" t="s">
        <v>10</v>
      </c>
      <c r="H90" s="42" t="s">
        <v>10</v>
      </c>
      <c r="I90" s="42" t="s">
        <v>10</v>
      </c>
      <c r="J90" s="42" t="s">
        <v>10</v>
      </c>
      <c r="K90" s="42" t="s">
        <v>10</v>
      </c>
      <c r="L90" s="43" t="str">
        <f t="shared" si="188"/>
        <v>Espacialidade</v>
      </c>
      <c r="M90" s="43" t="str">
        <f t="shared" si="189"/>
        <v>Elementos.Espaciais</v>
      </c>
      <c r="N90" s="43" t="str">
        <f t="shared" si="190"/>
        <v>Ambientes Hospitalares</v>
      </c>
      <c r="O90" s="43" t="str">
        <f t="shared" si="191"/>
        <v>Sala Espera</v>
      </c>
      <c r="P90" s="44" t="s">
        <v>607</v>
      </c>
      <c r="Q90" s="44" t="str">
        <f t="shared" si="153"/>
        <v>Espacios arquitectónicos dimensionados y equipados para actividades hospitalarias que lleven a cabo actividades de espera.</v>
      </c>
      <c r="R90" s="45" t="s">
        <v>10</v>
      </c>
      <c r="S90" s="46" t="str">
        <f t="shared" si="71"/>
        <v>Espacialidade</v>
      </c>
      <c r="T90" s="46" t="str">
        <f t="shared" si="163"/>
        <v>Elementos Espaciais</v>
      </c>
      <c r="U90" s="46" t="str">
        <f t="shared" si="164"/>
        <v>Ambientes Hospitalares</v>
      </c>
      <c r="V90" s="45" t="s">
        <v>191</v>
      </c>
      <c r="W90" s="2" t="str">
        <f t="shared" si="148"/>
        <v>Key-ESP-90</v>
      </c>
      <c r="X90" s="44" t="s">
        <v>395</v>
      </c>
      <c r="Y90" s="61" t="s">
        <v>378</v>
      </c>
      <c r="Z90" s="45" t="s">
        <v>665</v>
      </c>
      <c r="AA90" s="44" t="str">
        <f t="shared" ca="1" si="192"/>
        <v>Architectural spaces sized and equipped for hospital activity to carry out Waiting Activities.</v>
      </c>
    </row>
    <row r="91" spans="1:27" customFormat="1" ht="6" customHeight="1" x14ac:dyDescent="0.4">
      <c r="A91" s="39">
        <v>91</v>
      </c>
      <c r="B91" s="40" t="s">
        <v>81</v>
      </c>
      <c r="C91" s="40" t="s">
        <v>442</v>
      </c>
      <c r="D91" s="40" t="s">
        <v>447</v>
      </c>
      <c r="E91" s="40" t="s">
        <v>617</v>
      </c>
      <c r="F91" s="41" t="s">
        <v>518</v>
      </c>
      <c r="G91" s="42" t="s">
        <v>10</v>
      </c>
      <c r="H91" s="42" t="s">
        <v>10</v>
      </c>
      <c r="I91" s="42" t="s">
        <v>10</v>
      </c>
      <c r="J91" s="42" t="s">
        <v>10</v>
      </c>
      <c r="K91" s="42" t="s">
        <v>10</v>
      </c>
      <c r="L91" s="43" t="str">
        <f t="shared" ref="L91" si="198">CONCATENATE("", C91)</f>
        <v>Espacialidade</v>
      </c>
      <c r="M91" s="43" t="str">
        <f t="shared" ref="M91" si="199">CONCATENATE("", D91)</f>
        <v>Elementos.Espaciais</v>
      </c>
      <c r="N91" s="43" t="str">
        <f t="shared" ref="N91" si="200">(SUBSTITUTE(SUBSTITUTE(CONCATENATE("",E91),"."," ")," De "," de "))</f>
        <v>Ambientes Hospitalares</v>
      </c>
      <c r="O91" s="43" t="str">
        <f t="shared" ref="O91" si="201">(SUBSTITUTE(SUBSTITUTE(CONCATENATE("",F91),"."," ")," De "," de "))</f>
        <v>Sala Consultório</v>
      </c>
      <c r="P91" s="44" t="s">
        <v>608</v>
      </c>
      <c r="Q91" s="44" t="str">
        <f t="shared" si="153"/>
        <v>Espacios arquitectónicos dimensionados y equipados para actividades hospitalarias que lleven a cabo actividades de consulta médica.</v>
      </c>
      <c r="R91" s="45" t="s">
        <v>10</v>
      </c>
      <c r="S91" s="46" t="str">
        <f t="shared" ref="S91" si="202">SUBSTITUTE(C91, ".", " ")</f>
        <v>Espacialidade</v>
      </c>
      <c r="T91" s="46" t="str">
        <f t="shared" ref="T91" si="203">SUBSTITUTE(D91, ".", " ")</f>
        <v>Elementos Espaciais</v>
      </c>
      <c r="U91" s="46" t="str">
        <f t="shared" ref="U91" si="204">SUBSTITUTE(E91, ".", " ")</f>
        <v>Ambientes Hospitalares</v>
      </c>
      <c r="V91" s="45" t="s">
        <v>191</v>
      </c>
      <c r="W91" s="2" t="str">
        <f t="shared" ref="W91" si="205">CONCATENATE("Key-ESP-",A91)</f>
        <v>Key-ESP-91</v>
      </c>
      <c r="X91" s="44" t="s">
        <v>395</v>
      </c>
      <c r="Y91" s="61" t="s">
        <v>378</v>
      </c>
      <c r="Z91" s="45" t="s">
        <v>665</v>
      </c>
      <c r="AA91" s="44" t="str">
        <f t="shared" ref="AA91" ca="1" si="206">_xlfn.TRANSLATE(P91,"pt","en")</f>
        <v>Architectural spaces sized and equipped for hospital activity to carry out Medical Consultation Activities.</v>
      </c>
    </row>
    <row r="92" spans="1:27" customFormat="1" ht="6" customHeight="1" x14ac:dyDescent="0.4">
      <c r="A92" s="39">
        <v>92</v>
      </c>
      <c r="B92" s="40" t="s">
        <v>81</v>
      </c>
      <c r="C92" s="40" t="s">
        <v>442</v>
      </c>
      <c r="D92" s="40" t="s">
        <v>447</v>
      </c>
      <c r="E92" s="40" t="s">
        <v>617</v>
      </c>
      <c r="F92" s="41" t="s">
        <v>517</v>
      </c>
      <c r="G92" s="42" t="s">
        <v>10</v>
      </c>
      <c r="H92" s="42" t="s">
        <v>10</v>
      </c>
      <c r="I92" s="42" t="s">
        <v>10</v>
      </c>
      <c r="J92" s="42" t="s">
        <v>10</v>
      </c>
      <c r="K92" s="42" t="s">
        <v>10</v>
      </c>
      <c r="L92" s="43" t="str">
        <f t="shared" si="188"/>
        <v>Espacialidade</v>
      </c>
      <c r="M92" s="43" t="str">
        <f t="shared" si="189"/>
        <v>Elementos.Espaciais</v>
      </c>
      <c r="N92" s="43" t="str">
        <f t="shared" si="190"/>
        <v>Ambientes Hospitalares</v>
      </c>
      <c r="O92" s="43" t="str">
        <f t="shared" si="191"/>
        <v>Sala Enfermagem</v>
      </c>
      <c r="P92" s="44" t="s">
        <v>609</v>
      </c>
      <c r="Q92" s="44" t="str">
        <f t="shared" si="153"/>
        <v>Espacios arquitectónicos dimensionados y equipados para actividades hospitalarias para llevar a cabo actividades de enfermería.</v>
      </c>
      <c r="R92" s="45" t="s">
        <v>10</v>
      </c>
      <c r="S92" s="46" t="str">
        <f t="shared" si="71"/>
        <v>Espacialidade</v>
      </c>
      <c r="T92" s="46" t="str">
        <f t="shared" si="163"/>
        <v>Elementos Espaciais</v>
      </c>
      <c r="U92" s="46" t="str">
        <f t="shared" si="164"/>
        <v>Ambientes Hospitalares</v>
      </c>
      <c r="V92" s="45" t="s">
        <v>191</v>
      </c>
      <c r="W92" s="2" t="str">
        <f t="shared" si="148"/>
        <v>Key-ESP-92</v>
      </c>
      <c r="X92" s="44" t="s">
        <v>395</v>
      </c>
      <c r="Y92" s="61" t="s">
        <v>378</v>
      </c>
      <c r="Z92" s="45" t="s">
        <v>665</v>
      </c>
      <c r="AA92" s="44" t="str">
        <f t="shared" ca="1" si="192"/>
        <v>Architectural spaces sized and equipped for hospital activity to carry out Nursing Activities.</v>
      </c>
    </row>
    <row r="93" spans="1:27" customFormat="1" ht="6" customHeight="1" x14ac:dyDescent="0.4">
      <c r="A93" s="39">
        <v>93</v>
      </c>
      <c r="B93" s="40" t="s">
        <v>81</v>
      </c>
      <c r="C93" s="40" t="s">
        <v>442</v>
      </c>
      <c r="D93" s="40" t="s">
        <v>447</v>
      </c>
      <c r="E93" s="40" t="s">
        <v>618</v>
      </c>
      <c r="F93" s="41" t="s">
        <v>668</v>
      </c>
      <c r="G93" s="42" t="s">
        <v>10</v>
      </c>
      <c r="H93" s="42" t="s">
        <v>10</v>
      </c>
      <c r="I93" s="42" t="s">
        <v>10</v>
      </c>
      <c r="J93" s="42" t="s">
        <v>10</v>
      </c>
      <c r="K93" s="42" t="s">
        <v>10</v>
      </c>
      <c r="L93" s="43" t="str">
        <f t="shared" ref="L93:M147" si="207">CONCATENATE("", C93)</f>
        <v>Espacialidade</v>
      </c>
      <c r="M93" s="43" t="str">
        <f t="shared" si="207"/>
        <v>Elementos.Espaciais</v>
      </c>
      <c r="N93" s="43" t="str">
        <f t="shared" ref="N93:N96" si="208">(SUBSTITUTE(SUBSTITUTE(CONCATENATE("",E93),"."," ")," De "," de "))</f>
        <v>Ambientes de Risco</v>
      </c>
      <c r="O93" s="43" t="str">
        <f t="shared" ref="O93:O96" si="209">(SUBSTITUTE(SUBSTITUTE(CONCATENATE("",F93),"."," ")," De "," de "))</f>
        <v>Lab Biossegurança NB1</v>
      </c>
      <c r="P93" s="44" t="s">
        <v>646</v>
      </c>
      <c r="Q93" s="44" t="str">
        <f t="shared" si="153"/>
        <v>Espacios arquitectónicos dimensionados y equipados para baja actividad de laboratorio de riesgo biológico. Prácticas básicas de microbiología. Sin barreras especiales.</v>
      </c>
      <c r="R93" s="45" t="s">
        <v>10</v>
      </c>
      <c r="S93" s="46" t="str">
        <f t="shared" ref="S93:S96" si="210">SUBSTITUTE(C93, ".", " ")</f>
        <v>Espacialidade</v>
      </c>
      <c r="T93" s="46" t="str">
        <f t="shared" si="163"/>
        <v>Elementos Espaciais</v>
      </c>
      <c r="U93" s="46" t="str">
        <f t="shared" si="164"/>
        <v>Ambientes de Risco</v>
      </c>
      <c r="V93" s="45" t="s">
        <v>191</v>
      </c>
      <c r="W93" s="2" t="str">
        <f t="shared" si="148"/>
        <v>Key-ESP-93</v>
      </c>
      <c r="X93" s="44" t="s">
        <v>395</v>
      </c>
      <c r="Y93" s="61" t="s">
        <v>378</v>
      </c>
      <c r="Z93" s="45" t="s">
        <v>666</v>
      </c>
      <c r="AA93" s="44" t="str">
        <f t="shared" ref="AA93:AA96" si="211">_xlfn.TRANSLATE(P93,"pt","en")</f>
        <v>Architectural spaces sized and equipped for Low Biohazard Laboratory Activity. Basic microbiology practices. No special barriers.</v>
      </c>
    </row>
    <row r="94" spans="1:27" customFormat="1" ht="6" customHeight="1" x14ac:dyDescent="0.4">
      <c r="A94" s="39">
        <v>94</v>
      </c>
      <c r="B94" s="40" t="s">
        <v>81</v>
      </c>
      <c r="C94" s="40" t="s">
        <v>442</v>
      </c>
      <c r="D94" s="40" t="s">
        <v>447</v>
      </c>
      <c r="E94" s="40" t="s">
        <v>618</v>
      </c>
      <c r="F94" s="41" t="s">
        <v>669</v>
      </c>
      <c r="G94" s="42" t="s">
        <v>10</v>
      </c>
      <c r="H94" s="42" t="s">
        <v>10</v>
      </c>
      <c r="I94" s="42" t="s">
        <v>10</v>
      </c>
      <c r="J94" s="42" t="s">
        <v>10</v>
      </c>
      <c r="K94" s="42" t="s">
        <v>10</v>
      </c>
      <c r="L94" s="43" t="str">
        <f t="shared" si="207"/>
        <v>Espacialidade</v>
      </c>
      <c r="M94" s="43" t="str">
        <f t="shared" si="207"/>
        <v>Elementos.Espaciais</v>
      </c>
      <c r="N94" s="43" t="str">
        <f t="shared" si="208"/>
        <v>Ambientes de Risco</v>
      </c>
      <c r="O94" s="43" t="str">
        <f t="shared" si="209"/>
        <v>Lab Biossegurança NB2</v>
      </c>
      <c r="P94" s="44" t="s">
        <v>647</v>
      </c>
      <c r="Q94" s="44" t="str">
        <f t="shared" si="153"/>
        <v>Espacios arquitectónicos dimensionados y equipados para actividad de laboratorio de riesgos biológicos moderados. Con barreras primarias (EPI, sumidero, descontaminación). Acceso restringido.</v>
      </c>
      <c r="R94" s="45" t="s">
        <v>10</v>
      </c>
      <c r="S94" s="46" t="str">
        <f t="shared" si="210"/>
        <v>Espacialidade</v>
      </c>
      <c r="T94" s="46" t="str">
        <f t="shared" si="163"/>
        <v>Elementos Espaciais</v>
      </c>
      <c r="U94" s="46" t="str">
        <f t="shared" si="164"/>
        <v>Ambientes de Risco</v>
      </c>
      <c r="V94" s="45" t="s">
        <v>191</v>
      </c>
      <c r="W94" s="2" t="str">
        <f t="shared" si="148"/>
        <v>Key-ESP-94</v>
      </c>
      <c r="X94" s="44" t="s">
        <v>395</v>
      </c>
      <c r="Y94" s="61" t="s">
        <v>378</v>
      </c>
      <c r="Z94" s="45" t="s">
        <v>666</v>
      </c>
      <c r="AA94" s="44" t="str">
        <f t="shared" si="211"/>
        <v>Architectural spaces sized and equipped for Moderate Biohazard Laboratory Activity. With primary barriers (PPE, sink, decontamination). Restricted access.</v>
      </c>
    </row>
    <row r="95" spans="1:27" customFormat="1" ht="6" customHeight="1" x14ac:dyDescent="0.4">
      <c r="A95" s="39">
        <v>95</v>
      </c>
      <c r="B95" s="40" t="s">
        <v>81</v>
      </c>
      <c r="C95" s="40" t="s">
        <v>442</v>
      </c>
      <c r="D95" s="40" t="s">
        <v>447</v>
      </c>
      <c r="E95" s="40" t="s">
        <v>618</v>
      </c>
      <c r="F95" s="41" t="s">
        <v>670</v>
      </c>
      <c r="G95" s="42" t="s">
        <v>10</v>
      </c>
      <c r="H95" s="42" t="s">
        <v>10</v>
      </c>
      <c r="I95" s="42" t="s">
        <v>10</v>
      </c>
      <c r="J95" s="42" t="s">
        <v>10</v>
      </c>
      <c r="K95" s="42" t="s">
        <v>10</v>
      </c>
      <c r="L95" s="43" t="str">
        <f t="shared" si="207"/>
        <v>Espacialidade</v>
      </c>
      <c r="M95" s="43" t="str">
        <f t="shared" si="207"/>
        <v>Elementos.Espaciais</v>
      </c>
      <c r="N95" s="43" t="str">
        <f t="shared" si="208"/>
        <v>Ambientes de Risco</v>
      </c>
      <c r="O95" s="43" t="str">
        <f t="shared" si="209"/>
        <v>Lab Biossegurança NB3</v>
      </c>
      <c r="P95" s="44" t="s">
        <v>648</v>
      </c>
      <c r="Q95" s="44" t="str">
        <f t="shared" si="153"/>
        <v>Espacios arquitectónicos dimensionados y equipados para actividades de laboratorio de alto riesgo biológico. Con contención avanzada (cabinas de seguridad, ventilación controlada, duchas con agua). Acceso estricto.</v>
      </c>
      <c r="R95" s="45" t="s">
        <v>10</v>
      </c>
      <c r="S95" s="46" t="str">
        <f t="shared" si="210"/>
        <v>Espacialidade</v>
      </c>
      <c r="T95" s="46" t="str">
        <f t="shared" si="163"/>
        <v>Elementos Espaciais</v>
      </c>
      <c r="U95" s="46" t="str">
        <f t="shared" si="164"/>
        <v>Ambientes de Risco</v>
      </c>
      <c r="V95" s="45" t="s">
        <v>191</v>
      </c>
      <c r="W95" s="2" t="str">
        <f t="shared" si="148"/>
        <v>Key-ESP-95</v>
      </c>
      <c r="X95" s="44" t="s">
        <v>395</v>
      </c>
      <c r="Y95" s="61" t="s">
        <v>378</v>
      </c>
      <c r="Z95" s="45" t="s">
        <v>667</v>
      </c>
      <c r="AA95" s="44" t="str">
        <f t="shared" si="211"/>
        <v>Architectural spaces sized and equipped for High Biohazard Laboratory Activity. With advanced containment (security cabins, controlled ventilation, water showers). Strict access.</v>
      </c>
    </row>
    <row r="96" spans="1:27" customFormat="1" ht="6" customHeight="1" x14ac:dyDescent="0.4">
      <c r="A96" s="39">
        <v>96</v>
      </c>
      <c r="B96" s="40" t="s">
        <v>81</v>
      </c>
      <c r="C96" s="40" t="s">
        <v>442</v>
      </c>
      <c r="D96" s="40" t="s">
        <v>447</v>
      </c>
      <c r="E96" s="40" t="s">
        <v>618</v>
      </c>
      <c r="F96" s="41" t="s">
        <v>671</v>
      </c>
      <c r="G96" s="42" t="s">
        <v>10</v>
      </c>
      <c r="H96" s="42" t="s">
        <v>10</v>
      </c>
      <c r="I96" s="42" t="s">
        <v>10</v>
      </c>
      <c r="J96" s="42" t="s">
        <v>10</v>
      </c>
      <c r="K96" s="42" t="s">
        <v>10</v>
      </c>
      <c r="L96" s="43" t="str">
        <f t="shared" si="207"/>
        <v>Espacialidade</v>
      </c>
      <c r="M96" s="43" t="str">
        <f t="shared" si="207"/>
        <v>Elementos.Espaciais</v>
      </c>
      <c r="N96" s="43" t="str">
        <f t="shared" si="208"/>
        <v>Ambientes de Risco</v>
      </c>
      <c r="O96" s="43" t="str">
        <f t="shared" si="209"/>
        <v>Lab Biossegurança NB4</v>
      </c>
      <c r="P96" s="44" t="s">
        <v>649</v>
      </c>
      <c r="Q96" s="44" t="str">
        <f t="shared" si="153"/>
        <v>Espacios arquitectónicos dimensionados y equipados para actividades de laboratorio de muy alta riesgo biológico. Con máxima contención (mono con aire filtrado, ducha química, zonas aisladas).</v>
      </c>
      <c r="R96" s="45" t="s">
        <v>10</v>
      </c>
      <c r="S96" s="46" t="str">
        <f t="shared" si="210"/>
        <v>Espacialidade</v>
      </c>
      <c r="T96" s="46" t="str">
        <f t="shared" si="163"/>
        <v>Elementos Espaciais</v>
      </c>
      <c r="U96" s="46" t="str">
        <f t="shared" si="164"/>
        <v>Ambientes de Risco</v>
      </c>
      <c r="V96" s="45" t="s">
        <v>191</v>
      </c>
      <c r="W96" s="2" t="str">
        <f t="shared" si="148"/>
        <v>Key-ESP-96</v>
      </c>
      <c r="X96" s="44" t="s">
        <v>395</v>
      </c>
      <c r="Y96" s="61" t="s">
        <v>378</v>
      </c>
      <c r="Z96" s="45" t="s">
        <v>666</v>
      </c>
      <c r="AA96" s="44" t="str">
        <f t="shared" si="211"/>
        <v>Architectural spaces sized and equipped for Very High Biohazard Laboratory Activity. With maximum containment (overalls with filtered air, chemical shower, isolated areas).</v>
      </c>
    </row>
    <row r="97" spans="1:27" customFormat="1" ht="6" customHeight="1" x14ac:dyDescent="0.4">
      <c r="A97" s="39">
        <v>97</v>
      </c>
      <c r="B97" s="40" t="s">
        <v>81</v>
      </c>
      <c r="C97" s="40" t="s">
        <v>442</v>
      </c>
      <c r="D97" s="40" t="s">
        <v>447</v>
      </c>
      <c r="E97" s="40" t="s">
        <v>619</v>
      </c>
      <c r="F97" s="41" t="s">
        <v>486</v>
      </c>
      <c r="G97" s="42" t="s">
        <v>10</v>
      </c>
      <c r="H97" s="42" t="s">
        <v>10</v>
      </c>
      <c r="I97" s="42" t="s">
        <v>10</v>
      </c>
      <c r="J97" s="42" t="s">
        <v>10</v>
      </c>
      <c r="K97" s="42" t="s">
        <v>10</v>
      </c>
      <c r="L97" s="43" t="str">
        <f t="shared" ref="L97:L100" si="212">CONCATENATE("", C97)</f>
        <v>Espacialidade</v>
      </c>
      <c r="M97" s="43" t="str">
        <f t="shared" ref="M97:M100" si="213">CONCATENATE("", D97)</f>
        <v>Elementos.Espaciais</v>
      </c>
      <c r="N97" s="43" t="str">
        <f t="shared" ref="N97:N100" si="214">(SUBSTITUTE(SUBSTITUTE(CONCATENATE("",E97),"."," ")," De "," de "))</f>
        <v>Ambientes Educativos</v>
      </c>
      <c r="O97" s="43" t="str">
        <f t="shared" ref="O97:O100" si="215">(SUBSTITUTE(SUBSTITUTE(CONCATENATE("",F97),"."," ")," De "," de "))</f>
        <v>Sala Infantil</v>
      </c>
      <c r="P97" s="44" t="s">
        <v>650</v>
      </c>
      <c r="Q97" s="44" t="str">
        <f t="shared" ca="1" si="153"/>
        <v>Espacios arquitectónicos de tamaño y equipamiento para actividades infantiles.</v>
      </c>
      <c r="R97" s="45" t="s">
        <v>10</v>
      </c>
      <c r="S97" s="46" t="str">
        <f t="shared" si="71"/>
        <v>Espacialidade</v>
      </c>
      <c r="T97" s="46" t="str">
        <f t="shared" si="163"/>
        <v>Elementos Espaciais</v>
      </c>
      <c r="U97" s="46" t="str">
        <f t="shared" si="164"/>
        <v>Ambientes Educativos</v>
      </c>
      <c r="V97" s="45" t="s">
        <v>191</v>
      </c>
      <c r="W97" s="2" t="str">
        <f t="shared" si="148"/>
        <v>Key-ESP-97</v>
      </c>
      <c r="X97" s="44" t="s">
        <v>395</v>
      </c>
      <c r="Y97" s="61" t="s">
        <v>378</v>
      </c>
      <c r="Z97" s="45" t="s">
        <v>365</v>
      </c>
      <c r="AA97" s="44" t="str">
        <f t="shared" ref="AA97:AA100" ca="1" si="216">_xlfn.TRANSLATE(P97,"pt","en")</f>
        <v>Architectural spaces sized and equipped for children's activities.</v>
      </c>
    </row>
    <row r="98" spans="1:27" customFormat="1" ht="6" customHeight="1" x14ac:dyDescent="0.4">
      <c r="A98" s="39">
        <v>98</v>
      </c>
      <c r="B98" s="40" t="s">
        <v>81</v>
      </c>
      <c r="C98" s="40" t="s">
        <v>442</v>
      </c>
      <c r="D98" s="40" t="s">
        <v>447</v>
      </c>
      <c r="E98" s="40" t="s">
        <v>619</v>
      </c>
      <c r="F98" s="41" t="s">
        <v>487</v>
      </c>
      <c r="G98" s="42" t="s">
        <v>10</v>
      </c>
      <c r="H98" s="42" t="s">
        <v>10</v>
      </c>
      <c r="I98" s="42" t="s">
        <v>10</v>
      </c>
      <c r="J98" s="42" t="s">
        <v>10</v>
      </c>
      <c r="K98" s="42" t="s">
        <v>10</v>
      </c>
      <c r="L98" s="43" t="str">
        <f t="shared" si="212"/>
        <v>Espacialidade</v>
      </c>
      <c r="M98" s="43" t="str">
        <f t="shared" si="213"/>
        <v>Elementos.Espaciais</v>
      </c>
      <c r="N98" s="43" t="str">
        <f t="shared" si="214"/>
        <v>Ambientes Educativos</v>
      </c>
      <c r="O98" s="43" t="str">
        <f t="shared" si="215"/>
        <v>Sala Ensino</v>
      </c>
      <c r="P98" s="44" t="s">
        <v>652</v>
      </c>
      <c r="Q98" s="44" t="str">
        <f t="shared" si="153"/>
        <v>Espacios arquitectónicos dimensionados y equipados para actividades docentes e investigadoras.</v>
      </c>
      <c r="R98" s="45" t="s">
        <v>10</v>
      </c>
      <c r="S98" s="46" t="str">
        <f t="shared" ref="S98:S100" si="217">SUBSTITUTE(C98, ".", " ")</f>
        <v>Espacialidade</v>
      </c>
      <c r="T98" s="46" t="str">
        <f t="shared" ref="T98:T100" si="218">SUBSTITUTE(D98, ".", " ")</f>
        <v>Elementos Espaciais</v>
      </c>
      <c r="U98" s="46" t="str">
        <f t="shared" ref="U98:U100" si="219">SUBSTITUTE(E98, ".", " ")</f>
        <v>Ambientes Educativos</v>
      </c>
      <c r="V98" s="45" t="s">
        <v>191</v>
      </c>
      <c r="W98" s="2" t="str">
        <f t="shared" si="148"/>
        <v>Key-ESP-98</v>
      </c>
      <c r="X98" s="44" t="s">
        <v>395</v>
      </c>
      <c r="Y98" s="61" t="s">
        <v>378</v>
      </c>
      <c r="Z98" s="45" t="s">
        <v>365</v>
      </c>
      <c r="AA98" s="44" t="str">
        <f t="shared" ca="1" si="216"/>
        <v>Architectural spaces sized and equipped for Teaching and Research Activities.</v>
      </c>
    </row>
    <row r="99" spans="1:27" customFormat="1" ht="6" customHeight="1" x14ac:dyDescent="0.4">
      <c r="A99" s="39">
        <v>99</v>
      </c>
      <c r="B99" s="40" t="s">
        <v>81</v>
      </c>
      <c r="C99" s="40" t="s">
        <v>442</v>
      </c>
      <c r="D99" s="40" t="s">
        <v>447</v>
      </c>
      <c r="E99" s="40" t="s">
        <v>619</v>
      </c>
      <c r="F99" s="41" t="s">
        <v>488</v>
      </c>
      <c r="G99" s="42" t="s">
        <v>10</v>
      </c>
      <c r="H99" s="42" t="s">
        <v>10</v>
      </c>
      <c r="I99" s="42" t="s">
        <v>10</v>
      </c>
      <c r="J99" s="42" t="s">
        <v>10</v>
      </c>
      <c r="K99" s="42" t="s">
        <v>10</v>
      </c>
      <c r="L99" s="43" t="str">
        <f t="shared" si="212"/>
        <v>Espacialidade</v>
      </c>
      <c r="M99" s="43" t="str">
        <f t="shared" si="213"/>
        <v>Elementos.Espaciais</v>
      </c>
      <c r="N99" s="43" t="str">
        <f t="shared" si="214"/>
        <v>Ambientes Educativos</v>
      </c>
      <c r="O99" s="43" t="str">
        <f t="shared" si="215"/>
        <v>Sala Ensino Artístico</v>
      </c>
      <c r="P99" s="44" t="s">
        <v>653</v>
      </c>
      <c r="Q99" s="44" t="str">
        <f t="shared" ref="Q99:Q100" si="220">_xlfn.TRANSLATE(P99,"pt","es")</f>
        <v>Espacios arquitectónicos dimensionados y equipados para actividades docentes e investigadoras artísticas relacionadas con plásticos, como pintura, escultura, etc.</v>
      </c>
      <c r="R99" s="45" t="s">
        <v>10</v>
      </c>
      <c r="S99" s="46" t="str">
        <f t="shared" si="217"/>
        <v>Espacialidade</v>
      </c>
      <c r="T99" s="46" t="str">
        <f t="shared" si="218"/>
        <v>Elementos Espaciais</v>
      </c>
      <c r="U99" s="46" t="str">
        <f t="shared" si="219"/>
        <v>Ambientes Educativos</v>
      </c>
      <c r="V99" s="45" t="s">
        <v>191</v>
      </c>
      <c r="W99" s="2" t="str">
        <f t="shared" ref="W99:W100" si="221">CONCATENATE("Key-ESP-",A99)</f>
        <v>Key-ESP-99</v>
      </c>
      <c r="X99" s="44" t="s">
        <v>395</v>
      </c>
      <c r="Y99" s="61" t="s">
        <v>378</v>
      </c>
      <c r="Z99" s="45" t="s">
        <v>365</v>
      </c>
      <c r="AA99" s="44" t="str">
        <f t="shared" si="216"/>
        <v>Architectural spaces sized and equipped for Teaching and Artistic Research Activities related to plastics, such as painting, sculpture, etc.</v>
      </c>
    </row>
    <row r="100" spans="1:27" customFormat="1" ht="6" customHeight="1" x14ac:dyDescent="0.4">
      <c r="A100" s="39">
        <v>100</v>
      </c>
      <c r="B100" s="40" t="s">
        <v>81</v>
      </c>
      <c r="C100" s="40" t="s">
        <v>442</v>
      </c>
      <c r="D100" s="40" t="s">
        <v>447</v>
      </c>
      <c r="E100" s="40" t="s">
        <v>619</v>
      </c>
      <c r="F100" s="41" t="s">
        <v>489</v>
      </c>
      <c r="G100" s="42" t="s">
        <v>10</v>
      </c>
      <c r="H100" s="42" t="s">
        <v>10</v>
      </c>
      <c r="I100" s="42" t="s">
        <v>10</v>
      </c>
      <c r="J100" s="42" t="s">
        <v>10</v>
      </c>
      <c r="K100" s="42" t="s">
        <v>10</v>
      </c>
      <c r="L100" s="43" t="str">
        <f t="shared" si="212"/>
        <v>Espacialidade</v>
      </c>
      <c r="M100" s="43" t="str">
        <f t="shared" si="213"/>
        <v>Elementos.Espaciais</v>
      </c>
      <c r="N100" s="43" t="str">
        <f t="shared" si="214"/>
        <v>Ambientes Educativos</v>
      </c>
      <c r="O100" s="43" t="str">
        <f t="shared" si="215"/>
        <v>Sala Ensino Científico</v>
      </c>
      <c r="P100" s="44" t="s">
        <v>651</v>
      </c>
      <c r="Q100" s="44" t="str">
        <f t="shared" si="220"/>
        <v>Espacios arquitectónicos dimensionados y equipados para actividades de enseñanza e investigación científica.</v>
      </c>
      <c r="R100" s="45" t="s">
        <v>10</v>
      </c>
      <c r="S100" s="46" t="str">
        <f t="shared" si="217"/>
        <v>Espacialidade</v>
      </c>
      <c r="T100" s="46" t="str">
        <f t="shared" si="218"/>
        <v>Elementos Espaciais</v>
      </c>
      <c r="U100" s="46" t="str">
        <f t="shared" si="219"/>
        <v>Ambientes Educativos</v>
      </c>
      <c r="V100" s="45" t="s">
        <v>191</v>
      </c>
      <c r="W100" s="2" t="str">
        <f t="shared" si="221"/>
        <v>Key-ESP-100</v>
      </c>
      <c r="X100" s="44" t="s">
        <v>395</v>
      </c>
      <c r="Y100" s="61" t="s">
        <v>378</v>
      </c>
      <c r="Z100" s="45" t="s">
        <v>365</v>
      </c>
      <c r="AA100" s="44" t="str">
        <f t="shared" ca="1" si="216"/>
        <v>Architectural spaces sized and equipped for Science Teaching and Research Activities.</v>
      </c>
    </row>
    <row r="101" spans="1:27" customFormat="1" ht="6" customHeight="1" x14ac:dyDescent="0.4">
      <c r="A101" s="39">
        <v>101</v>
      </c>
      <c r="B101" s="40" t="s">
        <v>81</v>
      </c>
      <c r="C101" s="40" t="s">
        <v>442</v>
      </c>
      <c r="D101" s="40" t="s">
        <v>447</v>
      </c>
      <c r="E101" s="40" t="s">
        <v>619</v>
      </c>
      <c r="F101" s="41" t="s">
        <v>537</v>
      </c>
      <c r="G101" s="42" t="s">
        <v>10</v>
      </c>
      <c r="H101" s="42" t="s">
        <v>10</v>
      </c>
      <c r="I101" s="42" t="s">
        <v>10</v>
      </c>
      <c r="J101" s="42" t="s">
        <v>10</v>
      </c>
      <c r="K101" s="42" t="s">
        <v>10</v>
      </c>
      <c r="L101" s="43" t="str">
        <f t="shared" ref="L101:L107" si="222">CONCATENATE("", C101)</f>
        <v>Espacialidade</v>
      </c>
      <c r="M101" s="43" t="str">
        <f t="shared" ref="M101:M107" si="223">CONCATENATE("", D101)</f>
        <v>Elementos.Espaciais</v>
      </c>
      <c r="N101" s="43" t="str">
        <f t="shared" ref="N101:N107" si="224">(SUBSTITUTE(SUBSTITUTE(CONCATENATE("",E101),"."," ")," De "," de "))</f>
        <v>Ambientes Educativos</v>
      </c>
      <c r="O101" s="43" t="str">
        <f t="shared" ref="O101:O107" si="225">(SUBSTITUTE(SUBSTITUTE(CONCATENATE("",F101),"."," ")," De "," de "))</f>
        <v>Sala Ensino Técnico</v>
      </c>
      <c r="P101" s="44" t="s">
        <v>654</v>
      </c>
      <c r="Q101" s="44" t="str">
        <f t="shared" si="153"/>
        <v>Espacios arquitectónicos dimensionados y equipados para la enseñanza o investigación de habilidades técnicas en gráficos, electrónicos, etc.</v>
      </c>
      <c r="R101" s="45" t="s">
        <v>10</v>
      </c>
      <c r="S101" s="46" t="str">
        <f t="shared" si="71"/>
        <v>Espacialidade</v>
      </c>
      <c r="T101" s="46" t="str">
        <f t="shared" si="163"/>
        <v>Elementos Espaciais</v>
      </c>
      <c r="U101" s="46" t="str">
        <f t="shared" si="164"/>
        <v>Ambientes Educativos</v>
      </c>
      <c r="V101" s="45" t="s">
        <v>191</v>
      </c>
      <c r="W101" s="2" t="str">
        <f t="shared" si="148"/>
        <v>Key-ESP-101</v>
      </c>
      <c r="X101" s="44" t="s">
        <v>395</v>
      </c>
      <c r="Y101" s="61" t="s">
        <v>378</v>
      </c>
      <c r="Z101" s="45" t="s">
        <v>365</v>
      </c>
      <c r="AA101" s="44" t="str">
        <f t="shared" ref="AA101:AA107" ca="1" si="226">_xlfn.TRANSLATE(P101,"pt","en")</f>
        <v>Architectural spaces sized and equipped for Teaching or Research of Technical Skills graphic, electronic, etc.</v>
      </c>
    </row>
    <row r="102" spans="1:27" customFormat="1" ht="6" customHeight="1" x14ac:dyDescent="0.4">
      <c r="A102" s="39">
        <v>102</v>
      </c>
      <c r="B102" s="40" t="s">
        <v>81</v>
      </c>
      <c r="C102" s="40" t="s">
        <v>442</v>
      </c>
      <c r="D102" s="40" t="s">
        <v>447</v>
      </c>
      <c r="E102" s="40" t="s">
        <v>619</v>
      </c>
      <c r="F102" s="41" t="s">
        <v>490</v>
      </c>
      <c r="G102" s="42" t="s">
        <v>10</v>
      </c>
      <c r="H102" s="42" t="s">
        <v>10</v>
      </c>
      <c r="I102" s="42" t="s">
        <v>10</v>
      </c>
      <c r="J102" s="42" t="s">
        <v>10</v>
      </c>
      <c r="K102" s="42" t="s">
        <v>10</v>
      </c>
      <c r="L102" s="43" t="str">
        <f t="shared" si="222"/>
        <v>Espacialidade</v>
      </c>
      <c r="M102" s="43" t="str">
        <f t="shared" si="223"/>
        <v>Elementos.Espaciais</v>
      </c>
      <c r="N102" s="43" t="str">
        <f t="shared" si="224"/>
        <v>Ambientes Educativos</v>
      </c>
      <c r="O102" s="43" t="str">
        <f t="shared" si="225"/>
        <v>Sala Ensino Informática</v>
      </c>
      <c r="P102" s="44" t="s">
        <v>638</v>
      </c>
      <c r="Q102" s="44" t="str">
        <f t="shared" ca="1" si="153"/>
        <v>Espacios arquitectónicos dimensionados y equipados para la enseñanza o la investigación en informática.</v>
      </c>
      <c r="R102" s="45" t="s">
        <v>10</v>
      </c>
      <c r="S102" s="46" t="str">
        <f t="shared" si="71"/>
        <v>Espacialidade</v>
      </c>
      <c r="T102" s="46" t="str">
        <f t="shared" si="163"/>
        <v>Elementos Espaciais</v>
      </c>
      <c r="U102" s="46" t="str">
        <f t="shared" si="164"/>
        <v>Ambientes Educativos</v>
      </c>
      <c r="V102" s="45" t="s">
        <v>191</v>
      </c>
      <c r="W102" s="2" t="str">
        <f t="shared" ref="W102:W106" si="227">CONCATENATE("Key-ESP-",A102)</f>
        <v>Key-ESP-102</v>
      </c>
      <c r="X102" s="44" t="s">
        <v>395</v>
      </c>
      <c r="Y102" s="61" t="s">
        <v>378</v>
      </c>
      <c r="Z102" s="45" t="s">
        <v>365</v>
      </c>
      <c r="AA102" s="44" t="str">
        <f t="shared" si="226"/>
        <v>Architectural spaces sized and equipped for Teaching or Research in Informatics.</v>
      </c>
    </row>
    <row r="103" spans="1:27" customFormat="1" ht="6" customHeight="1" x14ac:dyDescent="0.4">
      <c r="A103" s="39">
        <v>103</v>
      </c>
      <c r="B103" s="40" t="s">
        <v>81</v>
      </c>
      <c r="C103" s="40" t="s">
        <v>442</v>
      </c>
      <c r="D103" s="40" t="s">
        <v>447</v>
      </c>
      <c r="E103" s="40" t="s">
        <v>619</v>
      </c>
      <c r="F103" s="41" t="s">
        <v>491</v>
      </c>
      <c r="G103" s="42" t="s">
        <v>10</v>
      </c>
      <c r="H103" s="42" t="s">
        <v>10</v>
      </c>
      <c r="I103" s="42" t="s">
        <v>10</v>
      </c>
      <c r="J103" s="42" t="s">
        <v>10</v>
      </c>
      <c r="K103" s="42" t="s">
        <v>10</v>
      </c>
      <c r="L103" s="43" t="str">
        <f t="shared" si="222"/>
        <v>Espacialidade</v>
      </c>
      <c r="M103" s="43" t="str">
        <f t="shared" si="223"/>
        <v>Elementos.Espaciais</v>
      </c>
      <c r="N103" s="43" t="str">
        <f t="shared" si="224"/>
        <v>Ambientes Educativos</v>
      </c>
      <c r="O103" s="43" t="str">
        <f t="shared" si="225"/>
        <v>Sala Ensino Química</v>
      </c>
      <c r="P103" s="44" t="s">
        <v>639</v>
      </c>
      <c r="Q103" s="44" t="str">
        <f t="shared" si="153"/>
        <v>Espacios arquitectónicos dimensionados y equipados para la enseñanza o investigación en química.</v>
      </c>
      <c r="R103" s="45" t="s">
        <v>10</v>
      </c>
      <c r="S103" s="46" t="str">
        <f t="shared" ref="S103:S105" si="228">SUBSTITUTE(C103, ".", " ")</f>
        <v>Espacialidade</v>
      </c>
      <c r="T103" s="46" t="str">
        <f t="shared" ref="T103:T105" si="229">SUBSTITUTE(D103, ".", " ")</f>
        <v>Elementos Espaciais</v>
      </c>
      <c r="U103" s="46" t="str">
        <f t="shared" ref="U103:U105" si="230">SUBSTITUTE(E103, ".", " ")</f>
        <v>Ambientes Educativos</v>
      </c>
      <c r="V103" s="45" t="s">
        <v>191</v>
      </c>
      <c r="W103" s="2" t="str">
        <f t="shared" ref="W103:W105" si="231">CONCATENATE("Key-ESP-",A103)</f>
        <v>Key-ESP-103</v>
      </c>
      <c r="X103" s="44" t="s">
        <v>395</v>
      </c>
      <c r="Y103" s="61" t="s">
        <v>378</v>
      </c>
      <c r="Z103" s="45" t="s">
        <v>365</v>
      </c>
      <c r="AA103" s="44" t="str">
        <f t="shared" si="226"/>
        <v>Architectural spaces sized and equipped for Chemistry Teaching or Research.</v>
      </c>
    </row>
    <row r="104" spans="1:27" customFormat="1" ht="6" customHeight="1" x14ac:dyDescent="0.4">
      <c r="A104" s="39">
        <v>104</v>
      </c>
      <c r="B104" s="40" t="s">
        <v>81</v>
      </c>
      <c r="C104" s="40" t="s">
        <v>442</v>
      </c>
      <c r="D104" s="40" t="s">
        <v>447</v>
      </c>
      <c r="E104" s="40" t="s">
        <v>619</v>
      </c>
      <c r="F104" s="41" t="s">
        <v>492</v>
      </c>
      <c r="G104" s="42" t="s">
        <v>10</v>
      </c>
      <c r="H104" s="42" t="s">
        <v>10</v>
      </c>
      <c r="I104" s="42" t="s">
        <v>10</v>
      </c>
      <c r="J104" s="42" t="s">
        <v>10</v>
      </c>
      <c r="K104" s="42" t="s">
        <v>10</v>
      </c>
      <c r="L104" s="43" t="str">
        <f t="shared" si="222"/>
        <v>Espacialidade</v>
      </c>
      <c r="M104" s="43" t="str">
        <f t="shared" si="223"/>
        <v>Elementos.Espaciais</v>
      </c>
      <c r="N104" s="43" t="str">
        <f t="shared" si="224"/>
        <v>Ambientes Educativos</v>
      </c>
      <c r="O104" s="43" t="str">
        <f t="shared" si="225"/>
        <v>Sala Ensino Física</v>
      </c>
      <c r="P104" s="44" t="s">
        <v>640</v>
      </c>
      <c r="Q104" s="44" t="str">
        <f t="shared" si="153"/>
        <v>Espacios arquitectónicos dimensionados y equipados para la enseñanza o investigación en Física.</v>
      </c>
      <c r="R104" s="45" t="s">
        <v>10</v>
      </c>
      <c r="S104" s="46" t="str">
        <f t="shared" si="228"/>
        <v>Espacialidade</v>
      </c>
      <c r="T104" s="46" t="str">
        <f t="shared" si="229"/>
        <v>Elementos Espaciais</v>
      </c>
      <c r="U104" s="46" t="str">
        <f t="shared" si="230"/>
        <v>Ambientes Educativos</v>
      </c>
      <c r="V104" s="45" t="s">
        <v>191</v>
      </c>
      <c r="W104" s="2" t="str">
        <f t="shared" si="231"/>
        <v>Key-ESP-104</v>
      </c>
      <c r="X104" s="44" t="s">
        <v>395</v>
      </c>
      <c r="Y104" s="61" t="s">
        <v>378</v>
      </c>
      <c r="Z104" s="45" t="s">
        <v>365</v>
      </c>
      <c r="AA104" s="44" t="str">
        <f t="shared" si="226"/>
        <v>Architectural spaces sized and equipped for Physics Teaching or Research.</v>
      </c>
    </row>
    <row r="105" spans="1:27" customFormat="1" ht="6" customHeight="1" x14ac:dyDescent="0.4">
      <c r="A105" s="39">
        <v>105</v>
      </c>
      <c r="B105" s="40" t="s">
        <v>81</v>
      </c>
      <c r="C105" s="40" t="s">
        <v>442</v>
      </c>
      <c r="D105" s="40" t="s">
        <v>447</v>
      </c>
      <c r="E105" s="40" t="s">
        <v>619</v>
      </c>
      <c r="F105" s="41" t="s">
        <v>612</v>
      </c>
      <c r="G105" s="42" t="s">
        <v>10</v>
      </c>
      <c r="H105" s="42" t="s">
        <v>10</v>
      </c>
      <c r="I105" s="42" t="s">
        <v>10</v>
      </c>
      <c r="J105" s="42" t="s">
        <v>10</v>
      </c>
      <c r="K105" s="42" t="s">
        <v>10</v>
      </c>
      <c r="L105" s="43" t="str">
        <f t="shared" si="222"/>
        <v>Espacialidade</v>
      </c>
      <c r="M105" s="43" t="str">
        <f t="shared" si="223"/>
        <v>Elementos.Espaciais</v>
      </c>
      <c r="N105" s="43" t="str">
        <f t="shared" si="224"/>
        <v>Ambientes Educativos</v>
      </c>
      <c r="O105" s="43" t="str">
        <f t="shared" si="225"/>
        <v>Sala Ensino Biologia</v>
      </c>
      <c r="P105" s="44" t="s">
        <v>655</v>
      </c>
      <c r="Q105" s="44" t="str">
        <f t="shared" ca="1" si="153"/>
        <v>Espacios arquitectónicos dimensionados y equipados para la enseñanza o investigación en Biología.</v>
      </c>
      <c r="R105" s="45" t="s">
        <v>10</v>
      </c>
      <c r="S105" s="46" t="str">
        <f t="shared" si="228"/>
        <v>Espacialidade</v>
      </c>
      <c r="T105" s="46" t="str">
        <f t="shared" si="229"/>
        <v>Elementos Espaciais</v>
      </c>
      <c r="U105" s="46" t="str">
        <f t="shared" si="230"/>
        <v>Ambientes Educativos</v>
      </c>
      <c r="V105" s="45" t="s">
        <v>191</v>
      </c>
      <c r="W105" s="2" t="str">
        <f t="shared" si="231"/>
        <v>Key-ESP-105</v>
      </c>
      <c r="X105" s="44" t="s">
        <v>395</v>
      </c>
      <c r="Y105" s="61" t="s">
        <v>378</v>
      </c>
      <c r="Z105" s="45" t="s">
        <v>365</v>
      </c>
      <c r="AA105" s="44" t="str">
        <f t="shared" si="226"/>
        <v>Architectural spaces sized and equipped for Biology Teaching or Research.</v>
      </c>
    </row>
    <row r="106" spans="1:27" customFormat="1" ht="6" customHeight="1" x14ac:dyDescent="0.4">
      <c r="A106" s="39">
        <v>106</v>
      </c>
      <c r="B106" s="40" t="s">
        <v>81</v>
      </c>
      <c r="C106" s="40" t="s">
        <v>442</v>
      </c>
      <c r="D106" s="40" t="s">
        <v>447</v>
      </c>
      <c r="E106" s="40" t="s">
        <v>619</v>
      </c>
      <c r="F106" s="41" t="s">
        <v>493</v>
      </c>
      <c r="G106" s="42" t="s">
        <v>10</v>
      </c>
      <c r="H106" s="42" t="s">
        <v>10</v>
      </c>
      <c r="I106" s="42" t="s">
        <v>10</v>
      </c>
      <c r="J106" s="42" t="s">
        <v>10</v>
      </c>
      <c r="K106" s="42" t="s">
        <v>10</v>
      </c>
      <c r="L106" s="43" t="str">
        <f t="shared" ref="L106" si="232">CONCATENATE("", C106)</f>
        <v>Espacialidade</v>
      </c>
      <c r="M106" s="43" t="str">
        <f t="shared" ref="M106" si="233">CONCATENATE("", D106)</f>
        <v>Elementos.Espaciais</v>
      </c>
      <c r="N106" s="43" t="str">
        <f t="shared" ref="N106" si="234">(SUBSTITUTE(SUBSTITUTE(CONCATENATE("",E106),"."," ")," De "," de "))</f>
        <v>Ambientes Educativos</v>
      </c>
      <c r="O106" s="43" t="str">
        <f t="shared" ref="O106" si="235">(SUBSTITUTE(SUBSTITUTE(CONCATENATE("",F106),"."," ")," De "," de "))</f>
        <v>Sala Ensino Música</v>
      </c>
      <c r="P106" s="44" t="s">
        <v>656</v>
      </c>
      <c r="Q106" s="44" t="str">
        <f t="shared" si="153"/>
        <v>Espacios arquitectónicos dimensionados y equipados para la enseñanza o investigación de música o artes escénicas.</v>
      </c>
      <c r="R106" s="45" t="s">
        <v>10</v>
      </c>
      <c r="S106" s="46" t="str">
        <f t="shared" si="71"/>
        <v>Espacialidade</v>
      </c>
      <c r="T106" s="46" t="str">
        <f t="shared" si="163"/>
        <v>Elementos Espaciais</v>
      </c>
      <c r="U106" s="46" t="str">
        <f t="shared" si="164"/>
        <v>Ambientes Educativos</v>
      </c>
      <c r="V106" s="45" t="s">
        <v>191</v>
      </c>
      <c r="W106" s="2" t="str">
        <f t="shared" si="227"/>
        <v>Key-ESP-106</v>
      </c>
      <c r="X106" s="44" t="s">
        <v>395</v>
      </c>
      <c r="Y106" s="61" t="s">
        <v>378</v>
      </c>
      <c r="Z106" s="45" t="s">
        <v>365</v>
      </c>
      <c r="AA106" s="44" t="str">
        <f t="shared" ref="AA106" si="236">_xlfn.TRANSLATE(P106,"pt","en")</f>
        <v>Architectural spaces sized and equipped for Teaching or Research of Music or Performing Arts.</v>
      </c>
    </row>
    <row r="107" spans="1:27" customFormat="1" ht="6" customHeight="1" x14ac:dyDescent="0.4">
      <c r="A107" s="39">
        <v>107</v>
      </c>
      <c r="B107" s="40" t="s">
        <v>81</v>
      </c>
      <c r="C107" s="40" t="s">
        <v>442</v>
      </c>
      <c r="D107" s="40" t="s">
        <v>447</v>
      </c>
      <c r="E107" s="40" t="s">
        <v>619</v>
      </c>
      <c r="F107" s="41" t="s">
        <v>494</v>
      </c>
      <c r="G107" s="42" t="s">
        <v>10</v>
      </c>
      <c r="H107" s="42" t="s">
        <v>10</v>
      </c>
      <c r="I107" s="42" t="s">
        <v>10</v>
      </c>
      <c r="J107" s="42" t="s">
        <v>10</v>
      </c>
      <c r="K107" s="42" t="s">
        <v>10</v>
      </c>
      <c r="L107" s="43" t="str">
        <f t="shared" si="222"/>
        <v>Espacialidade</v>
      </c>
      <c r="M107" s="43" t="str">
        <f t="shared" si="223"/>
        <v>Elementos.Espaciais</v>
      </c>
      <c r="N107" s="43" t="str">
        <f t="shared" si="224"/>
        <v>Ambientes Educativos</v>
      </c>
      <c r="O107" s="43" t="str">
        <f t="shared" si="225"/>
        <v>Sala Ensino FabLab</v>
      </c>
      <c r="P107" s="44" t="s">
        <v>657</v>
      </c>
      <c r="Q107" s="44" t="str">
        <f t="shared" si="153"/>
        <v>Espacios arquitectónicos dimensionados y equipados para la enseñanza o la investigación en fabricación robótica, impresión 3D, corte láser y otras tecnologías de fabricación.</v>
      </c>
      <c r="R107" s="45" t="s">
        <v>10</v>
      </c>
      <c r="S107" s="46" t="str">
        <f t="shared" ref="S107" si="237">SUBSTITUTE(C107, ".", " ")</f>
        <v>Espacialidade</v>
      </c>
      <c r="T107" s="46" t="str">
        <f t="shared" ref="T107" si="238">SUBSTITUTE(D107, ".", " ")</f>
        <v>Elementos Espaciais</v>
      </c>
      <c r="U107" s="46" t="str">
        <f t="shared" ref="U107" si="239">SUBSTITUTE(E107, ".", " ")</f>
        <v>Ambientes Educativos</v>
      </c>
      <c r="V107" s="45" t="s">
        <v>191</v>
      </c>
      <c r="W107" s="2" t="str">
        <f t="shared" ref="W107" si="240">CONCATENATE("Key-ESP-",A107)</f>
        <v>Key-ESP-107</v>
      </c>
      <c r="X107" s="44" t="s">
        <v>395</v>
      </c>
      <c r="Y107" s="61" t="s">
        <v>378</v>
      </c>
      <c r="Z107" s="45" t="s">
        <v>365</v>
      </c>
      <c r="AA107" s="44" t="str">
        <f t="shared" si="226"/>
        <v>Architectural spaces sized and equipped for Teaching or Research in robotic fabrication, 3D printing, laser cutting and other fabrication technologies.</v>
      </c>
    </row>
    <row r="108" spans="1:27" customFormat="1" ht="6" customHeight="1" x14ac:dyDescent="0.4">
      <c r="A108" s="39">
        <v>108</v>
      </c>
      <c r="B108" s="40" t="s">
        <v>81</v>
      </c>
      <c r="C108" s="40" t="s">
        <v>442</v>
      </c>
      <c r="D108" s="40" t="s">
        <v>447</v>
      </c>
      <c r="E108" s="40" t="s">
        <v>619</v>
      </c>
      <c r="F108" s="41" t="s">
        <v>495</v>
      </c>
      <c r="G108" s="42" t="s">
        <v>10</v>
      </c>
      <c r="H108" s="42" t="s">
        <v>10</v>
      </c>
      <c r="I108" s="42" t="s">
        <v>10</v>
      </c>
      <c r="J108" s="42" t="s">
        <v>10</v>
      </c>
      <c r="K108" s="42" t="s">
        <v>10</v>
      </c>
      <c r="L108" s="43" t="str">
        <f t="shared" si="207"/>
        <v>Espacialidade</v>
      </c>
      <c r="M108" s="43" t="str">
        <f t="shared" si="207"/>
        <v>Elementos.Espaciais</v>
      </c>
      <c r="N108" s="43" t="str">
        <f t="shared" si="19"/>
        <v>Ambientes Educativos</v>
      </c>
      <c r="O108" s="43" t="str">
        <f t="shared" si="19"/>
        <v>Sala Recreativo</v>
      </c>
      <c r="P108" s="44" t="s">
        <v>641</v>
      </c>
      <c r="Q108" s="44" t="str">
        <f t="shared" si="153"/>
        <v>Espacios arquitectónicos dimensionados y equipados para actividades escolares recreativas.</v>
      </c>
      <c r="R108" s="45" t="s">
        <v>10</v>
      </c>
      <c r="S108" s="46" t="str">
        <f t="shared" si="71"/>
        <v>Espacialidade</v>
      </c>
      <c r="T108" s="46" t="str">
        <f t="shared" si="163"/>
        <v>Elementos Espaciais</v>
      </c>
      <c r="U108" s="46" t="str">
        <f t="shared" si="164"/>
        <v>Ambientes Educativos</v>
      </c>
      <c r="V108" s="45" t="s">
        <v>191</v>
      </c>
      <c r="W108" s="2" t="str">
        <f t="shared" si="148"/>
        <v>Key-ESP-108</v>
      </c>
      <c r="X108" s="44" t="s">
        <v>395</v>
      </c>
      <c r="Y108" s="61" t="s">
        <v>378</v>
      </c>
      <c r="Z108" s="45" t="s">
        <v>365</v>
      </c>
      <c r="AA108" s="44" t="str">
        <f t="shared" ca="1" si="9"/>
        <v>Architectural spaces sized and equipped for Recreational School Activities.</v>
      </c>
    </row>
    <row r="109" spans="1:27" customFormat="1" ht="6" customHeight="1" x14ac:dyDescent="0.4">
      <c r="A109" s="39">
        <v>109</v>
      </c>
      <c r="B109" s="40" t="s">
        <v>81</v>
      </c>
      <c r="C109" s="40" t="s">
        <v>442</v>
      </c>
      <c r="D109" s="40" t="s">
        <v>447</v>
      </c>
      <c r="E109" s="40" t="s">
        <v>620</v>
      </c>
      <c r="F109" s="41" t="s">
        <v>238</v>
      </c>
      <c r="G109" s="42" t="s">
        <v>10</v>
      </c>
      <c r="H109" s="42" t="s">
        <v>10</v>
      </c>
      <c r="I109" s="42" t="s">
        <v>10</v>
      </c>
      <c r="J109" s="42" t="s">
        <v>10</v>
      </c>
      <c r="K109" s="42" t="s">
        <v>10</v>
      </c>
      <c r="L109" s="43" t="str">
        <f t="shared" si="207"/>
        <v>Espacialidade</v>
      </c>
      <c r="M109" s="43" t="str">
        <f t="shared" si="207"/>
        <v>Elementos.Espaciais</v>
      </c>
      <c r="N109" s="43" t="str">
        <f t="shared" si="19"/>
        <v>Ambientes Culturais</v>
      </c>
      <c r="O109" s="43" t="str">
        <f t="shared" si="19"/>
        <v>Camarim</v>
      </c>
      <c r="P109" s="44" t="s">
        <v>642</v>
      </c>
      <c r="Q109" s="44" t="str">
        <f t="shared" si="153"/>
        <v>Espacios arquitectónicos dimensionados y equipados para la preparación de artistas.</v>
      </c>
      <c r="R109" s="45" t="s">
        <v>10</v>
      </c>
      <c r="S109" s="46" t="str">
        <f t="shared" si="71"/>
        <v>Espacialidade</v>
      </c>
      <c r="T109" s="46" t="str">
        <f t="shared" si="163"/>
        <v>Elementos Espaciais</v>
      </c>
      <c r="U109" s="46" t="str">
        <f t="shared" si="164"/>
        <v>Ambientes Culturais</v>
      </c>
      <c r="V109" s="45" t="s">
        <v>191</v>
      </c>
      <c r="W109" s="2" t="str">
        <f t="shared" si="148"/>
        <v>Key-ESP-109</v>
      </c>
      <c r="X109" s="44" t="s">
        <v>395</v>
      </c>
      <c r="Y109" s="61" t="s">
        <v>378</v>
      </c>
      <c r="Z109" s="45" t="s">
        <v>365</v>
      </c>
      <c r="AA109" s="44" t="str">
        <f t="shared" ref="AA109:AA147" ca="1" si="241">_xlfn.TRANSLATE(P109,"pt","en")</f>
        <v>Architectural spaces sized and equipped for the preparation of artists.</v>
      </c>
    </row>
    <row r="110" spans="1:27" customFormat="1" ht="6" customHeight="1" x14ac:dyDescent="0.4">
      <c r="A110" s="39">
        <v>110</v>
      </c>
      <c r="B110" s="40" t="s">
        <v>81</v>
      </c>
      <c r="C110" s="40" t="s">
        <v>442</v>
      </c>
      <c r="D110" s="40" t="s">
        <v>447</v>
      </c>
      <c r="E110" s="40" t="s">
        <v>620</v>
      </c>
      <c r="F110" s="41" t="s">
        <v>239</v>
      </c>
      <c r="G110" s="42" t="s">
        <v>10</v>
      </c>
      <c r="H110" s="42" t="s">
        <v>10</v>
      </c>
      <c r="I110" s="42" t="s">
        <v>10</v>
      </c>
      <c r="J110" s="42" t="s">
        <v>10</v>
      </c>
      <c r="K110" s="42" t="s">
        <v>10</v>
      </c>
      <c r="L110" s="43" t="str">
        <f t="shared" si="207"/>
        <v>Espacialidade</v>
      </c>
      <c r="M110" s="43" t="str">
        <f t="shared" si="207"/>
        <v>Elementos.Espaciais</v>
      </c>
      <c r="N110" s="43" t="str">
        <f t="shared" si="19"/>
        <v>Ambientes Culturais</v>
      </c>
      <c r="O110" s="43" t="str">
        <f t="shared" si="19"/>
        <v>Proscênio</v>
      </c>
      <c r="P110" s="44" t="s">
        <v>523</v>
      </c>
      <c r="Q110" s="44" t="str">
        <f t="shared" si="153"/>
        <v>Espacio frontal del escenario, cerca del público. Se integra arquitectónicamente con la escena, cumpliendo funciones estéticas y acústicas, también llamada boca del escenario.</v>
      </c>
      <c r="R110" s="45" t="s">
        <v>10</v>
      </c>
      <c r="S110" s="46" t="str">
        <f t="shared" si="71"/>
        <v>Espacialidade</v>
      </c>
      <c r="T110" s="46" t="str">
        <f t="shared" si="163"/>
        <v>Elementos Espaciais</v>
      </c>
      <c r="U110" s="46" t="str">
        <f t="shared" si="164"/>
        <v>Ambientes Culturais</v>
      </c>
      <c r="V110" s="45" t="s">
        <v>191</v>
      </c>
      <c r="W110" s="2" t="str">
        <f t="shared" si="148"/>
        <v>Key-ESP-110</v>
      </c>
      <c r="X110" s="44" t="s">
        <v>395</v>
      </c>
      <c r="Y110" s="61" t="s">
        <v>378</v>
      </c>
      <c r="Z110" s="45" t="s">
        <v>365</v>
      </c>
      <c r="AA110" s="44" t="str">
        <f t="shared" ca="1" si="241"/>
        <v>Front space of the stage, close to the audience. It integrates architecturally to the scene, fulfilling aesthetic and acoustic functions, also called the stage mouth.</v>
      </c>
    </row>
    <row r="111" spans="1:27" customFormat="1" ht="6" customHeight="1" x14ac:dyDescent="0.4">
      <c r="A111" s="39">
        <v>111</v>
      </c>
      <c r="B111" s="40" t="s">
        <v>81</v>
      </c>
      <c r="C111" s="40" t="s">
        <v>442</v>
      </c>
      <c r="D111" s="40" t="s">
        <v>447</v>
      </c>
      <c r="E111" s="40" t="s">
        <v>620</v>
      </c>
      <c r="F111" s="41" t="s">
        <v>240</v>
      </c>
      <c r="G111" s="42" t="s">
        <v>10</v>
      </c>
      <c r="H111" s="42" t="s">
        <v>10</v>
      </c>
      <c r="I111" s="42" t="s">
        <v>10</v>
      </c>
      <c r="J111" s="42" t="s">
        <v>10</v>
      </c>
      <c r="K111" s="42" t="s">
        <v>10</v>
      </c>
      <c r="L111" s="43" t="str">
        <f t="shared" si="207"/>
        <v>Espacialidade</v>
      </c>
      <c r="M111" s="43" t="str">
        <f t="shared" si="207"/>
        <v>Elementos.Espaciais</v>
      </c>
      <c r="N111" s="43" t="str">
        <f t="shared" si="19"/>
        <v>Ambientes Culturais</v>
      </c>
      <c r="O111" s="43" t="str">
        <f t="shared" si="19"/>
        <v>Palco</v>
      </c>
      <c r="P111" s="44" t="s">
        <v>241</v>
      </c>
      <c r="Q111" s="44" t="str">
        <f t="shared" ca="1" si="153"/>
        <v>Espacio expuesto a los espectadores, donde actúan los actores. Puede ser elevado, plano, giratorio, italiano, arena, entre otros formatos.</v>
      </c>
      <c r="R111" s="45" t="s">
        <v>10</v>
      </c>
      <c r="S111" s="46" t="str">
        <f t="shared" si="71"/>
        <v>Espacialidade</v>
      </c>
      <c r="T111" s="46" t="str">
        <f t="shared" si="163"/>
        <v>Elementos Espaciais</v>
      </c>
      <c r="U111" s="46" t="str">
        <f t="shared" si="164"/>
        <v>Ambientes Culturais</v>
      </c>
      <c r="V111" s="45" t="s">
        <v>191</v>
      </c>
      <c r="W111" s="2" t="str">
        <f t="shared" si="148"/>
        <v>Key-ESP-111</v>
      </c>
      <c r="X111" s="44" t="s">
        <v>395</v>
      </c>
      <c r="Y111" s="61" t="s">
        <v>378</v>
      </c>
      <c r="Z111" s="45" t="s">
        <v>365</v>
      </c>
      <c r="AA111" s="44" t="str">
        <f t="shared" ca="1" si="241"/>
        <v>Space exposed to spectators, where the actors perform. It can be elevated, flat, rotating, Italian, arena, among other formats.</v>
      </c>
    </row>
    <row r="112" spans="1:27" customFormat="1" ht="6" customHeight="1" x14ac:dyDescent="0.4">
      <c r="A112" s="39">
        <v>112</v>
      </c>
      <c r="B112" s="40" t="s">
        <v>81</v>
      </c>
      <c r="C112" s="40" t="s">
        <v>442</v>
      </c>
      <c r="D112" s="40" t="s">
        <v>447</v>
      </c>
      <c r="E112" s="40" t="s">
        <v>620</v>
      </c>
      <c r="F112" s="41" t="s">
        <v>242</v>
      </c>
      <c r="G112" s="42" t="s">
        <v>10</v>
      </c>
      <c r="H112" s="42" t="s">
        <v>10</v>
      </c>
      <c r="I112" s="42" t="s">
        <v>10</v>
      </c>
      <c r="J112" s="42" t="s">
        <v>10</v>
      </c>
      <c r="K112" s="42" t="s">
        <v>10</v>
      </c>
      <c r="L112" s="43" t="str">
        <f t="shared" si="207"/>
        <v>Espacialidade</v>
      </c>
      <c r="M112" s="43" t="str">
        <f t="shared" si="207"/>
        <v>Elementos.Espaciais</v>
      </c>
      <c r="N112" s="43" t="str">
        <f t="shared" si="19"/>
        <v>Ambientes Culturais</v>
      </c>
      <c r="O112" s="43" t="str">
        <f t="shared" si="19"/>
        <v>Fundo do Palco</v>
      </c>
      <c r="P112" s="44" t="s">
        <v>243</v>
      </c>
      <c r="Q112" s="44" t="str">
        <f t="shared" si="153"/>
        <v>Espacio oculto y de vuelta al escenario, detrás del área de actuación de artistas. Puede albergar diversos elementos escenográficos, técnicos y funcionales de la obra.</v>
      </c>
      <c r="R112" s="45" t="s">
        <v>10</v>
      </c>
      <c r="S112" s="46" t="str">
        <f t="shared" si="71"/>
        <v>Espacialidade</v>
      </c>
      <c r="T112" s="46" t="str">
        <f t="shared" si="163"/>
        <v>Elementos Espaciais</v>
      </c>
      <c r="U112" s="46" t="str">
        <f t="shared" si="164"/>
        <v>Ambientes Culturais</v>
      </c>
      <c r="V112" s="45" t="s">
        <v>191</v>
      </c>
      <c r="W112" s="2" t="str">
        <f t="shared" si="148"/>
        <v>Key-ESP-112</v>
      </c>
      <c r="X112" s="44" t="s">
        <v>395</v>
      </c>
      <c r="Y112" s="61" t="s">
        <v>378</v>
      </c>
      <c r="Z112" s="45" t="s">
        <v>365</v>
      </c>
      <c r="AA112" s="44" t="str">
        <f t="shared" ca="1" si="241"/>
        <v>Hidden space and back to the stage, behind the artists' performance area. It can house various scenographic, technical and functional elements to the play.</v>
      </c>
    </row>
    <row r="113" spans="1:27" customFormat="1" ht="6" customHeight="1" x14ac:dyDescent="0.4">
      <c r="A113" s="39">
        <v>113</v>
      </c>
      <c r="B113" s="40" t="s">
        <v>81</v>
      </c>
      <c r="C113" s="40" t="s">
        <v>442</v>
      </c>
      <c r="D113" s="40" t="s">
        <v>447</v>
      </c>
      <c r="E113" s="40" t="s">
        <v>620</v>
      </c>
      <c r="F113" s="41" t="s">
        <v>244</v>
      </c>
      <c r="G113" s="42" t="s">
        <v>10</v>
      </c>
      <c r="H113" s="42" t="s">
        <v>10</v>
      </c>
      <c r="I113" s="42" t="s">
        <v>10</v>
      </c>
      <c r="J113" s="42" t="s">
        <v>10</v>
      </c>
      <c r="K113" s="42" t="s">
        <v>10</v>
      </c>
      <c r="L113" s="43" t="str">
        <f t="shared" si="207"/>
        <v>Espacialidade</v>
      </c>
      <c r="M113" s="43" t="str">
        <f t="shared" si="207"/>
        <v>Elementos.Espaciais</v>
      </c>
      <c r="N113" s="43" t="str">
        <f t="shared" si="19"/>
        <v>Ambientes Culturais</v>
      </c>
      <c r="O113" s="43" t="str">
        <f t="shared" si="19"/>
        <v>Coxia</v>
      </c>
      <c r="P113" s="44" t="s">
        <v>477</v>
      </c>
      <c r="Q113" s="44" t="str">
        <f t="shared" si="153"/>
        <v>Espacio lateral al escenario, utilizado para la entrada y salida de los artistas.</v>
      </c>
      <c r="R113" s="45" t="s">
        <v>10</v>
      </c>
      <c r="S113" s="46" t="str">
        <f t="shared" si="71"/>
        <v>Espacialidade</v>
      </c>
      <c r="T113" s="46" t="str">
        <f t="shared" si="163"/>
        <v>Elementos Espaciais</v>
      </c>
      <c r="U113" s="46" t="str">
        <f t="shared" si="164"/>
        <v>Ambientes Culturais</v>
      </c>
      <c r="V113" s="45" t="s">
        <v>191</v>
      </c>
      <c r="W113" s="2" t="str">
        <f t="shared" si="148"/>
        <v>Key-ESP-113</v>
      </c>
      <c r="X113" s="44" t="s">
        <v>395</v>
      </c>
      <c r="Y113" s="61" t="s">
        <v>378</v>
      </c>
      <c r="Z113" s="45" t="s">
        <v>365</v>
      </c>
      <c r="AA113" s="44" t="str">
        <f t="shared" ca="1" si="241"/>
        <v>Space lateral to the stage, used for the entry and exit of the artists.</v>
      </c>
    </row>
    <row r="114" spans="1:27" customFormat="1" ht="6" customHeight="1" x14ac:dyDescent="0.4">
      <c r="A114" s="39">
        <v>114</v>
      </c>
      <c r="B114" s="40" t="s">
        <v>81</v>
      </c>
      <c r="C114" s="40" t="s">
        <v>442</v>
      </c>
      <c r="D114" s="40" t="s">
        <v>447</v>
      </c>
      <c r="E114" s="40" t="s">
        <v>620</v>
      </c>
      <c r="F114" s="41" t="s">
        <v>245</v>
      </c>
      <c r="G114" s="42" t="s">
        <v>10</v>
      </c>
      <c r="H114" s="42" t="s">
        <v>10</v>
      </c>
      <c r="I114" s="42" t="s">
        <v>10</v>
      </c>
      <c r="J114" s="42" t="s">
        <v>10</v>
      </c>
      <c r="K114" s="42" t="s">
        <v>10</v>
      </c>
      <c r="L114" s="43" t="str">
        <f t="shared" si="207"/>
        <v>Espacialidade</v>
      </c>
      <c r="M114" s="43" t="str">
        <f t="shared" si="207"/>
        <v>Elementos.Espaciais</v>
      </c>
      <c r="N114" s="43" t="str">
        <f t="shared" si="19"/>
        <v>Ambientes Culturais</v>
      </c>
      <c r="O114" s="43" t="str">
        <f t="shared" si="19"/>
        <v>Foso</v>
      </c>
      <c r="P114" s="44" t="s">
        <v>246</v>
      </c>
      <c r="Q114" s="44" t="str">
        <f t="shared" si="153"/>
        <v>Espacio entre el público y el escenario, normalmente bajo el escenario, para acomodar a la orquesta durante una actuación musical o de danza.</v>
      </c>
      <c r="R114" s="45" t="s">
        <v>10</v>
      </c>
      <c r="S114" s="46" t="str">
        <f t="shared" si="71"/>
        <v>Espacialidade</v>
      </c>
      <c r="T114" s="46" t="str">
        <f t="shared" si="163"/>
        <v>Elementos Espaciais</v>
      </c>
      <c r="U114" s="46" t="str">
        <f t="shared" si="164"/>
        <v>Ambientes Culturais</v>
      </c>
      <c r="V114" s="45" t="s">
        <v>191</v>
      </c>
      <c r="W114" s="2" t="str">
        <f t="shared" si="148"/>
        <v>Key-ESP-114</v>
      </c>
      <c r="X114" s="44" t="s">
        <v>395</v>
      </c>
      <c r="Y114" s="61" t="s">
        <v>378</v>
      </c>
      <c r="Z114" s="45" t="s">
        <v>365</v>
      </c>
      <c r="AA114" s="44" t="str">
        <f t="shared" ca="1" si="241"/>
        <v>Space between the audience and the stage, usually below the stage, to accommodate the orchestra during a musical or dance performance.</v>
      </c>
    </row>
    <row r="115" spans="1:27" customFormat="1" ht="6" customHeight="1" x14ac:dyDescent="0.4">
      <c r="A115" s="39">
        <v>115</v>
      </c>
      <c r="B115" s="40" t="s">
        <v>81</v>
      </c>
      <c r="C115" s="40" t="s">
        <v>442</v>
      </c>
      <c r="D115" s="40" t="s">
        <v>447</v>
      </c>
      <c r="E115" s="40" t="s">
        <v>620</v>
      </c>
      <c r="F115" s="41" t="s">
        <v>247</v>
      </c>
      <c r="G115" s="42" t="s">
        <v>10</v>
      </c>
      <c r="H115" s="42" t="s">
        <v>10</v>
      </c>
      <c r="I115" s="42" t="s">
        <v>10</v>
      </c>
      <c r="J115" s="42" t="s">
        <v>10</v>
      </c>
      <c r="K115" s="42" t="s">
        <v>10</v>
      </c>
      <c r="L115" s="43" t="str">
        <f t="shared" si="207"/>
        <v>Espacialidade</v>
      </c>
      <c r="M115" s="43" t="str">
        <f t="shared" si="207"/>
        <v>Elementos.Espaciais</v>
      </c>
      <c r="N115" s="43" t="str">
        <f t="shared" si="19"/>
        <v>Ambientes Culturais</v>
      </c>
      <c r="O115" s="43" t="str">
        <f t="shared" si="19"/>
        <v>Plateia</v>
      </c>
      <c r="P115" s="44" t="s">
        <v>248</v>
      </c>
      <c r="Q115" s="44" t="str">
        <f t="shared" si="153"/>
        <v>Espacio a nivel del escenario, donde el público se sienta con vistas a la parte delantera del escenario.</v>
      </c>
      <c r="R115" s="45" t="s">
        <v>10</v>
      </c>
      <c r="S115" s="46" t="str">
        <f t="shared" si="71"/>
        <v>Espacialidade</v>
      </c>
      <c r="T115" s="46" t="str">
        <f t="shared" si="163"/>
        <v>Elementos Espaciais</v>
      </c>
      <c r="U115" s="46" t="str">
        <f t="shared" si="164"/>
        <v>Ambientes Culturais</v>
      </c>
      <c r="V115" s="45" t="s">
        <v>191</v>
      </c>
      <c r="W115" s="2" t="str">
        <f t="shared" si="148"/>
        <v>Key-ESP-115</v>
      </c>
      <c r="X115" s="44" t="s">
        <v>395</v>
      </c>
      <c r="Y115" s="61" t="s">
        <v>378</v>
      </c>
      <c r="Z115" s="45" t="s">
        <v>365</v>
      </c>
      <c r="AA115" s="44" t="str">
        <f t="shared" ca="1" si="241"/>
        <v>Space at stage level, where the audience sits with a view of the front of the stage.</v>
      </c>
    </row>
    <row r="116" spans="1:27" customFormat="1" ht="6" customHeight="1" x14ac:dyDescent="0.4">
      <c r="A116" s="39">
        <v>116</v>
      </c>
      <c r="B116" s="40" t="s">
        <v>81</v>
      </c>
      <c r="C116" s="40" t="s">
        <v>442</v>
      </c>
      <c r="D116" s="40" t="s">
        <v>447</v>
      </c>
      <c r="E116" s="40" t="s">
        <v>620</v>
      </c>
      <c r="F116" s="41" t="s">
        <v>249</v>
      </c>
      <c r="G116" s="42" t="s">
        <v>10</v>
      </c>
      <c r="H116" s="42" t="s">
        <v>10</v>
      </c>
      <c r="I116" s="42" t="s">
        <v>10</v>
      </c>
      <c r="J116" s="42" t="s">
        <v>10</v>
      </c>
      <c r="K116" s="42" t="s">
        <v>10</v>
      </c>
      <c r="L116" s="43" t="str">
        <f t="shared" si="207"/>
        <v>Espacialidade</v>
      </c>
      <c r="M116" s="43" t="str">
        <f t="shared" si="207"/>
        <v>Elementos.Espaciais</v>
      </c>
      <c r="N116" s="43" t="str">
        <f t="shared" si="19"/>
        <v>Ambientes Culturais</v>
      </c>
      <c r="O116" s="43" t="str">
        <f t="shared" si="19"/>
        <v>Balção</v>
      </c>
      <c r="P116" s="44" t="s">
        <v>250</v>
      </c>
      <c r="Q116" s="44" t="str">
        <f t="shared" si="153"/>
        <v>El espacio está integrado al público, pero en un nivel superior donde el público puede acomodarse con una vista frontal del escenario.</v>
      </c>
      <c r="R116" s="45" t="s">
        <v>10</v>
      </c>
      <c r="S116" s="46" t="str">
        <f t="shared" si="71"/>
        <v>Espacialidade</v>
      </c>
      <c r="T116" s="46" t="str">
        <f t="shared" si="163"/>
        <v>Elementos Espaciais</v>
      </c>
      <c r="U116" s="46" t="str">
        <f t="shared" si="164"/>
        <v>Ambientes Culturais</v>
      </c>
      <c r="V116" s="45" t="s">
        <v>191</v>
      </c>
      <c r="W116" s="2" t="str">
        <f t="shared" si="148"/>
        <v>Key-ESP-116</v>
      </c>
      <c r="X116" s="44" t="s">
        <v>395</v>
      </c>
      <c r="Y116" s="61" t="s">
        <v>378</v>
      </c>
      <c r="Z116" s="45" t="s">
        <v>365</v>
      </c>
      <c r="AA116" s="44" t="str">
        <f t="shared" ca="1" si="241"/>
        <v>Space integrated to the audience, but at an upper level where the audience is accommodated with a frontal view of the stage.</v>
      </c>
    </row>
    <row r="117" spans="1:27" customFormat="1" ht="6" customHeight="1" x14ac:dyDescent="0.4">
      <c r="A117" s="39">
        <v>117</v>
      </c>
      <c r="B117" s="40" t="s">
        <v>81</v>
      </c>
      <c r="C117" s="40" t="s">
        <v>442</v>
      </c>
      <c r="D117" s="40" t="s">
        <v>447</v>
      </c>
      <c r="E117" s="40" t="s">
        <v>620</v>
      </c>
      <c r="F117" s="41" t="s">
        <v>251</v>
      </c>
      <c r="G117" s="42" t="s">
        <v>10</v>
      </c>
      <c r="H117" s="42" t="s">
        <v>10</v>
      </c>
      <c r="I117" s="42" t="s">
        <v>10</v>
      </c>
      <c r="J117" s="42" t="s">
        <v>10</v>
      </c>
      <c r="K117" s="42" t="s">
        <v>10</v>
      </c>
      <c r="L117" s="43" t="str">
        <f t="shared" si="207"/>
        <v>Espacialidade</v>
      </c>
      <c r="M117" s="43" t="str">
        <f t="shared" si="207"/>
        <v>Elementos.Espaciais</v>
      </c>
      <c r="N117" s="43" t="str">
        <f t="shared" si="19"/>
        <v>Ambientes Culturais</v>
      </c>
      <c r="O117" s="43" t="str">
        <f t="shared" si="19"/>
        <v>Camarote</v>
      </c>
      <c r="P117" s="44" t="s">
        <v>252</v>
      </c>
      <c r="Q117" s="44" t="str">
        <f t="shared" si="153"/>
        <v>El espacio integrado en la sala de conciertos, normalmente reservado y con mejor visibilidad y comodidad.</v>
      </c>
      <c r="R117" s="45" t="s">
        <v>10</v>
      </c>
      <c r="S117" s="46" t="str">
        <f t="shared" si="71"/>
        <v>Espacialidade</v>
      </c>
      <c r="T117" s="46" t="str">
        <f t="shared" si="163"/>
        <v>Elementos Espaciais</v>
      </c>
      <c r="U117" s="46" t="str">
        <f t="shared" si="164"/>
        <v>Ambientes Culturais</v>
      </c>
      <c r="V117" s="45" t="s">
        <v>191</v>
      </c>
      <c r="W117" s="2" t="str">
        <f t="shared" si="148"/>
        <v>Key-ESP-117</v>
      </c>
      <c r="X117" s="44" t="s">
        <v>395</v>
      </c>
      <c r="Y117" s="61" t="s">
        <v>378</v>
      </c>
      <c r="Z117" s="45" t="s">
        <v>365</v>
      </c>
      <c r="AA117" s="44" t="str">
        <f t="shared" ca="1" si="241"/>
        <v>Space integrated into the concert hall, usually reserved and with better visibility and comfort.</v>
      </c>
    </row>
    <row r="118" spans="1:27" customFormat="1" ht="6" customHeight="1" x14ac:dyDescent="0.4">
      <c r="A118" s="39">
        <v>118</v>
      </c>
      <c r="B118" s="40" t="s">
        <v>81</v>
      </c>
      <c r="C118" s="40" t="s">
        <v>442</v>
      </c>
      <c r="D118" s="40" t="s">
        <v>447</v>
      </c>
      <c r="E118" s="40" t="s">
        <v>620</v>
      </c>
      <c r="F118" s="41" t="s">
        <v>253</v>
      </c>
      <c r="G118" s="42" t="s">
        <v>10</v>
      </c>
      <c r="H118" s="42" t="s">
        <v>10</v>
      </c>
      <c r="I118" s="42" t="s">
        <v>10</v>
      </c>
      <c r="J118" s="42" t="s">
        <v>10</v>
      </c>
      <c r="K118" s="42" t="s">
        <v>10</v>
      </c>
      <c r="L118" s="43" t="str">
        <f t="shared" ref="L118:L123" si="242">CONCATENATE("", C118)</f>
        <v>Espacialidade</v>
      </c>
      <c r="M118" s="43" t="str">
        <f t="shared" ref="M118:M123" si="243">CONCATENATE("", D118)</f>
        <v>Elementos.Espaciais</v>
      </c>
      <c r="N118" s="43" t="str">
        <f t="shared" ref="N118:N123" si="244">(SUBSTITUTE(SUBSTITUTE(CONCATENATE("",E118),"."," ")," De "," de "))</f>
        <v>Ambientes Culturais</v>
      </c>
      <c r="O118" s="43" t="str">
        <f t="shared" ref="O118:O123" si="245">(SUBSTITUTE(SUBSTITUTE(CONCATENATE("",F118),"."," ")," De "," de "))</f>
        <v>Galeria</v>
      </c>
      <c r="P118" s="44" t="s">
        <v>476</v>
      </c>
      <c r="Q118" s="44" t="str">
        <f t="shared" si="153"/>
        <v>Espacio superior para acomodar al público con precios más asequibles.</v>
      </c>
      <c r="R118" s="45" t="s">
        <v>10</v>
      </c>
      <c r="S118" s="46" t="str">
        <f t="shared" ref="S118:S123" si="246">SUBSTITUTE(C118, ".", " ")</f>
        <v>Espacialidade</v>
      </c>
      <c r="T118" s="46" t="str">
        <f t="shared" ref="T118:T123" si="247">SUBSTITUTE(D118, ".", " ")</f>
        <v>Elementos Espaciais</v>
      </c>
      <c r="U118" s="46" t="str">
        <f t="shared" ref="U118:U123" si="248">SUBSTITUTE(E118, ".", " ")</f>
        <v>Ambientes Culturais</v>
      </c>
      <c r="V118" s="45" t="s">
        <v>191</v>
      </c>
      <c r="W118" s="2" t="str">
        <f t="shared" ref="W118:W123" si="249">CONCATENATE("Key-ESP-",A118)</f>
        <v>Key-ESP-118</v>
      </c>
      <c r="X118" s="44" t="s">
        <v>395</v>
      </c>
      <c r="Y118" s="61" t="s">
        <v>378</v>
      </c>
      <c r="Z118" s="45" t="s">
        <v>365</v>
      </c>
      <c r="AA118" s="44" t="str">
        <f t="shared" ref="AA118:AA123" si="250">_xlfn.TRANSLATE(P118,"pt","en")</f>
        <v>Superior space to accommodate the public with more affordable prices.</v>
      </c>
    </row>
    <row r="119" spans="1:27" customFormat="1" ht="6" customHeight="1" x14ac:dyDescent="0.4">
      <c r="A119" s="39">
        <v>119</v>
      </c>
      <c r="B119" s="40" t="s">
        <v>81</v>
      </c>
      <c r="C119" s="40" t="s">
        <v>442</v>
      </c>
      <c r="D119" s="40" t="s">
        <v>447</v>
      </c>
      <c r="E119" s="40" t="s">
        <v>621</v>
      </c>
      <c r="F119" s="41" t="s">
        <v>474</v>
      </c>
      <c r="G119" s="42" t="s">
        <v>10</v>
      </c>
      <c r="H119" s="42" t="s">
        <v>10</v>
      </c>
      <c r="I119" s="42" t="s">
        <v>10</v>
      </c>
      <c r="J119" s="42" t="s">
        <v>10</v>
      </c>
      <c r="K119" s="42" t="s">
        <v>10</v>
      </c>
      <c r="L119" s="43" t="str">
        <f t="shared" si="242"/>
        <v>Espacialidade</v>
      </c>
      <c r="M119" s="43" t="str">
        <f t="shared" si="243"/>
        <v>Elementos.Espaciais</v>
      </c>
      <c r="N119" s="43" t="str">
        <f t="shared" si="244"/>
        <v>Ambientes Industriais</v>
      </c>
      <c r="O119" s="43" t="str">
        <f t="shared" si="245"/>
        <v>Nave Industrial</v>
      </c>
      <c r="P119" s="61" t="s">
        <v>664</v>
      </c>
      <c r="Q119" s="44" t="str">
        <f t="shared" si="153"/>
        <v>Tipo Espacio Industrial Edificio Industrial Grande.</v>
      </c>
      <c r="R119" s="45" t="s">
        <v>10</v>
      </c>
      <c r="S119" s="46" t="str">
        <f t="shared" si="246"/>
        <v>Espacialidade</v>
      </c>
      <c r="T119" s="46" t="str">
        <f t="shared" si="247"/>
        <v>Elementos Espaciais</v>
      </c>
      <c r="U119" s="46" t="str">
        <f t="shared" si="248"/>
        <v>Ambientes Industriais</v>
      </c>
      <c r="V119" s="45" t="s">
        <v>191</v>
      </c>
      <c r="W119" s="2" t="str">
        <f t="shared" si="249"/>
        <v>Key-ESP-119</v>
      </c>
      <c r="X119" s="44" t="s">
        <v>395</v>
      </c>
      <c r="Y119" s="61" t="s">
        <v>378</v>
      </c>
      <c r="Z119" s="45" t="s">
        <v>365</v>
      </c>
      <c r="AA119" s="44" t="str">
        <f t="shared" si="250"/>
        <v>Industrial Space type Large Industrial Building.</v>
      </c>
    </row>
    <row r="120" spans="1:27" customFormat="1" ht="6" customHeight="1" x14ac:dyDescent="0.4">
      <c r="A120" s="39">
        <v>120</v>
      </c>
      <c r="B120" s="40" t="s">
        <v>81</v>
      </c>
      <c r="C120" s="40" t="s">
        <v>442</v>
      </c>
      <c r="D120" s="40" t="s">
        <v>447</v>
      </c>
      <c r="E120" s="40" t="s">
        <v>621</v>
      </c>
      <c r="F120" s="41" t="s">
        <v>475</v>
      </c>
      <c r="G120" s="42" t="s">
        <v>10</v>
      </c>
      <c r="H120" s="42" t="s">
        <v>10</v>
      </c>
      <c r="I120" s="42" t="s">
        <v>10</v>
      </c>
      <c r="J120" s="42" t="s">
        <v>10</v>
      </c>
      <c r="K120" s="42" t="s">
        <v>10</v>
      </c>
      <c r="L120" s="43" t="str">
        <f t="shared" si="242"/>
        <v>Espacialidade</v>
      </c>
      <c r="M120" s="43" t="str">
        <f t="shared" si="243"/>
        <v>Elementos.Espaciais</v>
      </c>
      <c r="N120" s="43" t="str">
        <f t="shared" si="244"/>
        <v>Ambientes Industriais</v>
      </c>
      <c r="O120" s="43" t="str">
        <f t="shared" si="245"/>
        <v>Galpão Industrial</v>
      </c>
      <c r="P120" s="61" t="s">
        <v>645</v>
      </c>
      <c r="Q120" s="44" t="str">
        <f t="shared" si="153"/>
        <v>Cobertizo tipo Espacio Industrial.</v>
      </c>
      <c r="R120" s="45" t="s">
        <v>10</v>
      </c>
      <c r="S120" s="46" t="str">
        <f t="shared" si="246"/>
        <v>Espacialidade</v>
      </c>
      <c r="T120" s="46" t="str">
        <f t="shared" si="247"/>
        <v>Elementos Espaciais</v>
      </c>
      <c r="U120" s="46" t="str">
        <f t="shared" si="248"/>
        <v>Ambientes Industriais</v>
      </c>
      <c r="V120" s="45" t="s">
        <v>191</v>
      </c>
      <c r="W120" s="2" t="str">
        <f t="shared" si="249"/>
        <v>Key-ESP-120</v>
      </c>
      <c r="X120" s="44" t="s">
        <v>395</v>
      </c>
      <c r="Y120" s="61" t="s">
        <v>378</v>
      </c>
      <c r="Z120" s="45" t="s">
        <v>365</v>
      </c>
      <c r="AA120" s="44" t="str">
        <f t="shared" si="250"/>
        <v>Industrial Space type Shed.</v>
      </c>
    </row>
    <row r="121" spans="1:27" customFormat="1" ht="6" customHeight="1" x14ac:dyDescent="0.4">
      <c r="A121" s="39">
        <v>121</v>
      </c>
      <c r="B121" s="40" t="s">
        <v>81</v>
      </c>
      <c r="C121" s="40" t="s">
        <v>442</v>
      </c>
      <c r="D121" s="40" t="s">
        <v>447</v>
      </c>
      <c r="E121" s="40" t="s">
        <v>621</v>
      </c>
      <c r="F121" s="41" t="s">
        <v>511</v>
      </c>
      <c r="G121" s="42" t="s">
        <v>10</v>
      </c>
      <c r="H121" s="42" t="s">
        <v>10</v>
      </c>
      <c r="I121" s="42" t="s">
        <v>10</v>
      </c>
      <c r="J121" s="42" t="s">
        <v>10</v>
      </c>
      <c r="K121" s="42" t="s">
        <v>10</v>
      </c>
      <c r="L121" s="43" t="str">
        <f t="shared" si="242"/>
        <v>Espacialidade</v>
      </c>
      <c r="M121" s="43" t="str">
        <f t="shared" si="243"/>
        <v>Elementos.Espaciais</v>
      </c>
      <c r="N121" s="43" t="str">
        <f t="shared" si="244"/>
        <v>Ambientes Industriais</v>
      </c>
      <c r="O121" s="43" t="str">
        <f t="shared" si="245"/>
        <v>Siderúrgica</v>
      </c>
      <c r="P121" s="61" t="s">
        <v>643</v>
      </c>
      <c r="Q121" s="44" t="str">
        <f t="shared" si="153"/>
        <v>Espacio industrial de tamaño y equipado con hornos o maquinaria pesada para el procesamiento de metales y aleaciones.</v>
      </c>
      <c r="R121" s="45" t="s">
        <v>10</v>
      </c>
      <c r="S121" s="46" t="str">
        <f t="shared" si="246"/>
        <v>Espacialidade</v>
      </c>
      <c r="T121" s="46" t="str">
        <f t="shared" si="247"/>
        <v>Elementos Espaciais</v>
      </c>
      <c r="U121" s="46" t="str">
        <f t="shared" si="248"/>
        <v>Ambientes Industriais</v>
      </c>
      <c r="V121" s="45" t="s">
        <v>191</v>
      </c>
      <c r="W121" s="2" t="str">
        <f t="shared" si="249"/>
        <v>Key-ESP-121</v>
      </c>
      <c r="X121" s="44" t="s">
        <v>395</v>
      </c>
      <c r="Y121" s="61" t="s">
        <v>378</v>
      </c>
      <c r="Z121" s="45" t="s">
        <v>365</v>
      </c>
      <c r="AA121" s="44" t="str">
        <f t="shared" si="250"/>
        <v>Industrial space sized and equipped with furnaces or heavy equipment for processing metals and alloys.</v>
      </c>
    </row>
    <row r="122" spans="1:27" customFormat="1" ht="6" customHeight="1" x14ac:dyDescent="0.4">
      <c r="A122" s="39">
        <v>122</v>
      </c>
      <c r="B122" s="40" t="s">
        <v>81</v>
      </c>
      <c r="C122" s="40" t="s">
        <v>442</v>
      </c>
      <c r="D122" s="40" t="s">
        <v>447</v>
      </c>
      <c r="E122" s="40" t="s">
        <v>621</v>
      </c>
      <c r="F122" s="41" t="s">
        <v>509</v>
      </c>
      <c r="G122" s="42" t="s">
        <v>10</v>
      </c>
      <c r="H122" s="42" t="s">
        <v>10</v>
      </c>
      <c r="I122" s="42" t="s">
        <v>10</v>
      </c>
      <c r="J122" s="42" t="s">
        <v>10</v>
      </c>
      <c r="K122" s="42" t="s">
        <v>10</v>
      </c>
      <c r="L122" s="43" t="str">
        <f t="shared" si="242"/>
        <v>Espacialidade</v>
      </c>
      <c r="M122" s="43" t="str">
        <f t="shared" si="243"/>
        <v>Elementos.Espaciais</v>
      </c>
      <c r="N122" s="43" t="str">
        <f t="shared" si="244"/>
        <v>Ambientes Industriais</v>
      </c>
      <c r="O122" s="43" t="str">
        <f t="shared" si="245"/>
        <v>Manufatura</v>
      </c>
      <c r="P122" s="61" t="s">
        <v>644</v>
      </c>
      <c r="Q122" s="44" t="str">
        <f t="shared" ref="Q122:Q123" si="251">_xlfn.TRANSLATE(P122,"pt","es")</f>
        <v>Espacio industrial dimensionado y equipado como línea de producción de bienes a gran escala (automóviles, electrónica, textiles y alimentos, etc.). Es una línea de montaje de máquinas automatizadas</v>
      </c>
      <c r="R122" s="45" t="s">
        <v>10</v>
      </c>
      <c r="S122" s="46" t="str">
        <f t="shared" si="246"/>
        <v>Espacialidade</v>
      </c>
      <c r="T122" s="46" t="str">
        <f t="shared" si="247"/>
        <v>Elementos Espaciais</v>
      </c>
      <c r="U122" s="46" t="str">
        <f t="shared" si="248"/>
        <v>Ambientes Industriais</v>
      </c>
      <c r="V122" s="45" t="s">
        <v>191</v>
      </c>
      <c r="W122" s="2" t="str">
        <f t="shared" si="249"/>
        <v>Key-ESP-122</v>
      </c>
      <c r="X122" s="44" t="s">
        <v>395</v>
      </c>
      <c r="Y122" s="61" t="s">
        <v>378</v>
      </c>
      <c r="Z122" s="45" t="s">
        <v>365</v>
      </c>
      <c r="AA122" s="44" t="str">
        <f t="shared" si="250"/>
        <v>Industrial space sized and equipped as a Production Line of large-scale goods (automobiles, electronics, textiles and food, etc.). It is an assembly line of automated machines</v>
      </c>
    </row>
    <row r="123" spans="1:27" customFormat="1" ht="6" customHeight="1" x14ac:dyDescent="0.4">
      <c r="A123" s="39">
        <v>123</v>
      </c>
      <c r="B123" s="40" t="s">
        <v>81</v>
      </c>
      <c r="C123" s="40" t="s">
        <v>442</v>
      </c>
      <c r="D123" s="40" t="s">
        <v>447</v>
      </c>
      <c r="E123" s="40" t="s">
        <v>621</v>
      </c>
      <c r="F123" s="41" t="s">
        <v>660</v>
      </c>
      <c r="G123" s="42" t="s">
        <v>10</v>
      </c>
      <c r="H123" s="42" t="s">
        <v>10</v>
      </c>
      <c r="I123" s="42" t="s">
        <v>10</v>
      </c>
      <c r="J123" s="42" t="s">
        <v>10</v>
      </c>
      <c r="K123" s="42" t="s">
        <v>10</v>
      </c>
      <c r="L123" s="43" t="str">
        <f t="shared" si="242"/>
        <v>Espacialidade</v>
      </c>
      <c r="M123" s="43" t="str">
        <f t="shared" si="243"/>
        <v>Elementos.Espaciais</v>
      </c>
      <c r="N123" s="43" t="str">
        <f t="shared" si="244"/>
        <v>Ambientes Industriais</v>
      </c>
      <c r="O123" s="43" t="str">
        <f t="shared" si="245"/>
        <v>Oficina</v>
      </c>
      <c r="P123" s="61" t="s">
        <v>661</v>
      </c>
      <c r="Q123" s="44" t="str">
        <f t="shared" ca="1" si="251"/>
        <v>Espacio industrial de tamaño y equipamiento como taller de producción para mercancías de tamaño medio o bajo (muebles, equipos, vehículos pequeños, etc.). Se prepara para su ensamblaje.</v>
      </c>
      <c r="R123" s="45" t="s">
        <v>10</v>
      </c>
      <c r="S123" s="46" t="str">
        <f t="shared" si="246"/>
        <v>Espacialidade</v>
      </c>
      <c r="T123" s="46" t="str">
        <f t="shared" si="247"/>
        <v>Elementos Espaciais</v>
      </c>
      <c r="U123" s="46" t="str">
        <f t="shared" si="248"/>
        <v>Ambientes Industriais</v>
      </c>
      <c r="V123" s="45" t="s">
        <v>191</v>
      </c>
      <c r="W123" s="2" t="str">
        <f t="shared" si="249"/>
        <v>Key-ESP-123</v>
      </c>
      <c r="X123" s="44" t="s">
        <v>395</v>
      </c>
      <c r="Y123" s="61" t="s">
        <v>378</v>
      </c>
      <c r="Z123" s="45" t="s">
        <v>365</v>
      </c>
      <c r="AA123" s="44" t="str">
        <f t="shared" ca="1" si="250"/>
        <v>Industrial space sized and equipped as a Production Workshop for medium or low scale goods (furniture, equipment, small vehicles, etc.). It is prepared for assembly.</v>
      </c>
    </row>
    <row r="124" spans="1:27" customFormat="1" ht="6" customHeight="1" x14ac:dyDescent="0.4">
      <c r="A124" s="39">
        <v>124</v>
      </c>
      <c r="B124" s="40" t="s">
        <v>81</v>
      </c>
      <c r="C124" s="40" t="s">
        <v>442</v>
      </c>
      <c r="D124" s="40" t="s">
        <v>447</v>
      </c>
      <c r="E124" s="40" t="s">
        <v>621</v>
      </c>
      <c r="F124" s="41" t="s">
        <v>662</v>
      </c>
      <c r="G124" s="42" t="s">
        <v>10</v>
      </c>
      <c r="H124" s="42" t="s">
        <v>10</v>
      </c>
      <c r="I124" s="42" t="s">
        <v>10</v>
      </c>
      <c r="J124" s="42" t="s">
        <v>10</v>
      </c>
      <c r="K124" s="42" t="s">
        <v>10</v>
      </c>
      <c r="L124" s="43" t="str">
        <f t="shared" si="207"/>
        <v>Espacialidade</v>
      </c>
      <c r="M124" s="43" t="str">
        <f t="shared" si="207"/>
        <v>Elementos.Espaciais</v>
      </c>
      <c r="N124" s="43" t="str">
        <f t="shared" si="19"/>
        <v>Ambientes Industriais</v>
      </c>
      <c r="O124" s="43" t="str">
        <f t="shared" si="19"/>
        <v>Oficina de Pintura</v>
      </c>
      <c r="P124" s="61" t="s">
        <v>663</v>
      </c>
      <c r="Q124" s="44" t="str">
        <f t="shared" si="153"/>
        <v>Espacio industrial de tamaño y equipamiento como taller de pintura de productos de tamaño medio o bajo (muebles, equipos, vehículos pequeños, etc.). Se prepara para su ensamblaje.</v>
      </c>
      <c r="R124" s="45" t="s">
        <v>10</v>
      </c>
      <c r="S124" s="46" t="str">
        <f t="shared" si="71"/>
        <v>Espacialidade</v>
      </c>
      <c r="T124" s="46" t="str">
        <f t="shared" si="163"/>
        <v>Elementos Espaciais</v>
      </c>
      <c r="U124" s="46" t="str">
        <f t="shared" si="164"/>
        <v>Ambientes Industriais</v>
      </c>
      <c r="V124" s="45" t="s">
        <v>191</v>
      </c>
      <c r="W124" s="2" t="str">
        <f t="shared" si="148"/>
        <v>Key-ESP-124</v>
      </c>
      <c r="X124" s="44" t="s">
        <v>395</v>
      </c>
      <c r="Y124" s="61" t="s">
        <v>378</v>
      </c>
      <c r="Z124" s="45" t="s">
        <v>365</v>
      </c>
      <c r="AA124" s="44" t="str">
        <f t="shared" ca="1" si="241"/>
        <v>Industrial space sized and equipped as a Painting Workshop of medium or low scale goods (furniture, equipment, small vehicles, etc.). It is prepared for assembly.</v>
      </c>
    </row>
    <row r="125" spans="1:27" customFormat="1" ht="6" customHeight="1" x14ac:dyDescent="0.4">
      <c r="A125" s="39">
        <v>125</v>
      </c>
      <c r="B125" s="40" t="s">
        <v>81</v>
      </c>
      <c r="C125" s="40" t="s">
        <v>442</v>
      </c>
      <c r="D125" s="40" t="s">
        <v>622</v>
      </c>
      <c r="E125" s="40" t="s">
        <v>358</v>
      </c>
      <c r="F125" s="41" t="s">
        <v>254</v>
      </c>
      <c r="G125" s="42" t="s">
        <v>10</v>
      </c>
      <c r="H125" s="42" t="s">
        <v>10</v>
      </c>
      <c r="I125" s="42" t="s">
        <v>10</v>
      </c>
      <c r="J125" s="42" t="s">
        <v>10</v>
      </c>
      <c r="K125" s="42" t="s">
        <v>10</v>
      </c>
      <c r="L125" s="43" t="str">
        <f t="shared" ref="L125:L127" si="252">CONCATENATE("", C125)</f>
        <v>Espacialidade</v>
      </c>
      <c r="M125" s="43" t="str">
        <f t="shared" ref="M125:M127" si="253">CONCATENATE("", D125)</f>
        <v>Elementos.Englobantes</v>
      </c>
      <c r="N125" s="43" t="str">
        <f t="shared" ref="N125:N127" si="254">(SUBSTITUTE(SUBSTITUTE(CONCATENATE("",E125),"."," ")," De "," de "))</f>
        <v>Unidades Autônomas</v>
      </c>
      <c r="O125" s="43" t="str">
        <f t="shared" ref="O125:O127" si="255">(SUBSTITUTE(SUBSTITUTE(CONCATENATE("",F125),"."," ")," De "," de "))</f>
        <v>Apartamento</v>
      </c>
      <c r="P125" s="44" t="s">
        <v>524</v>
      </c>
      <c r="Q125" s="44" t="str">
        <f t="shared" ref="Q125:Q127" si="256">_xlfn.TRANSLATE(P125,"pt","es")</f>
        <v>Representa un edificio residencial de apartamentos.</v>
      </c>
      <c r="R125" s="45" t="s">
        <v>10</v>
      </c>
      <c r="S125" s="46" t="str">
        <f t="shared" ref="S125:S127" si="257">SUBSTITUTE(C125, ".", " ")</f>
        <v>Espacialidade</v>
      </c>
      <c r="T125" s="46" t="str">
        <f t="shared" ref="T125:T127" si="258">SUBSTITUTE(D125, ".", " ")</f>
        <v>Elementos Englobantes</v>
      </c>
      <c r="U125" s="46" t="str">
        <f t="shared" ref="U125:U127" si="259">SUBSTITUTE(E125, ".", " ")</f>
        <v>Unidades Autônomas</v>
      </c>
      <c r="V125" s="45" t="s">
        <v>191</v>
      </c>
      <c r="W125" s="2" t="str">
        <f t="shared" ref="W125:W127" si="260">CONCATENATE("Key-ESP-",A125)</f>
        <v>Key-ESP-125</v>
      </c>
      <c r="X125" s="44" t="s">
        <v>544</v>
      </c>
      <c r="Y125" s="61" t="s">
        <v>379</v>
      </c>
      <c r="Z125" s="45" t="s">
        <v>365</v>
      </c>
      <c r="AA125" s="44" t="str">
        <f t="shared" ref="AA125:AA127" si="261">_xlfn.TRANSLATE(P125,"pt","en")</f>
        <v>Represents an Apartment of residential building.</v>
      </c>
    </row>
    <row r="126" spans="1:27" customFormat="1" ht="6" customHeight="1" x14ac:dyDescent="0.4">
      <c r="A126" s="39">
        <v>126</v>
      </c>
      <c r="B126" s="40" t="s">
        <v>81</v>
      </c>
      <c r="C126" s="40" t="s">
        <v>442</v>
      </c>
      <c r="D126" s="40" t="s">
        <v>622</v>
      </c>
      <c r="E126" s="40" t="s">
        <v>358</v>
      </c>
      <c r="F126" s="41" t="s">
        <v>540</v>
      </c>
      <c r="G126" s="42" t="s">
        <v>10</v>
      </c>
      <c r="H126" s="42" t="s">
        <v>10</v>
      </c>
      <c r="I126" s="42" t="s">
        <v>10</v>
      </c>
      <c r="J126" s="42" t="s">
        <v>10</v>
      </c>
      <c r="K126" s="42" t="s">
        <v>10</v>
      </c>
      <c r="L126" s="43" t="str">
        <f t="shared" ref="L126" si="262">CONCATENATE("", C126)</f>
        <v>Espacialidade</v>
      </c>
      <c r="M126" s="43" t="str">
        <f t="shared" ref="M126" si="263">CONCATENATE("", D126)</f>
        <v>Elementos.Englobantes</v>
      </c>
      <c r="N126" s="43" t="str">
        <f t="shared" ref="N126" si="264">(SUBSTITUTE(SUBSTITUTE(CONCATENATE("",E126),"."," ")," De "," de "))</f>
        <v>Unidades Autônomas</v>
      </c>
      <c r="O126" s="43" t="str">
        <f t="shared" ref="O126" si="265">(SUBSTITUTE(SUBSTITUTE(CONCATENATE("",F126),"."," ")," De "," de "))</f>
        <v>Divisão</v>
      </c>
      <c r="P126" s="44" t="s">
        <v>542</v>
      </c>
      <c r="Q126" s="44" t="str">
        <f t="shared" ref="Q126" si="266">_xlfn.TRANSLATE(P126,"pt","es")</f>
        <v>Representa una división administrativa y funcional de un edificio institucional.</v>
      </c>
      <c r="R126" s="45" t="s">
        <v>10</v>
      </c>
      <c r="S126" s="46" t="str">
        <f t="shared" ref="S126" si="267">SUBSTITUTE(C126, ".", " ")</f>
        <v>Espacialidade</v>
      </c>
      <c r="T126" s="46" t="str">
        <f t="shared" ref="T126" si="268">SUBSTITUTE(D126, ".", " ")</f>
        <v>Elementos Englobantes</v>
      </c>
      <c r="U126" s="46" t="str">
        <f t="shared" ref="U126" si="269">SUBSTITUTE(E126, ".", " ")</f>
        <v>Unidades Autônomas</v>
      </c>
      <c r="V126" s="45" t="s">
        <v>191</v>
      </c>
      <c r="W126" s="2" t="str">
        <f t="shared" ref="W126" si="270">CONCATENATE("Key-ESP-",A126)</f>
        <v>Key-ESP-126</v>
      </c>
      <c r="X126" s="44" t="s">
        <v>544</v>
      </c>
      <c r="Y126" s="61" t="s">
        <v>379</v>
      </c>
      <c r="Z126" s="45" t="s">
        <v>365</v>
      </c>
      <c r="AA126" s="44" t="str">
        <f t="shared" ref="AA126" si="271">_xlfn.TRANSLATE(P126,"pt","en")</f>
        <v>It represents an administrative functional division of an institutional building.</v>
      </c>
    </row>
    <row r="127" spans="1:27" customFormat="1" ht="6" customHeight="1" x14ac:dyDescent="0.4">
      <c r="A127" s="39">
        <v>127</v>
      </c>
      <c r="B127" s="40" t="s">
        <v>81</v>
      </c>
      <c r="C127" s="40" t="s">
        <v>442</v>
      </c>
      <c r="D127" s="40" t="s">
        <v>622</v>
      </c>
      <c r="E127" s="40" t="s">
        <v>358</v>
      </c>
      <c r="F127" s="41" t="s">
        <v>539</v>
      </c>
      <c r="G127" s="42" t="s">
        <v>10</v>
      </c>
      <c r="H127" s="42" t="s">
        <v>10</v>
      </c>
      <c r="I127" s="42" t="s">
        <v>10</v>
      </c>
      <c r="J127" s="42" t="s">
        <v>10</v>
      </c>
      <c r="K127" s="42" t="s">
        <v>10</v>
      </c>
      <c r="L127" s="43" t="str">
        <f t="shared" si="252"/>
        <v>Espacialidade</v>
      </c>
      <c r="M127" s="43" t="str">
        <f t="shared" si="253"/>
        <v>Elementos.Englobantes</v>
      </c>
      <c r="N127" s="43" t="str">
        <f t="shared" si="254"/>
        <v>Unidades Autônomas</v>
      </c>
      <c r="O127" s="43" t="str">
        <f t="shared" si="255"/>
        <v>Departamento</v>
      </c>
      <c r="P127" s="44" t="s">
        <v>543</v>
      </c>
      <c r="Q127" s="44" t="str">
        <f t="shared" si="256"/>
        <v>Representa un departamento administrativo funcional de un edificio institucional.</v>
      </c>
      <c r="R127" s="45" t="s">
        <v>10</v>
      </c>
      <c r="S127" s="46" t="str">
        <f t="shared" si="257"/>
        <v>Espacialidade</v>
      </c>
      <c r="T127" s="46" t="str">
        <f t="shared" si="258"/>
        <v>Elementos Englobantes</v>
      </c>
      <c r="U127" s="46" t="str">
        <f t="shared" si="259"/>
        <v>Unidades Autônomas</v>
      </c>
      <c r="V127" s="45" t="s">
        <v>191</v>
      </c>
      <c r="W127" s="2" t="str">
        <f t="shared" si="260"/>
        <v>Key-ESP-127</v>
      </c>
      <c r="X127" s="44" t="s">
        <v>544</v>
      </c>
      <c r="Y127" s="61" t="s">
        <v>379</v>
      </c>
      <c r="Z127" s="45" t="s">
        <v>365</v>
      </c>
      <c r="AA127" s="44" t="str">
        <f t="shared" si="261"/>
        <v>Represents an administrative functional department of an institutional building.</v>
      </c>
    </row>
    <row r="128" spans="1:27" customFormat="1" ht="6" customHeight="1" x14ac:dyDescent="0.4">
      <c r="A128" s="39">
        <v>128</v>
      </c>
      <c r="B128" s="40" t="s">
        <v>81</v>
      </c>
      <c r="C128" s="40" t="s">
        <v>442</v>
      </c>
      <c r="D128" s="40" t="s">
        <v>622</v>
      </c>
      <c r="E128" s="40" t="s">
        <v>358</v>
      </c>
      <c r="F128" s="41" t="s">
        <v>538</v>
      </c>
      <c r="G128" s="42" t="s">
        <v>10</v>
      </c>
      <c r="H128" s="42" t="s">
        <v>10</v>
      </c>
      <c r="I128" s="42" t="s">
        <v>10</v>
      </c>
      <c r="J128" s="42" t="s">
        <v>10</v>
      </c>
      <c r="K128" s="42" t="s">
        <v>10</v>
      </c>
      <c r="L128" s="43" t="str">
        <f t="shared" si="207"/>
        <v>Espacialidade</v>
      </c>
      <c r="M128" s="43" t="str">
        <f t="shared" si="207"/>
        <v>Elementos.Englobantes</v>
      </c>
      <c r="N128" s="43" t="str">
        <f t="shared" si="19"/>
        <v>Unidades Autônomas</v>
      </c>
      <c r="O128" s="43" t="str">
        <f t="shared" si="19"/>
        <v>Setor</v>
      </c>
      <c r="P128" s="44" t="s">
        <v>541</v>
      </c>
      <c r="Q128" s="44" t="str">
        <f t="shared" si="153"/>
        <v>Representa un sector administrativo y funcional de un edificio institucional.</v>
      </c>
      <c r="R128" s="45" t="s">
        <v>10</v>
      </c>
      <c r="S128" s="46" t="str">
        <f t="shared" si="71"/>
        <v>Espacialidade</v>
      </c>
      <c r="T128" s="46" t="str">
        <f t="shared" si="163"/>
        <v>Elementos Englobantes</v>
      </c>
      <c r="U128" s="46" t="str">
        <f t="shared" si="164"/>
        <v>Unidades Autônomas</v>
      </c>
      <c r="V128" s="45" t="s">
        <v>191</v>
      </c>
      <c r="W128" s="2" t="str">
        <f t="shared" si="148"/>
        <v>Key-ESP-128</v>
      </c>
      <c r="X128" s="44" t="s">
        <v>544</v>
      </c>
      <c r="Y128" s="61" t="s">
        <v>379</v>
      </c>
      <c r="Z128" s="45" t="s">
        <v>365</v>
      </c>
      <c r="AA128" s="44" t="str">
        <f t="shared" ca="1" si="241"/>
        <v>It represents an administrative functional sector of an institutional building.</v>
      </c>
    </row>
    <row r="129" spans="1:27" customFormat="1" ht="6" customHeight="1" x14ac:dyDescent="0.4">
      <c r="A129" s="39">
        <v>129</v>
      </c>
      <c r="B129" s="40" t="s">
        <v>81</v>
      </c>
      <c r="C129" s="40" t="s">
        <v>442</v>
      </c>
      <c r="D129" s="40" t="s">
        <v>338</v>
      </c>
      <c r="E129" s="40" t="s">
        <v>551</v>
      </c>
      <c r="F129" s="41" t="s">
        <v>545</v>
      </c>
      <c r="G129" s="42" t="s">
        <v>10</v>
      </c>
      <c r="H129" s="42" t="s">
        <v>10</v>
      </c>
      <c r="I129" s="42" t="s">
        <v>10</v>
      </c>
      <c r="J129" s="42" t="s">
        <v>10</v>
      </c>
      <c r="K129" s="42" t="s">
        <v>10</v>
      </c>
      <c r="L129" s="43" t="str">
        <f t="shared" ref="L129" si="272">CONCATENATE("", C129)</f>
        <v>Espacialidade</v>
      </c>
      <c r="M129" s="43" t="str">
        <f t="shared" ref="M129" si="273">CONCATENATE("", D129)</f>
        <v>Elementos.Prediais</v>
      </c>
      <c r="N129" s="43" t="str">
        <f t="shared" ref="N129" si="274">(SUBSTITUTE(SUBSTITUTE(CONCATENATE("",E129),"."," ")," De "," de "))</f>
        <v>Blocos Construídos</v>
      </c>
      <c r="O129" s="43" t="str">
        <f t="shared" ref="O129" si="275">(SUBSTITUTE(SUBSTITUTE(CONCATENATE("",F129),"."," ")," De "," de "))</f>
        <v>Prédio Indiferenciado</v>
      </c>
      <c r="P129" s="44" t="s">
        <v>525</v>
      </c>
      <c r="Q129" s="44" t="str">
        <f t="shared" ref="Q129" ca="1" si="276">_xlfn.TRANSLATE(P129,"pt","es")</f>
        <v>Representa un Bloque Construido que contiene otras unidades autónomas sin una función específica.</v>
      </c>
      <c r="R129" s="45" t="s">
        <v>10</v>
      </c>
      <c r="S129" s="46" t="str">
        <f t="shared" ref="S129" si="277">SUBSTITUTE(C129, ".", " ")</f>
        <v>Espacialidade</v>
      </c>
      <c r="T129" s="46" t="str">
        <f t="shared" ref="T129" si="278">SUBSTITUTE(D129, ".", " ")</f>
        <v>Elementos Prediais</v>
      </c>
      <c r="U129" s="46" t="str">
        <f t="shared" ref="U129" si="279">SUBSTITUTE(E129, ".", " ")</f>
        <v>Blocos Construídos</v>
      </c>
      <c r="V129" s="45" t="s">
        <v>191</v>
      </c>
      <c r="W129" s="2" t="str">
        <f t="shared" ref="W129" si="280">CONCATENATE("Key-ESP-",A129)</f>
        <v>Key-ESP-129</v>
      </c>
      <c r="X129" s="44" t="s">
        <v>395</v>
      </c>
      <c r="Y129" s="61" t="s">
        <v>379</v>
      </c>
      <c r="Z129" s="45" t="s">
        <v>420</v>
      </c>
      <c r="AA129" s="44" t="str">
        <f t="shared" ref="AA129" si="281">_xlfn.TRANSLATE(P129,"pt","en")</f>
        <v>It represents a Built Block that contains other autonomous units without a specific function.</v>
      </c>
    </row>
    <row r="130" spans="1:27" customFormat="1" ht="6" customHeight="1" x14ac:dyDescent="0.4">
      <c r="A130" s="39">
        <v>130</v>
      </c>
      <c r="B130" s="40" t="s">
        <v>81</v>
      </c>
      <c r="C130" s="40" t="s">
        <v>442</v>
      </c>
      <c r="D130" s="40" t="s">
        <v>338</v>
      </c>
      <c r="E130" s="40" t="s">
        <v>551</v>
      </c>
      <c r="F130" s="41" t="s">
        <v>552</v>
      </c>
      <c r="G130" s="42" t="s">
        <v>10</v>
      </c>
      <c r="H130" s="42" t="s">
        <v>10</v>
      </c>
      <c r="I130" s="42" t="s">
        <v>10</v>
      </c>
      <c r="J130" s="42" t="s">
        <v>10</v>
      </c>
      <c r="K130" s="42" t="s">
        <v>10</v>
      </c>
      <c r="L130" s="43" t="str">
        <f t="shared" si="207"/>
        <v>Espacialidade</v>
      </c>
      <c r="M130" s="43" t="str">
        <f t="shared" si="207"/>
        <v>Elementos.Prediais</v>
      </c>
      <c r="N130" s="43" t="str">
        <f t="shared" si="19"/>
        <v>Blocos Construídos</v>
      </c>
      <c r="O130" s="43" t="str">
        <f t="shared" si="19"/>
        <v>Prédio Casa</v>
      </c>
      <c r="P130" s="44" t="s">
        <v>553</v>
      </c>
      <c r="Q130" s="44" t="str">
        <f t="shared" si="153"/>
        <v>Representa un bloque construido que es una casa o unidad residencial individual.</v>
      </c>
      <c r="R130" s="45" t="s">
        <v>10</v>
      </c>
      <c r="S130" s="46" t="str">
        <f t="shared" si="71"/>
        <v>Espacialidade</v>
      </c>
      <c r="T130" s="46" t="str">
        <f t="shared" si="163"/>
        <v>Elementos Prediais</v>
      </c>
      <c r="U130" s="46" t="str">
        <f t="shared" si="164"/>
        <v>Blocos Construídos</v>
      </c>
      <c r="V130" s="45" t="s">
        <v>191</v>
      </c>
      <c r="W130" s="2" t="str">
        <f t="shared" si="148"/>
        <v>Key-ESP-130</v>
      </c>
      <c r="X130" s="44" t="s">
        <v>395</v>
      </c>
      <c r="Y130" s="61" t="s">
        <v>379</v>
      </c>
      <c r="Z130" s="45" t="s">
        <v>420</v>
      </c>
      <c r="AA130" s="44" t="str">
        <f t="shared" ca="1" si="241"/>
        <v>It represents a Built Block that is a House or Individual Residential Unit.</v>
      </c>
    </row>
    <row r="131" spans="1:27" customFormat="1" ht="6" customHeight="1" x14ac:dyDescent="0.4">
      <c r="A131" s="39">
        <v>131</v>
      </c>
      <c r="B131" s="40" t="s">
        <v>81</v>
      </c>
      <c r="C131" s="40" t="s">
        <v>442</v>
      </c>
      <c r="D131" s="40" t="s">
        <v>338</v>
      </c>
      <c r="E131" s="40" t="s">
        <v>551</v>
      </c>
      <c r="F131" s="41" t="s">
        <v>546</v>
      </c>
      <c r="G131" s="42" t="s">
        <v>10</v>
      </c>
      <c r="H131" s="42" t="s">
        <v>10</v>
      </c>
      <c r="I131" s="42" t="s">
        <v>10</v>
      </c>
      <c r="J131" s="42" t="s">
        <v>10</v>
      </c>
      <c r="K131" s="42" t="s">
        <v>10</v>
      </c>
      <c r="L131" s="43" t="str">
        <f t="shared" si="207"/>
        <v>Espacialidade</v>
      </c>
      <c r="M131" s="43" t="str">
        <f t="shared" si="207"/>
        <v>Elementos.Prediais</v>
      </c>
      <c r="N131" s="43" t="str">
        <f t="shared" si="19"/>
        <v>Blocos Construídos</v>
      </c>
      <c r="O131" s="43" t="str">
        <f t="shared" si="19"/>
        <v>Prédio Residencial</v>
      </c>
      <c r="P131" s="44" t="s">
        <v>527</v>
      </c>
      <c r="Q131" s="44" t="str">
        <f t="shared" si="153"/>
        <v>Representa un Bloque Construido que contiene otras unidades autónomas con función residencial.</v>
      </c>
      <c r="R131" s="45" t="s">
        <v>10</v>
      </c>
      <c r="S131" s="46" t="str">
        <f t="shared" si="71"/>
        <v>Espacialidade</v>
      </c>
      <c r="T131" s="46" t="str">
        <f t="shared" si="163"/>
        <v>Elementos Prediais</v>
      </c>
      <c r="U131" s="46" t="str">
        <f t="shared" si="164"/>
        <v>Blocos Construídos</v>
      </c>
      <c r="V131" s="45" t="s">
        <v>191</v>
      </c>
      <c r="W131" s="2" t="str">
        <f t="shared" si="148"/>
        <v>Key-ESP-131</v>
      </c>
      <c r="X131" s="44" t="s">
        <v>395</v>
      </c>
      <c r="Y131" s="61" t="s">
        <v>379</v>
      </c>
      <c r="Z131" s="45" t="s">
        <v>419</v>
      </c>
      <c r="AA131" s="44" t="str">
        <f t="shared" ca="1" si="241"/>
        <v>It represents a Built Block that contains other autonomous units with a residential function.</v>
      </c>
    </row>
    <row r="132" spans="1:27" customFormat="1" ht="6" customHeight="1" x14ac:dyDescent="0.4">
      <c r="A132" s="39">
        <v>132</v>
      </c>
      <c r="B132" s="40" t="s">
        <v>81</v>
      </c>
      <c r="C132" s="40" t="s">
        <v>442</v>
      </c>
      <c r="D132" s="40" t="s">
        <v>338</v>
      </c>
      <c r="E132" s="40" t="s">
        <v>551</v>
      </c>
      <c r="F132" s="41" t="s">
        <v>547</v>
      </c>
      <c r="G132" s="42" t="s">
        <v>10</v>
      </c>
      <c r="H132" s="42" t="s">
        <v>10</v>
      </c>
      <c r="I132" s="42" t="s">
        <v>10</v>
      </c>
      <c r="J132" s="42" t="s">
        <v>10</v>
      </c>
      <c r="K132" s="42" t="s">
        <v>10</v>
      </c>
      <c r="L132" s="43" t="str">
        <f t="shared" ref="L132:L134" si="282">CONCATENATE("", C132)</f>
        <v>Espacialidade</v>
      </c>
      <c r="M132" s="43" t="str">
        <f t="shared" ref="M132:M134" si="283">CONCATENATE("", D132)</f>
        <v>Elementos.Prediais</v>
      </c>
      <c r="N132" s="43" t="str">
        <f t="shared" ref="N132:N134" si="284">(SUBSTITUTE(SUBSTITUTE(CONCATENATE("",E132),"."," ")," De "," de "))</f>
        <v>Blocos Construídos</v>
      </c>
      <c r="O132" s="43" t="str">
        <f t="shared" ref="O132:O134" si="285">(SUBSTITUTE(SUBSTITUTE(CONCATENATE("",F132),"."," ")," De "," de "))</f>
        <v>Prédio Educativo</v>
      </c>
      <c r="P132" s="44" t="s">
        <v>526</v>
      </c>
      <c r="Q132" s="44" t="str">
        <f t="shared" ca="1" si="153"/>
        <v>Representa un bloque construido de una unidad educativa.</v>
      </c>
      <c r="R132" s="45" t="s">
        <v>10</v>
      </c>
      <c r="S132" s="46" t="str">
        <f t="shared" ref="S132:S134" si="286">SUBSTITUTE(C132, ".", " ")</f>
        <v>Espacialidade</v>
      </c>
      <c r="T132" s="46" t="str">
        <f t="shared" ref="T132:T134" si="287">SUBSTITUTE(D132, ".", " ")</f>
        <v>Elementos Prediais</v>
      </c>
      <c r="U132" s="46" t="str">
        <f t="shared" ref="U132:U134" si="288">SUBSTITUTE(E132, ".", " ")</f>
        <v>Blocos Construídos</v>
      </c>
      <c r="V132" s="45" t="s">
        <v>191</v>
      </c>
      <c r="W132" s="2" t="str">
        <f t="shared" si="148"/>
        <v>Key-ESP-132</v>
      </c>
      <c r="X132" s="44" t="s">
        <v>395</v>
      </c>
      <c r="Y132" s="61" t="s">
        <v>379</v>
      </c>
      <c r="Z132" s="45" t="s">
        <v>417</v>
      </c>
      <c r="AA132" s="44" t="str">
        <f t="shared" ref="AA132:AA134" ca="1" si="289">_xlfn.TRANSLATE(P132,"pt","en")</f>
        <v>It represents a Built Block of an Educational Unit.</v>
      </c>
    </row>
    <row r="133" spans="1:27" customFormat="1" ht="6" customHeight="1" x14ac:dyDescent="0.4">
      <c r="A133" s="39">
        <v>133</v>
      </c>
      <c r="B133" s="40" t="s">
        <v>81</v>
      </c>
      <c r="C133" s="40" t="s">
        <v>442</v>
      </c>
      <c r="D133" s="40" t="s">
        <v>338</v>
      </c>
      <c r="E133" s="40" t="s">
        <v>551</v>
      </c>
      <c r="F133" s="41" t="s">
        <v>548</v>
      </c>
      <c r="G133" s="42" t="s">
        <v>10</v>
      </c>
      <c r="H133" s="42" t="s">
        <v>10</v>
      </c>
      <c r="I133" s="42" t="s">
        <v>10</v>
      </c>
      <c r="J133" s="42" t="s">
        <v>10</v>
      </c>
      <c r="K133" s="42" t="s">
        <v>10</v>
      </c>
      <c r="L133" s="43" t="str">
        <f t="shared" si="282"/>
        <v>Espacialidade</v>
      </c>
      <c r="M133" s="43" t="str">
        <f t="shared" si="283"/>
        <v>Elementos.Prediais</v>
      </c>
      <c r="N133" s="43" t="str">
        <f t="shared" si="284"/>
        <v>Blocos Construídos</v>
      </c>
      <c r="O133" s="43" t="str">
        <f t="shared" si="285"/>
        <v>Prédio Hospital SUS</v>
      </c>
      <c r="P133" s="44" t="s">
        <v>528</v>
      </c>
      <c r="Q133" s="44" t="str">
        <f t="shared" si="153"/>
        <v>Representa un bloque construido de una unidad sanitaria de la SUS.</v>
      </c>
      <c r="R133" s="45" t="s">
        <v>10</v>
      </c>
      <c r="S133" s="46" t="str">
        <f t="shared" si="286"/>
        <v>Espacialidade</v>
      </c>
      <c r="T133" s="46" t="str">
        <f t="shared" si="287"/>
        <v>Elementos Prediais</v>
      </c>
      <c r="U133" s="46" t="str">
        <f t="shared" si="288"/>
        <v>Blocos Construídos</v>
      </c>
      <c r="V133" s="45" t="s">
        <v>191</v>
      </c>
      <c r="W133" s="2" t="str">
        <f t="shared" si="148"/>
        <v>Key-ESP-133</v>
      </c>
      <c r="X133" s="44" t="s">
        <v>395</v>
      </c>
      <c r="Y133" s="61" t="s">
        <v>379</v>
      </c>
      <c r="Z133" s="45" t="s">
        <v>418</v>
      </c>
      <c r="AA133" s="44" t="str">
        <f t="shared" ca="1" si="289"/>
        <v>It represents a Built Block of a SUS Health Unit.</v>
      </c>
    </row>
    <row r="134" spans="1:27" customFormat="1" ht="6" customHeight="1" x14ac:dyDescent="0.4">
      <c r="A134" s="39">
        <v>134</v>
      </c>
      <c r="B134" s="40" t="s">
        <v>81</v>
      </c>
      <c r="C134" s="40" t="s">
        <v>442</v>
      </c>
      <c r="D134" s="40" t="s">
        <v>338</v>
      </c>
      <c r="E134" s="40" t="s">
        <v>551</v>
      </c>
      <c r="F134" s="41" t="s">
        <v>549</v>
      </c>
      <c r="G134" s="42" t="s">
        <v>10</v>
      </c>
      <c r="H134" s="42" t="s">
        <v>10</v>
      </c>
      <c r="I134" s="42" t="s">
        <v>10</v>
      </c>
      <c r="J134" s="42" t="s">
        <v>10</v>
      </c>
      <c r="K134" s="42" t="s">
        <v>10</v>
      </c>
      <c r="L134" s="43" t="str">
        <f t="shared" si="282"/>
        <v>Espacialidade</v>
      </c>
      <c r="M134" s="43" t="str">
        <f t="shared" si="283"/>
        <v>Elementos.Prediais</v>
      </c>
      <c r="N134" s="43" t="str">
        <f t="shared" si="284"/>
        <v>Blocos Construídos</v>
      </c>
      <c r="O134" s="43" t="str">
        <f t="shared" si="285"/>
        <v>Prédio Hospital Privado</v>
      </c>
      <c r="P134" s="44" t="s">
        <v>529</v>
      </c>
      <c r="Q134" s="44" t="str">
        <f t="shared" si="153"/>
        <v>Representa un bloque construido de una unidad sanitaria de la red privada.</v>
      </c>
      <c r="R134" s="45" t="s">
        <v>10</v>
      </c>
      <c r="S134" s="46" t="str">
        <f t="shared" si="286"/>
        <v>Espacialidade</v>
      </c>
      <c r="T134" s="46" t="str">
        <f t="shared" si="287"/>
        <v>Elementos Prediais</v>
      </c>
      <c r="U134" s="46" t="str">
        <f t="shared" si="288"/>
        <v>Blocos Construídos</v>
      </c>
      <c r="V134" s="45" t="s">
        <v>191</v>
      </c>
      <c r="W134" s="2" t="str">
        <f t="shared" si="148"/>
        <v>Key-ESP-134</v>
      </c>
      <c r="X134" s="44" t="s">
        <v>395</v>
      </c>
      <c r="Y134" s="61" t="s">
        <v>379</v>
      </c>
      <c r="Z134" s="45" t="s">
        <v>418</v>
      </c>
      <c r="AA134" s="44" t="str">
        <f t="shared" ca="1" si="289"/>
        <v>It represents a Built Block of a Health Unit of the Private Network.</v>
      </c>
    </row>
    <row r="135" spans="1:27" customFormat="1" ht="6" customHeight="1" x14ac:dyDescent="0.4">
      <c r="A135" s="39">
        <v>135</v>
      </c>
      <c r="B135" s="40" t="s">
        <v>81</v>
      </c>
      <c r="C135" s="40" t="s">
        <v>442</v>
      </c>
      <c r="D135" s="40" t="s">
        <v>338</v>
      </c>
      <c r="E135" s="40" t="s">
        <v>551</v>
      </c>
      <c r="F135" s="41" t="s">
        <v>550</v>
      </c>
      <c r="G135" s="42" t="s">
        <v>10</v>
      </c>
      <c r="H135" s="42" t="s">
        <v>10</v>
      </c>
      <c r="I135" s="42" t="s">
        <v>10</v>
      </c>
      <c r="J135" s="42" t="s">
        <v>10</v>
      </c>
      <c r="K135" s="42" t="s">
        <v>10</v>
      </c>
      <c r="L135" s="43" t="str">
        <f t="shared" si="207"/>
        <v>Espacialidade</v>
      </c>
      <c r="M135" s="43" t="str">
        <f t="shared" si="207"/>
        <v>Elementos.Prediais</v>
      </c>
      <c r="N135" s="43" t="str">
        <f t="shared" si="19"/>
        <v>Blocos Construídos</v>
      </c>
      <c r="O135" s="43" t="str">
        <f t="shared" si="19"/>
        <v>Prédio Hospital Conveniado</v>
      </c>
      <c r="P135" s="44" t="s">
        <v>530</v>
      </c>
      <c r="Q135" s="44" t="str">
        <f t="shared" si="153"/>
        <v>Representa un bloque construido de una unidad sanitaria de la Red Privada contratada con el SUS.</v>
      </c>
      <c r="R135" s="45" t="s">
        <v>10</v>
      </c>
      <c r="S135" s="46" t="str">
        <f t="shared" si="71"/>
        <v>Espacialidade</v>
      </c>
      <c r="T135" s="46" t="str">
        <f t="shared" si="163"/>
        <v>Elementos Prediais</v>
      </c>
      <c r="U135" s="46" t="str">
        <f t="shared" si="164"/>
        <v>Blocos Construídos</v>
      </c>
      <c r="V135" s="45" t="s">
        <v>191</v>
      </c>
      <c r="W135" s="2" t="str">
        <f t="shared" si="148"/>
        <v>Key-ESP-135</v>
      </c>
      <c r="X135" s="44" t="s">
        <v>395</v>
      </c>
      <c r="Y135" s="61" t="s">
        <v>379</v>
      </c>
      <c r="Z135" s="45" t="s">
        <v>418</v>
      </c>
      <c r="AA135" s="44" t="str">
        <f t="shared" ca="1" si="241"/>
        <v>It represents a Built Block of a Health Unit of the Private Network contracted with the SUS.</v>
      </c>
    </row>
    <row r="136" spans="1:27" customFormat="1" ht="6" customHeight="1" x14ac:dyDescent="0.4">
      <c r="A136" s="39">
        <v>136</v>
      </c>
      <c r="B136" s="40" t="s">
        <v>81</v>
      </c>
      <c r="C136" s="40" t="s">
        <v>442</v>
      </c>
      <c r="D136" s="40" t="s">
        <v>397</v>
      </c>
      <c r="E136" s="40" t="s">
        <v>255</v>
      </c>
      <c r="F136" s="41" t="s">
        <v>398</v>
      </c>
      <c r="G136" s="42" t="s">
        <v>10</v>
      </c>
      <c r="H136" s="42" t="s">
        <v>10</v>
      </c>
      <c r="I136" s="42" t="s">
        <v>10</v>
      </c>
      <c r="J136" s="42" t="s">
        <v>10</v>
      </c>
      <c r="K136" s="42" t="s">
        <v>10</v>
      </c>
      <c r="L136" s="43" t="str">
        <f t="shared" si="207"/>
        <v>Espacialidade</v>
      </c>
      <c r="M136" s="43" t="str">
        <f t="shared" si="207"/>
        <v>Elementos.Zonais</v>
      </c>
      <c r="N136" s="43" t="str">
        <f t="shared" si="19"/>
        <v>Zonas Construtivas</v>
      </c>
      <c r="O136" s="43" t="str">
        <f t="shared" si="19"/>
        <v>Zona Definida</v>
      </c>
      <c r="P136" s="44" t="s">
        <v>256</v>
      </c>
      <c r="Q136" s="44" t="str">
        <f t="shared" si="153"/>
        <v>La zona espacial es una descomposición no jerárquica y potencialmente superpuesta del proyecto bajo alguna condición.</v>
      </c>
      <c r="R136" s="45" t="s">
        <v>10</v>
      </c>
      <c r="S136" s="46" t="str">
        <f t="shared" si="71"/>
        <v>Espacialidade</v>
      </c>
      <c r="T136" s="46" t="str">
        <f t="shared" si="163"/>
        <v>Elementos Zonais</v>
      </c>
      <c r="U136" s="46" t="str">
        <f t="shared" si="164"/>
        <v>Zonas Construtivas</v>
      </c>
      <c r="V136" s="45" t="s">
        <v>191</v>
      </c>
      <c r="W136" s="2" t="str">
        <f t="shared" si="148"/>
        <v>Key-ESP-136</v>
      </c>
      <c r="X136" s="44" t="s">
        <v>396</v>
      </c>
      <c r="Y136" s="61" t="s">
        <v>380</v>
      </c>
      <c r="Z136" s="45" t="s">
        <v>365</v>
      </c>
      <c r="AA136" s="44" t="str">
        <f t="shared" ca="1" si="241"/>
        <v>Spatial zone is a non-hierarchical and potentially overlapping decomposition of the project under some condition.</v>
      </c>
    </row>
    <row r="137" spans="1:27" customFormat="1" ht="6" customHeight="1" x14ac:dyDescent="0.4">
      <c r="A137" s="39">
        <v>137</v>
      </c>
      <c r="B137" s="40" t="s">
        <v>81</v>
      </c>
      <c r="C137" s="40" t="s">
        <v>442</v>
      </c>
      <c r="D137" s="40" t="s">
        <v>397</v>
      </c>
      <c r="E137" s="40" t="s">
        <v>255</v>
      </c>
      <c r="F137" s="41" t="s">
        <v>257</v>
      </c>
      <c r="G137" s="42" t="s">
        <v>10</v>
      </c>
      <c r="H137" s="42" t="s">
        <v>10</v>
      </c>
      <c r="I137" s="42" t="s">
        <v>10</v>
      </c>
      <c r="J137" s="42" t="s">
        <v>10</v>
      </c>
      <c r="K137" s="42" t="s">
        <v>10</v>
      </c>
      <c r="L137" s="43" t="str">
        <f t="shared" si="207"/>
        <v>Espacialidade</v>
      </c>
      <c r="M137" s="43" t="str">
        <f t="shared" si="207"/>
        <v>Elementos.Zonais</v>
      </c>
      <c r="N137" s="43" t="str">
        <f t="shared" si="19"/>
        <v>Zonas Construtivas</v>
      </c>
      <c r="O137" s="43" t="str">
        <f t="shared" si="19"/>
        <v>Zona de Construção</v>
      </c>
      <c r="P137" s="44" t="s">
        <v>258</v>
      </c>
      <c r="Q137" s="44" t="str">
        <f t="shared" si="153"/>
        <v>La zona espacial se utiliza para representar una zona de construcción para el proceso de fabricación.</v>
      </c>
      <c r="R137" s="45" t="s">
        <v>10</v>
      </c>
      <c r="S137" s="46" t="str">
        <f t="shared" si="71"/>
        <v>Espacialidade</v>
      </c>
      <c r="T137" s="46" t="str">
        <f t="shared" si="163"/>
        <v>Elementos Zonais</v>
      </c>
      <c r="U137" s="46" t="str">
        <f t="shared" si="164"/>
        <v>Zonas Construtivas</v>
      </c>
      <c r="V137" s="45" t="s">
        <v>191</v>
      </c>
      <c r="W137" s="2" t="str">
        <f t="shared" si="148"/>
        <v>Key-ESP-137</v>
      </c>
      <c r="X137" s="44" t="s">
        <v>396</v>
      </c>
      <c r="Y137" s="61" t="s">
        <v>381</v>
      </c>
      <c r="Z137" s="45" t="s">
        <v>365</v>
      </c>
      <c r="AA137" s="44" t="str">
        <f t="shared" ca="1" si="241"/>
        <v>Space zone is used to represent a construction zone for the manufacturing process.</v>
      </c>
    </row>
    <row r="138" spans="1:27" customFormat="1" ht="6" customHeight="1" x14ac:dyDescent="0.4">
      <c r="A138" s="39">
        <v>138</v>
      </c>
      <c r="B138" s="40" t="s">
        <v>81</v>
      </c>
      <c r="C138" s="40" t="s">
        <v>442</v>
      </c>
      <c r="D138" s="40" t="s">
        <v>397</v>
      </c>
      <c r="E138" s="40" t="s">
        <v>255</v>
      </c>
      <c r="F138" s="41" t="s">
        <v>259</v>
      </c>
      <c r="G138" s="42" t="s">
        <v>10</v>
      </c>
      <c r="H138" s="42" t="s">
        <v>10</v>
      </c>
      <c r="I138" s="42" t="s">
        <v>10</v>
      </c>
      <c r="J138" s="42" t="s">
        <v>10</v>
      </c>
      <c r="K138" s="42" t="s">
        <v>10</v>
      </c>
      <c r="L138" s="43" t="str">
        <f t="shared" si="207"/>
        <v>Espacialidade</v>
      </c>
      <c r="M138" s="43" t="str">
        <f t="shared" si="207"/>
        <v>Elementos.Zonais</v>
      </c>
      <c r="N138" s="43" t="str">
        <f t="shared" si="19"/>
        <v>Zonas Construtivas</v>
      </c>
      <c r="O138" s="43" t="str">
        <f t="shared" si="19"/>
        <v>Zona de Interferência</v>
      </c>
      <c r="P138" s="44" t="s">
        <v>260</v>
      </c>
      <c r="Q138" s="44" t="str">
        <f t="shared" si="153"/>
        <v>La zona espacial se utiliza para definir una interferencia entre ocurrencias de Ifcspatialelement.</v>
      </c>
      <c r="R138" s="45" t="s">
        <v>10</v>
      </c>
      <c r="S138" s="46" t="str">
        <f t="shared" si="71"/>
        <v>Espacialidade</v>
      </c>
      <c r="T138" s="46" t="str">
        <f t="shared" si="163"/>
        <v>Elementos Zonais</v>
      </c>
      <c r="U138" s="46" t="str">
        <f t="shared" si="164"/>
        <v>Zonas Construtivas</v>
      </c>
      <c r="V138" s="45" t="s">
        <v>191</v>
      </c>
      <c r="W138" s="2" t="str">
        <f t="shared" si="148"/>
        <v>Key-ESP-138</v>
      </c>
      <c r="X138" s="44" t="s">
        <v>396</v>
      </c>
      <c r="Y138" s="61" t="s">
        <v>382</v>
      </c>
      <c r="Z138" s="45" t="s">
        <v>365</v>
      </c>
      <c r="AA138" s="44" t="str">
        <f t="shared" ca="1" si="241"/>
        <v>Spatial zone is used to define an interference between occurrences of Ifcspatialelement.</v>
      </c>
    </row>
    <row r="139" spans="1:27" customFormat="1" ht="6" customHeight="1" x14ac:dyDescent="0.4">
      <c r="A139" s="39">
        <v>139</v>
      </c>
      <c r="B139" s="40" t="s">
        <v>81</v>
      </c>
      <c r="C139" s="40" t="s">
        <v>442</v>
      </c>
      <c r="D139" s="40" t="s">
        <v>397</v>
      </c>
      <c r="E139" s="40" t="s">
        <v>255</v>
      </c>
      <c r="F139" s="41" t="s">
        <v>261</v>
      </c>
      <c r="G139" s="42" t="s">
        <v>10</v>
      </c>
      <c r="H139" s="42" t="s">
        <v>10</v>
      </c>
      <c r="I139" s="42" t="s">
        <v>10</v>
      </c>
      <c r="J139" s="42" t="s">
        <v>10</v>
      </c>
      <c r="K139" s="42" t="s">
        <v>10</v>
      </c>
      <c r="L139" s="43" t="str">
        <f t="shared" si="207"/>
        <v>Espacialidade</v>
      </c>
      <c r="M139" s="43" t="str">
        <f t="shared" si="207"/>
        <v>Elementos.Zonais</v>
      </c>
      <c r="N139" s="43" t="str">
        <f t="shared" si="19"/>
        <v>Zonas Construtivas</v>
      </c>
      <c r="O139" s="43" t="str">
        <f t="shared" si="19"/>
        <v>Zona de Ocupação</v>
      </c>
      <c r="P139" s="44" t="s">
        <v>262</v>
      </c>
      <c r="Q139" s="44" t="str">
        <f t="shared" si="153"/>
        <v>La zona espacial se utiliza para representar una zona de ocupación particular.</v>
      </c>
      <c r="R139" s="45" t="s">
        <v>10</v>
      </c>
      <c r="S139" s="46" t="str">
        <f t="shared" si="71"/>
        <v>Espacialidade</v>
      </c>
      <c r="T139" s="46" t="str">
        <f t="shared" si="163"/>
        <v>Elementos Zonais</v>
      </c>
      <c r="U139" s="46" t="str">
        <f t="shared" si="164"/>
        <v>Zonas Construtivas</v>
      </c>
      <c r="V139" s="45" t="s">
        <v>191</v>
      </c>
      <c r="W139" s="2" t="str">
        <f t="shared" si="148"/>
        <v>Key-ESP-139</v>
      </c>
      <c r="X139" s="44" t="s">
        <v>396</v>
      </c>
      <c r="Y139" s="61" t="s">
        <v>383</v>
      </c>
      <c r="Z139" s="45" t="s">
        <v>365</v>
      </c>
      <c r="AA139" s="44" t="str">
        <f t="shared" ca="1" si="241"/>
        <v>Spatial zone is used to represent a particular zone of occupation.</v>
      </c>
    </row>
    <row r="140" spans="1:27" customFormat="1" ht="6" customHeight="1" x14ac:dyDescent="0.4">
      <c r="A140" s="39">
        <v>140</v>
      </c>
      <c r="B140" s="40" t="s">
        <v>81</v>
      </c>
      <c r="C140" s="40" t="s">
        <v>442</v>
      </c>
      <c r="D140" s="40" t="s">
        <v>397</v>
      </c>
      <c r="E140" s="40" t="s">
        <v>255</v>
      </c>
      <c r="F140" s="41" t="s">
        <v>263</v>
      </c>
      <c r="G140" s="42" t="s">
        <v>10</v>
      </c>
      <c r="H140" s="42" t="s">
        <v>10</v>
      </c>
      <c r="I140" s="42" t="s">
        <v>10</v>
      </c>
      <c r="J140" s="42" t="s">
        <v>10</v>
      </c>
      <c r="K140" s="42" t="s">
        <v>10</v>
      </c>
      <c r="L140" s="43" t="str">
        <f t="shared" si="207"/>
        <v>Espacialidade</v>
      </c>
      <c r="M140" s="43" t="str">
        <f t="shared" si="207"/>
        <v>Elementos.Zonais</v>
      </c>
      <c r="N140" s="43" t="str">
        <f t="shared" si="19"/>
        <v>Zonas Construtivas</v>
      </c>
      <c r="O140" s="43" t="str">
        <f t="shared" si="19"/>
        <v>Zona de Reserva</v>
      </c>
      <c r="P140" s="44" t="s">
        <v>264</v>
      </c>
      <c r="Q140" s="44" t="str">
        <f t="shared" si="153"/>
        <v>Una zona espacial que representa algún tipo de reserva dentro del proyecto para uso futuro.</v>
      </c>
      <c r="R140" s="45" t="s">
        <v>10</v>
      </c>
      <c r="S140" s="46" t="str">
        <f t="shared" ref="S140:S147" si="290">SUBSTITUTE(C140, ".", " ")</f>
        <v>Espacialidade</v>
      </c>
      <c r="T140" s="46" t="str">
        <f t="shared" si="163"/>
        <v>Elementos Zonais</v>
      </c>
      <c r="U140" s="46" t="str">
        <f t="shared" si="164"/>
        <v>Zonas Construtivas</v>
      </c>
      <c r="V140" s="45" t="s">
        <v>191</v>
      </c>
      <c r="W140" s="2" t="str">
        <f t="shared" si="148"/>
        <v>Key-ESP-140</v>
      </c>
      <c r="X140" s="44" t="s">
        <v>396</v>
      </c>
      <c r="Y140" s="61" t="s">
        <v>384</v>
      </c>
      <c r="Z140" s="45" t="s">
        <v>365</v>
      </c>
      <c r="AA140" s="44" t="str">
        <f t="shared" ca="1" si="241"/>
        <v>A spatial zone that represents some type of reserve within the project for future use.</v>
      </c>
    </row>
    <row r="141" spans="1:27" customFormat="1" ht="6" customHeight="1" x14ac:dyDescent="0.4">
      <c r="A141" s="39">
        <v>141</v>
      </c>
      <c r="B141" s="40" t="s">
        <v>81</v>
      </c>
      <c r="C141" s="40" t="s">
        <v>442</v>
      </c>
      <c r="D141" s="40" t="s">
        <v>397</v>
      </c>
      <c r="E141" s="40" t="s">
        <v>255</v>
      </c>
      <c r="F141" s="41" t="s">
        <v>265</v>
      </c>
      <c r="G141" s="42" t="s">
        <v>10</v>
      </c>
      <c r="H141" s="42" t="s">
        <v>10</v>
      </c>
      <c r="I141" s="42" t="s">
        <v>10</v>
      </c>
      <c r="J141" s="42" t="s">
        <v>10</v>
      </c>
      <c r="K141" s="42" t="s">
        <v>10</v>
      </c>
      <c r="L141" s="43" t="str">
        <f t="shared" si="207"/>
        <v>Espacialidade</v>
      </c>
      <c r="M141" s="43" t="str">
        <f t="shared" si="207"/>
        <v>Elementos.Zonais</v>
      </c>
      <c r="N141" s="43" t="str">
        <f t="shared" si="19"/>
        <v>Zonas Construtivas</v>
      </c>
      <c r="O141" s="43" t="str">
        <f t="shared" si="19"/>
        <v>Zona de Transporte</v>
      </c>
      <c r="P141" s="44" t="s">
        <v>266</v>
      </c>
      <c r="Q141" s="44" t="str">
        <f t="shared" si="153"/>
        <v>La zona espacial se utiliza para representar un área dedicada principalmente a la circulación de personas o vehículos.</v>
      </c>
      <c r="R141" s="45" t="s">
        <v>10</v>
      </c>
      <c r="S141" s="46" t="str">
        <f t="shared" si="290"/>
        <v>Espacialidade</v>
      </c>
      <c r="T141" s="46" t="str">
        <f t="shared" si="163"/>
        <v>Elementos Zonais</v>
      </c>
      <c r="U141" s="46" t="str">
        <f t="shared" si="164"/>
        <v>Zonas Construtivas</v>
      </c>
      <c r="V141" s="45" t="s">
        <v>191</v>
      </c>
      <c r="W141" s="2" t="str">
        <f t="shared" si="148"/>
        <v>Key-ESP-141</v>
      </c>
      <c r="X141" s="44" t="s">
        <v>396</v>
      </c>
      <c r="Y141" s="61" t="s">
        <v>385</v>
      </c>
      <c r="Z141" s="45" t="s">
        <v>365</v>
      </c>
      <c r="AA141" s="44" t="str">
        <f t="shared" ca="1" si="241"/>
        <v>Spatial zone is used to represent an area primarily dedicated to the circulation of people or vehicles.</v>
      </c>
    </row>
    <row r="142" spans="1:27" customFormat="1" ht="6" customHeight="1" x14ac:dyDescent="0.4">
      <c r="A142" s="39">
        <v>142</v>
      </c>
      <c r="B142" s="40" t="s">
        <v>81</v>
      </c>
      <c r="C142" s="40" t="s">
        <v>442</v>
      </c>
      <c r="D142" s="40" t="s">
        <v>397</v>
      </c>
      <c r="E142" s="40" t="s">
        <v>267</v>
      </c>
      <c r="F142" s="41" t="s">
        <v>268</v>
      </c>
      <c r="G142" s="42" t="s">
        <v>10</v>
      </c>
      <c r="H142" s="42" t="s">
        <v>10</v>
      </c>
      <c r="I142" s="42" t="s">
        <v>10</v>
      </c>
      <c r="J142" s="42" t="s">
        <v>10</v>
      </c>
      <c r="K142" s="42" t="s">
        <v>10</v>
      </c>
      <c r="L142" s="43" t="str">
        <f t="shared" si="207"/>
        <v>Espacialidade</v>
      </c>
      <c r="M142" s="43" t="str">
        <f t="shared" si="207"/>
        <v>Elementos.Zonais</v>
      </c>
      <c r="N142" s="43" t="str">
        <f t="shared" si="19"/>
        <v>Zonas de Sistemas</v>
      </c>
      <c r="O142" s="43" t="str">
        <f t="shared" si="19"/>
        <v>Zona de Térmica</v>
      </c>
      <c r="P142" s="44" t="s">
        <v>269</v>
      </c>
      <c r="Q142" s="44" t="str">
        <f t="shared" si="153"/>
        <v>La zona espacial se utiliza para representar una zona térmica con características homogéneas.</v>
      </c>
      <c r="R142" s="45" t="s">
        <v>10</v>
      </c>
      <c r="S142" s="46" t="str">
        <f t="shared" si="290"/>
        <v>Espacialidade</v>
      </c>
      <c r="T142" s="46" t="str">
        <f t="shared" si="163"/>
        <v>Elementos Zonais</v>
      </c>
      <c r="U142" s="46" t="str">
        <f t="shared" si="164"/>
        <v>Zonas de Sistemas</v>
      </c>
      <c r="V142" s="45" t="s">
        <v>191</v>
      </c>
      <c r="W142" s="2" t="str">
        <f t="shared" si="148"/>
        <v>Key-ESP-142</v>
      </c>
      <c r="X142" s="44" t="s">
        <v>396</v>
      </c>
      <c r="Y142" s="61" t="s">
        <v>386</v>
      </c>
      <c r="Z142" s="45" t="s">
        <v>365</v>
      </c>
      <c r="AA142" s="44" t="str">
        <f t="shared" ca="1" si="241"/>
        <v>Space zone is used to represent a thermal zone with homogeneous characteristics.</v>
      </c>
    </row>
    <row r="143" spans="1:27" customFormat="1" ht="6" customHeight="1" x14ac:dyDescent="0.4">
      <c r="A143" s="39">
        <v>143</v>
      </c>
      <c r="B143" s="40" t="s">
        <v>81</v>
      </c>
      <c r="C143" s="40" t="s">
        <v>442</v>
      </c>
      <c r="D143" s="40" t="s">
        <v>397</v>
      </c>
      <c r="E143" s="40" t="s">
        <v>267</v>
      </c>
      <c r="F143" s="41" t="s">
        <v>270</v>
      </c>
      <c r="G143" s="42" t="s">
        <v>10</v>
      </c>
      <c r="H143" s="42" t="s">
        <v>10</v>
      </c>
      <c r="I143" s="42" t="s">
        <v>10</v>
      </c>
      <c r="J143" s="42" t="s">
        <v>10</v>
      </c>
      <c r="K143" s="42" t="s">
        <v>10</v>
      </c>
      <c r="L143" s="43" t="str">
        <f t="shared" si="207"/>
        <v>Espacialidade</v>
      </c>
      <c r="M143" s="43" t="str">
        <f t="shared" si="207"/>
        <v>Elementos.Zonais</v>
      </c>
      <c r="N143" s="43" t="str">
        <f t="shared" si="19"/>
        <v>Zonas de Sistemas</v>
      </c>
      <c r="O143" s="43" t="str">
        <f t="shared" si="19"/>
        <v>Zona de Iluminação</v>
      </c>
      <c r="P143" s="44" t="s">
        <v>271</v>
      </c>
      <c r="Q143" s="44" t="str">
        <f t="shared" si="153"/>
        <v>La zona espacial se utiliza para representar una zona de iluminación; una zona de luz natural.</v>
      </c>
      <c r="R143" s="45" t="s">
        <v>10</v>
      </c>
      <c r="S143" s="46" t="str">
        <f t="shared" si="290"/>
        <v>Espacialidade</v>
      </c>
      <c r="T143" s="46" t="str">
        <f t="shared" si="163"/>
        <v>Elementos Zonais</v>
      </c>
      <c r="U143" s="46" t="str">
        <f t="shared" si="164"/>
        <v>Zonas de Sistemas</v>
      </c>
      <c r="V143" s="45" t="s">
        <v>191</v>
      </c>
      <c r="W143" s="2" t="str">
        <f t="shared" si="148"/>
        <v>Key-ESP-143</v>
      </c>
      <c r="X143" s="44" t="s">
        <v>396</v>
      </c>
      <c r="Y143" s="61" t="s">
        <v>387</v>
      </c>
      <c r="Z143" s="45" t="s">
        <v>365</v>
      </c>
      <c r="AA143" s="44" t="str">
        <f t="shared" ca="1" si="241"/>
        <v>Spatial zone is used to represent a lighting zone; a zone of natural light.</v>
      </c>
    </row>
    <row r="144" spans="1:27" customFormat="1" ht="6" customHeight="1" x14ac:dyDescent="0.4">
      <c r="A144" s="39">
        <v>144</v>
      </c>
      <c r="B144" s="40" t="s">
        <v>81</v>
      </c>
      <c r="C144" s="40" t="s">
        <v>442</v>
      </c>
      <c r="D144" s="40" t="s">
        <v>397</v>
      </c>
      <c r="E144" s="40" t="s">
        <v>267</v>
      </c>
      <c r="F144" s="41" t="s">
        <v>272</v>
      </c>
      <c r="G144" s="42" t="s">
        <v>10</v>
      </c>
      <c r="H144" s="42" t="s">
        <v>10</v>
      </c>
      <c r="I144" s="42" t="s">
        <v>10</v>
      </c>
      <c r="J144" s="42" t="s">
        <v>10</v>
      </c>
      <c r="K144" s="42" t="s">
        <v>10</v>
      </c>
      <c r="L144" s="43" t="str">
        <f t="shared" si="207"/>
        <v>Espacialidade</v>
      </c>
      <c r="M144" s="43" t="str">
        <f t="shared" si="207"/>
        <v>Elementos.Zonais</v>
      </c>
      <c r="N144" s="43" t="str">
        <f t="shared" si="19"/>
        <v>Zonas de Sistemas</v>
      </c>
      <c r="O144" s="43" t="str">
        <f t="shared" si="19"/>
        <v>Zona de Ventilação</v>
      </c>
      <c r="P144" s="44" t="s">
        <v>273</v>
      </c>
      <c r="Q144" s="44" t="str">
        <f t="shared" si="153"/>
        <v>La zona espacial se utiliza para representar una zona de ventilación.</v>
      </c>
      <c r="R144" s="45" t="s">
        <v>10</v>
      </c>
      <c r="S144" s="46" t="str">
        <f t="shared" si="290"/>
        <v>Espacialidade</v>
      </c>
      <c r="T144" s="46" t="str">
        <f t="shared" si="163"/>
        <v>Elementos Zonais</v>
      </c>
      <c r="U144" s="46" t="str">
        <f t="shared" si="164"/>
        <v>Zonas de Sistemas</v>
      </c>
      <c r="V144" s="45" t="s">
        <v>191</v>
      </c>
      <c r="W144" s="2" t="str">
        <f t="shared" si="148"/>
        <v>Key-ESP-144</v>
      </c>
      <c r="X144" s="44" t="s">
        <v>396</v>
      </c>
      <c r="Y144" s="61" t="s">
        <v>388</v>
      </c>
      <c r="Z144" s="45" t="s">
        <v>365</v>
      </c>
      <c r="AA144" s="44" t="str">
        <f t="shared" ca="1" si="241"/>
        <v>Spatial zone is used to represent a ventilation zone.</v>
      </c>
    </row>
    <row r="145" spans="1:27" customFormat="1" ht="6" customHeight="1" x14ac:dyDescent="0.4">
      <c r="A145" s="39">
        <v>145</v>
      </c>
      <c r="B145" s="40" t="s">
        <v>81</v>
      </c>
      <c r="C145" s="40" t="s">
        <v>442</v>
      </c>
      <c r="D145" s="40" t="s">
        <v>397</v>
      </c>
      <c r="E145" s="40" t="s">
        <v>274</v>
      </c>
      <c r="F145" s="41" t="s">
        <v>277</v>
      </c>
      <c r="G145" s="42" t="s">
        <v>10</v>
      </c>
      <c r="H145" s="42" t="s">
        <v>10</v>
      </c>
      <c r="I145" s="42" t="s">
        <v>10</v>
      </c>
      <c r="J145" s="42" t="s">
        <v>10</v>
      </c>
      <c r="K145" s="42" t="s">
        <v>10</v>
      </c>
      <c r="L145" s="43" t="str">
        <f t="shared" ref="L145" si="291">CONCATENATE("", C145)</f>
        <v>Espacialidade</v>
      </c>
      <c r="M145" s="43" t="str">
        <f t="shared" ref="M145" si="292">CONCATENATE("", D145)</f>
        <v>Elementos.Zonais</v>
      </c>
      <c r="N145" s="43" t="str">
        <f t="shared" ref="N145" si="293">(SUBSTITUTE(SUBSTITUTE(CONCATENATE("",E145),"."," ")," De "," de "))</f>
        <v>Zonas de Segurança</v>
      </c>
      <c r="O145" s="43" t="str">
        <f t="shared" ref="O145" si="294">(SUBSTITUTE(SUBSTITUTE(CONCATENATE("",F145),"."," ")," De "," de "))</f>
        <v>Zona de Segurança</v>
      </c>
      <c r="P145" s="44" t="s">
        <v>278</v>
      </c>
      <c r="Q145" s="44" t="str">
        <f t="shared" ref="Q145" si="295">_xlfn.TRANSLATE(P145,"pt","es")</f>
        <v>La zona espacial se utiliza para representar una zona para planificar la seguridad y el trabajo, accesos, etc.</v>
      </c>
      <c r="R145" s="45" t="s">
        <v>10</v>
      </c>
      <c r="S145" s="46" t="str">
        <f t="shared" ref="S145" si="296">SUBSTITUTE(C145, ".", " ")</f>
        <v>Espacialidade</v>
      </c>
      <c r="T145" s="46" t="str">
        <f t="shared" ref="T145" si="297">SUBSTITUTE(D145, ".", " ")</f>
        <v>Elementos Zonais</v>
      </c>
      <c r="U145" s="46" t="str">
        <f t="shared" ref="U145" si="298">SUBSTITUTE(E145, ".", " ")</f>
        <v>Zonas de Segurança</v>
      </c>
      <c r="V145" s="45" t="s">
        <v>191</v>
      </c>
      <c r="W145" s="2" t="str">
        <f t="shared" ref="W145" si="299">CONCATENATE("Key-ESP-",A145)</f>
        <v>Key-ESP-145</v>
      </c>
      <c r="X145" s="44" t="s">
        <v>396</v>
      </c>
      <c r="Y145" s="61" t="s">
        <v>390</v>
      </c>
      <c r="Z145" s="45" t="s">
        <v>365</v>
      </c>
      <c r="AA145" s="44" t="str">
        <f t="shared" ref="AA145" si="300">_xlfn.TRANSLATE(P145,"pt","en")</f>
        <v>Spatial zone is used to represent a zone for planning safety and work, accesses, etc.</v>
      </c>
    </row>
    <row r="146" spans="1:27" customFormat="1" ht="6" customHeight="1" x14ac:dyDescent="0.4">
      <c r="A146" s="39">
        <v>146</v>
      </c>
      <c r="B146" s="40" t="s">
        <v>81</v>
      </c>
      <c r="C146" s="40" t="s">
        <v>442</v>
      </c>
      <c r="D146" s="40" t="s">
        <v>397</v>
      </c>
      <c r="E146" s="40" t="s">
        <v>274</v>
      </c>
      <c r="F146" s="41" t="s">
        <v>275</v>
      </c>
      <c r="G146" s="42" t="s">
        <v>10</v>
      </c>
      <c r="H146" s="42" t="s">
        <v>10</v>
      </c>
      <c r="I146" s="42" t="s">
        <v>10</v>
      </c>
      <c r="J146" s="42" t="s">
        <v>10</v>
      </c>
      <c r="K146" s="42" t="s">
        <v>10</v>
      </c>
      <c r="L146" s="43" t="str">
        <f t="shared" si="207"/>
        <v>Espacialidade</v>
      </c>
      <c r="M146" s="43" t="str">
        <f t="shared" si="207"/>
        <v>Elementos.Zonais</v>
      </c>
      <c r="N146" s="43" t="str">
        <f t="shared" si="19"/>
        <v>Zonas de Segurança</v>
      </c>
      <c r="O146" s="43" t="str">
        <f t="shared" si="19"/>
        <v>Zona de Segurança Incêndio</v>
      </c>
      <c r="P146" s="44" t="s">
        <v>276</v>
      </c>
      <c r="Q146" s="44" t="str">
        <f t="shared" si="153"/>
        <v>La zona espacial se utiliza para representar una zona de seguridad contra incendios, o compartimento.</v>
      </c>
      <c r="R146" s="45" t="s">
        <v>10</v>
      </c>
      <c r="S146" s="46" t="str">
        <f t="shared" si="290"/>
        <v>Espacialidade</v>
      </c>
      <c r="T146" s="46" t="str">
        <f t="shared" si="163"/>
        <v>Elementos Zonais</v>
      </c>
      <c r="U146" s="46" t="str">
        <f t="shared" si="164"/>
        <v>Zonas de Segurança</v>
      </c>
      <c r="V146" s="45" t="s">
        <v>191</v>
      </c>
      <c r="W146" s="2" t="str">
        <f t="shared" si="148"/>
        <v>Key-ESP-146</v>
      </c>
      <c r="X146" s="44" t="s">
        <v>396</v>
      </c>
      <c r="Y146" s="61" t="s">
        <v>389</v>
      </c>
      <c r="Z146" s="45" t="s">
        <v>365</v>
      </c>
      <c r="AA146" s="44" t="str">
        <f t="shared" ca="1" si="241"/>
        <v>Space zone is used to represent a fire safety zone, or compartment.</v>
      </c>
    </row>
    <row r="147" spans="1:27" customFormat="1" ht="6" customHeight="1" x14ac:dyDescent="0.4">
      <c r="A147" s="39">
        <v>147</v>
      </c>
      <c r="B147" s="40" t="s">
        <v>81</v>
      </c>
      <c r="C147" s="40" t="s">
        <v>442</v>
      </c>
      <c r="D147" s="40" t="s">
        <v>397</v>
      </c>
      <c r="E147" s="40" t="s">
        <v>274</v>
      </c>
      <c r="F147" s="41" t="s">
        <v>673</v>
      </c>
      <c r="G147" s="42" t="s">
        <v>10</v>
      </c>
      <c r="H147" s="42" t="s">
        <v>10</v>
      </c>
      <c r="I147" s="42" t="s">
        <v>10</v>
      </c>
      <c r="J147" s="42" t="s">
        <v>10</v>
      </c>
      <c r="K147" s="47" t="s">
        <v>672</v>
      </c>
      <c r="L147" s="43" t="str">
        <f t="shared" si="207"/>
        <v>Espacialidade</v>
      </c>
      <c r="M147" s="43" t="str">
        <f t="shared" si="207"/>
        <v>Elementos.Zonais</v>
      </c>
      <c r="N147" s="43" t="str">
        <f t="shared" si="19"/>
        <v>Zonas de Segurança</v>
      </c>
      <c r="O147" s="43" t="str">
        <f t="shared" si="19"/>
        <v>Zona de Biossegurança</v>
      </c>
      <c r="P147" s="44" t="s">
        <v>674</v>
      </c>
      <c r="Q147" s="44" t="str">
        <f t="shared" ref="Q147:Q159" si="301">_xlfn.TRANSLATE(P147,"pt","es")</f>
        <v>La zona espacial se utiliza para representar una zona de bioseguridad, normalmente donde la ventilación es crítica.</v>
      </c>
      <c r="R147" s="45" t="s">
        <v>10</v>
      </c>
      <c r="S147" s="46" t="str">
        <f t="shared" si="290"/>
        <v>Espacialidade</v>
      </c>
      <c r="T147" s="46" t="str">
        <f t="shared" si="163"/>
        <v>Elementos Zonais</v>
      </c>
      <c r="U147" s="46" t="str">
        <f t="shared" si="164"/>
        <v>Zonas de Segurança</v>
      </c>
      <c r="V147" s="45" t="s">
        <v>191</v>
      </c>
      <c r="W147" s="2" t="str">
        <f t="shared" si="148"/>
        <v>Key-ESP-147</v>
      </c>
      <c r="X147" s="44" t="s">
        <v>396</v>
      </c>
      <c r="Y147" s="61" t="s">
        <v>388</v>
      </c>
      <c r="Z147" s="45" t="s">
        <v>365</v>
      </c>
      <c r="AA147" s="44" t="str">
        <f t="shared" ca="1" si="241"/>
        <v>Space zone is used to represent a biosecurity zone, typically where ventilation is critical.</v>
      </c>
    </row>
    <row r="148" spans="1:27" customFormat="1" ht="6.65" customHeight="1" x14ac:dyDescent="0.4">
      <c r="A148" s="39">
        <v>148</v>
      </c>
      <c r="B148" s="40" t="s">
        <v>81</v>
      </c>
      <c r="C148" s="40" t="s">
        <v>442</v>
      </c>
      <c r="D148" s="40" t="s">
        <v>683</v>
      </c>
      <c r="E148" s="40" t="s">
        <v>425</v>
      </c>
      <c r="F148" s="63" t="s">
        <v>433</v>
      </c>
      <c r="G148" s="42" t="s">
        <v>10</v>
      </c>
      <c r="H148" s="42" t="s">
        <v>10</v>
      </c>
      <c r="I148" s="42" t="s">
        <v>10</v>
      </c>
      <c r="J148" s="42" t="s">
        <v>10</v>
      </c>
      <c r="K148" s="42" t="s">
        <v>10</v>
      </c>
      <c r="L148" s="43" t="str">
        <f t="shared" ref="L148" si="302">CONCATENATE("", C148)</f>
        <v>Espacialidade</v>
      </c>
      <c r="M148" s="43" t="str">
        <f t="shared" ref="M148" si="303">CONCATENATE("", D148)</f>
        <v>Analítica.Espacial</v>
      </c>
      <c r="N148" s="43" t="str">
        <f t="shared" ref="N148" si="304">(SUBSTITUTE(SUBSTITUTE(CONCATENATE("",E148),"."," ")," De "," de "))</f>
        <v>Analema Solar</v>
      </c>
      <c r="O148" s="43" t="str">
        <f t="shared" ref="O148" si="305">(SUBSTITUTE(SUBSTITUTE(CONCATENATE("",F148),"."," ")," De "," de "))</f>
        <v>Sol</v>
      </c>
      <c r="P148" s="44" t="s">
        <v>684</v>
      </c>
      <c r="Q148" s="44" t="str">
        <f t="shared" si="301"/>
        <v>Heliodomo solar o Analema: sol.</v>
      </c>
      <c r="R148" s="45" t="s">
        <v>10</v>
      </c>
      <c r="S148" s="46" t="str">
        <f t="shared" ref="S148:S159" si="306">SUBSTITUTE(C148, ".", " ")</f>
        <v>Espacialidade</v>
      </c>
      <c r="T148" s="46" t="str">
        <f t="shared" ref="T148:T153" si="307">SUBSTITUTE(D148, ".", " ")</f>
        <v>Analítica Espacial</v>
      </c>
      <c r="U148" s="46" t="str">
        <f t="shared" ref="U148:U159" si="308">SUBSTITUTE(E148, ".", " ")</f>
        <v>Analema Solar</v>
      </c>
      <c r="V148" s="45" t="s">
        <v>191</v>
      </c>
      <c r="W148" s="2" t="str">
        <f t="shared" si="148"/>
        <v>Key-ESP-148</v>
      </c>
      <c r="X148" s="64" t="s">
        <v>426</v>
      </c>
      <c r="Y148" s="44" t="s">
        <v>424</v>
      </c>
      <c r="Z148" s="45" t="s">
        <v>424</v>
      </c>
      <c r="AA148" s="44" t="str">
        <f t="shared" ref="AA148:AA159" si="309">_xlfn.TRANSLATE(P148,"pt","en")</f>
        <v>Solar Heliodom or Analema: sun.</v>
      </c>
    </row>
    <row r="149" spans="1:27" customFormat="1" ht="6.65" customHeight="1" x14ac:dyDescent="0.4">
      <c r="A149" s="39">
        <v>149</v>
      </c>
      <c r="B149" s="40" t="s">
        <v>81</v>
      </c>
      <c r="C149" s="40" t="s">
        <v>442</v>
      </c>
      <c r="D149" s="40" t="s">
        <v>683</v>
      </c>
      <c r="E149" s="40" t="s">
        <v>425</v>
      </c>
      <c r="F149" s="63" t="s">
        <v>434</v>
      </c>
      <c r="G149" s="42" t="s">
        <v>10</v>
      </c>
      <c r="H149" s="42" t="s">
        <v>10</v>
      </c>
      <c r="I149" s="42" t="s">
        <v>10</v>
      </c>
      <c r="J149" s="42" t="s">
        <v>10</v>
      </c>
      <c r="K149" s="42" t="s">
        <v>10</v>
      </c>
      <c r="L149" s="43" t="str">
        <f t="shared" ref="L149:L159" si="310">CONCATENATE("", C149)</f>
        <v>Espacialidade</v>
      </c>
      <c r="M149" s="43" t="str">
        <f t="shared" ref="M149:M153" si="311">CONCATENATE("", D149)</f>
        <v>Analítica.Espacial</v>
      </c>
      <c r="N149" s="43" t="str">
        <f t="shared" ref="N149:N156" si="312">(SUBSTITUTE(SUBSTITUTE(CONCATENATE("",E149),"."," ")," De "," de "))</f>
        <v>Analema Solar</v>
      </c>
      <c r="O149" s="43" t="str">
        <f t="shared" ref="O149:O156" si="313">(SUBSTITUTE(SUBSTITUTE(CONCATENATE("",F149),"."," ")," De "," de "))</f>
        <v>Sol Percurso 1</v>
      </c>
      <c r="P149" s="44" t="s">
        <v>685</v>
      </c>
      <c r="Q149" s="44" t="str">
        <f t="shared" si="301"/>
        <v>Analema Solar Heliodom: Camino Solar 1.</v>
      </c>
      <c r="R149" s="45" t="s">
        <v>10</v>
      </c>
      <c r="S149" s="46" t="str">
        <f t="shared" si="306"/>
        <v>Espacialidade</v>
      </c>
      <c r="T149" s="46" t="str">
        <f t="shared" si="307"/>
        <v>Analítica Espacial</v>
      </c>
      <c r="U149" s="46" t="str">
        <f t="shared" si="308"/>
        <v>Analema Solar</v>
      </c>
      <c r="V149" s="45" t="s">
        <v>191</v>
      </c>
      <c r="W149" s="2" t="str">
        <f t="shared" si="148"/>
        <v>Key-ESP-149</v>
      </c>
      <c r="X149" s="64" t="s">
        <v>432</v>
      </c>
      <c r="Y149" s="44" t="s">
        <v>424</v>
      </c>
      <c r="Z149" s="45" t="s">
        <v>424</v>
      </c>
      <c r="AA149" s="44" t="str">
        <f t="shared" si="309"/>
        <v>Heliodom Solar Analemma: Solar Path 1.</v>
      </c>
    </row>
    <row r="150" spans="1:27" customFormat="1" ht="6.65" customHeight="1" x14ac:dyDescent="0.4">
      <c r="A150" s="39">
        <v>150</v>
      </c>
      <c r="B150" s="40" t="s">
        <v>81</v>
      </c>
      <c r="C150" s="40" t="s">
        <v>442</v>
      </c>
      <c r="D150" s="40" t="s">
        <v>683</v>
      </c>
      <c r="E150" s="40" t="s">
        <v>425</v>
      </c>
      <c r="F150" s="63" t="s">
        <v>435</v>
      </c>
      <c r="G150" s="42" t="s">
        <v>10</v>
      </c>
      <c r="H150" s="42" t="s">
        <v>10</v>
      </c>
      <c r="I150" s="42" t="s">
        <v>10</v>
      </c>
      <c r="J150" s="42" t="s">
        <v>10</v>
      </c>
      <c r="K150" s="42" t="s">
        <v>10</v>
      </c>
      <c r="L150" s="43" t="str">
        <f t="shared" si="310"/>
        <v>Espacialidade</v>
      </c>
      <c r="M150" s="43" t="str">
        <f t="shared" si="311"/>
        <v>Analítica.Espacial</v>
      </c>
      <c r="N150" s="43" t="str">
        <f t="shared" si="312"/>
        <v>Analema Solar</v>
      </c>
      <c r="O150" s="43" t="str">
        <f t="shared" si="313"/>
        <v>Sol Percurso 2</v>
      </c>
      <c r="P150" s="44" t="s">
        <v>685</v>
      </c>
      <c r="Q150" s="44" t="str">
        <f t="shared" si="301"/>
        <v>Analema Solar Heliodom: Camino Solar 1.</v>
      </c>
      <c r="R150" s="45" t="s">
        <v>10</v>
      </c>
      <c r="S150" s="46" t="str">
        <f t="shared" si="306"/>
        <v>Espacialidade</v>
      </c>
      <c r="T150" s="46" t="str">
        <f t="shared" si="307"/>
        <v>Analítica Espacial</v>
      </c>
      <c r="U150" s="46" t="str">
        <f t="shared" si="308"/>
        <v>Analema Solar</v>
      </c>
      <c r="V150" s="45" t="s">
        <v>191</v>
      </c>
      <c r="W150" s="2" t="str">
        <f t="shared" si="148"/>
        <v>Key-ESP-150</v>
      </c>
      <c r="X150" s="64" t="s">
        <v>427</v>
      </c>
      <c r="Y150" s="44" t="s">
        <v>424</v>
      </c>
      <c r="Z150" s="45" t="s">
        <v>424</v>
      </c>
      <c r="AA150" s="44" t="str">
        <f t="shared" si="309"/>
        <v>Heliodom Solar Analemma: Solar Path 1.</v>
      </c>
    </row>
    <row r="151" spans="1:27" customFormat="1" ht="6.65" customHeight="1" x14ac:dyDescent="0.4">
      <c r="A151" s="39">
        <v>151</v>
      </c>
      <c r="B151" s="40" t="s">
        <v>81</v>
      </c>
      <c r="C151" s="40" t="s">
        <v>442</v>
      </c>
      <c r="D151" s="40" t="s">
        <v>683</v>
      </c>
      <c r="E151" s="40" t="s">
        <v>425</v>
      </c>
      <c r="F151" s="63" t="s">
        <v>436</v>
      </c>
      <c r="G151" s="42" t="s">
        <v>10</v>
      </c>
      <c r="H151" s="42" t="s">
        <v>10</v>
      </c>
      <c r="I151" s="42" t="s">
        <v>10</v>
      </c>
      <c r="J151" s="42" t="s">
        <v>10</v>
      </c>
      <c r="K151" s="42" t="s">
        <v>10</v>
      </c>
      <c r="L151" s="43" t="str">
        <f t="shared" si="310"/>
        <v>Espacialidade</v>
      </c>
      <c r="M151" s="43" t="str">
        <f t="shared" si="311"/>
        <v>Analítica.Espacial</v>
      </c>
      <c r="N151" s="43" t="str">
        <f t="shared" si="312"/>
        <v>Analema Solar</v>
      </c>
      <c r="O151" s="43" t="str">
        <f t="shared" si="313"/>
        <v>Sol Texto Amanhecer</v>
      </c>
      <c r="P151" s="44" t="s">
        <v>686</v>
      </c>
      <c r="Q151" s="44" t="str">
        <f t="shared" si="301"/>
        <v>Heliodom Dawn: Texto desde la salida del sol.</v>
      </c>
      <c r="R151" s="45" t="s">
        <v>10</v>
      </c>
      <c r="S151" s="46" t="str">
        <f t="shared" si="306"/>
        <v>Espacialidade</v>
      </c>
      <c r="T151" s="46" t="str">
        <f t="shared" si="307"/>
        <v>Analítica Espacial</v>
      </c>
      <c r="U151" s="46" t="str">
        <f t="shared" si="308"/>
        <v>Analema Solar</v>
      </c>
      <c r="V151" s="45" t="s">
        <v>191</v>
      </c>
      <c r="W151" s="2" t="str">
        <f t="shared" ref="W151:W159" si="314">CONCATENATE("Key-ESP-",A151)</f>
        <v>Key-ESP-151</v>
      </c>
      <c r="X151" s="64" t="s">
        <v>431</v>
      </c>
      <c r="Y151" s="44" t="s">
        <v>424</v>
      </c>
      <c r="Z151" s="45" t="s">
        <v>424</v>
      </c>
      <c r="AA151" s="44" t="str">
        <f t="shared" si="309"/>
        <v>Heliodom Dawn: Text from the exit of the sun.</v>
      </c>
    </row>
    <row r="152" spans="1:27" customFormat="1" ht="6.65" customHeight="1" x14ac:dyDescent="0.4">
      <c r="A152" s="39">
        <v>152</v>
      </c>
      <c r="B152" s="40" t="s">
        <v>81</v>
      </c>
      <c r="C152" s="40" t="s">
        <v>442</v>
      </c>
      <c r="D152" s="40" t="s">
        <v>683</v>
      </c>
      <c r="E152" s="40" t="s">
        <v>425</v>
      </c>
      <c r="F152" s="63" t="s">
        <v>437</v>
      </c>
      <c r="G152" s="42" t="s">
        <v>10</v>
      </c>
      <c r="H152" s="42" t="s">
        <v>10</v>
      </c>
      <c r="I152" s="42" t="s">
        <v>10</v>
      </c>
      <c r="J152" s="42" t="s">
        <v>10</v>
      </c>
      <c r="K152" s="42" t="s">
        <v>10</v>
      </c>
      <c r="L152" s="43" t="str">
        <f t="shared" si="310"/>
        <v>Espacialidade</v>
      </c>
      <c r="M152" s="43" t="str">
        <f t="shared" si="311"/>
        <v>Analítica.Espacial</v>
      </c>
      <c r="N152" s="43" t="str">
        <f t="shared" si="312"/>
        <v>Analema Solar</v>
      </c>
      <c r="O152" s="43" t="str">
        <f t="shared" si="313"/>
        <v>Sol Texto Anoitecer</v>
      </c>
      <c r="P152" s="44" t="s">
        <v>687</v>
      </c>
      <c r="Q152" s="44" t="str">
        <f t="shared" si="301"/>
        <v>Heliodom Nightfall: mensaje de la posta do sol.</v>
      </c>
      <c r="R152" s="45" t="s">
        <v>10</v>
      </c>
      <c r="S152" s="46" t="str">
        <f t="shared" si="306"/>
        <v>Espacialidade</v>
      </c>
      <c r="T152" s="46" t="str">
        <f t="shared" si="307"/>
        <v>Analítica Espacial</v>
      </c>
      <c r="U152" s="46" t="str">
        <f t="shared" si="308"/>
        <v>Analema Solar</v>
      </c>
      <c r="V152" s="45" t="s">
        <v>191</v>
      </c>
      <c r="W152" s="2" t="str">
        <f t="shared" si="314"/>
        <v>Key-ESP-152</v>
      </c>
      <c r="X152" s="64" t="s">
        <v>428</v>
      </c>
      <c r="Y152" s="44" t="s">
        <v>424</v>
      </c>
      <c r="Z152" s="45" t="s">
        <v>424</v>
      </c>
      <c r="AA152" s="44" t="str">
        <f t="shared" si="309"/>
        <v>Heliodom Nightfall: text from posta do sol.</v>
      </c>
    </row>
    <row r="153" spans="1:27" customFormat="1" ht="6.65" customHeight="1" x14ac:dyDescent="0.4">
      <c r="A153" s="39">
        <v>153</v>
      </c>
      <c r="B153" s="40" t="s">
        <v>81</v>
      </c>
      <c r="C153" s="40" t="s">
        <v>442</v>
      </c>
      <c r="D153" s="40" t="s">
        <v>683</v>
      </c>
      <c r="E153" s="40" t="s">
        <v>425</v>
      </c>
      <c r="F153" s="63" t="s">
        <v>438</v>
      </c>
      <c r="G153" s="42" t="s">
        <v>10</v>
      </c>
      <c r="H153" s="42" t="s">
        <v>10</v>
      </c>
      <c r="I153" s="42" t="s">
        <v>10</v>
      </c>
      <c r="J153" s="42" t="s">
        <v>10</v>
      </c>
      <c r="K153" s="42" t="s">
        <v>10</v>
      </c>
      <c r="L153" s="43" t="str">
        <f t="shared" si="310"/>
        <v>Espacialidade</v>
      </c>
      <c r="M153" s="43" t="str">
        <f t="shared" si="311"/>
        <v>Analítica.Espacial</v>
      </c>
      <c r="N153" s="43" t="str">
        <f t="shared" si="312"/>
        <v>Analema Solar</v>
      </c>
      <c r="O153" s="43" t="str">
        <f t="shared" si="313"/>
        <v>Sol Estudo</v>
      </c>
      <c r="P153" s="44" t="s">
        <v>688</v>
      </c>
      <c r="Q153" s="44" t="str">
        <f t="shared" si="301"/>
        <v>Estudio Solar Heliodom.</v>
      </c>
      <c r="R153" s="45" t="s">
        <v>10</v>
      </c>
      <c r="S153" s="46" t="str">
        <f t="shared" si="306"/>
        <v>Espacialidade</v>
      </c>
      <c r="T153" s="46" t="str">
        <f t="shared" si="307"/>
        <v>Analítica Espacial</v>
      </c>
      <c r="U153" s="46" t="str">
        <f t="shared" si="308"/>
        <v>Analema Solar</v>
      </c>
      <c r="V153" s="45" t="s">
        <v>191</v>
      </c>
      <c r="W153" s="2" t="str">
        <f t="shared" si="314"/>
        <v>Key-ESP-153</v>
      </c>
      <c r="X153" s="64" t="s">
        <v>430</v>
      </c>
      <c r="Y153" s="44" t="s">
        <v>424</v>
      </c>
      <c r="Z153" s="45" t="s">
        <v>424</v>
      </c>
      <c r="AA153" s="44" t="str">
        <f t="shared" si="309"/>
        <v>Solar Study Heliodom.</v>
      </c>
    </row>
    <row r="154" spans="1:27" customFormat="1" ht="6.65" customHeight="1" x14ac:dyDescent="0.4">
      <c r="A154" s="39">
        <v>154</v>
      </c>
      <c r="B154" s="40" t="s">
        <v>81</v>
      </c>
      <c r="C154" s="40" t="s">
        <v>442</v>
      </c>
      <c r="D154" s="40" t="s">
        <v>683</v>
      </c>
      <c r="E154" s="40" t="s">
        <v>425</v>
      </c>
      <c r="F154" s="63" t="s">
        <v>439</v>
      </c>
      <c r="G154" s="42" t="s">
        <v>10</v>
      </c>
      <c r="H154" s="42" t="s">
        <v>10</v>
      </c>
      <c r="I154" s="42" t="s">
        <v>10</v>
      </c>
      <c r="J154" s="42" t="s">
        <v>10</v>
      </c>
      <c r="K154" s="42" t="s">
        <v>10</v>
      </c>
      <c r="L154" s="43" t="str">
        <f t="shared" si="310"/>
        <v>Espacialidade</v>
      </c>
      <c r="M154" s="43" t="str">
        <f>CONCATENATE("", D154)</f>
        <v>Analítica.Espacial</v>
      </c>
      <c r="N154" s="43" t="str">
        <f t="shared" si="312"/>
        <v>Analema Solar</v>
      </c>
      <c r="O154" s="43" t="str">
        <f t="shared" si="313"/>
        <v>Sol Superfície</v>
      </c>
      <c r="P154" s="44" t="s">
        <v>689</v>
      </c>
      <c r="Q154" s="44" t="str">
        <f t="shared" si="301"/>
        <v>Heliodom Superficie del sol.</v>
      </c>
      <c r="R154" s="45" t="s">
        <v>10</v>
      </c>
      <c r="S154" s="46" t="str">
        <f t="shared" si="306"/>
        <v>Espacialidade</v>
      </c>
      <c r="T154" s="46" t="str">
        <f>SUBSTITUTE(D154, ".", " ")</f>
        <v>Analítica Espacial</v>
      </c>
      <c r="U154" s="46" t="str">
        <f t="shared" si="308"/>
        <v>Analema Solar</v>
      </c>
      <c r="V154" s="45" t="s">
        <v>191</v>
      </c>
      <c r="W154" s="2" t="str">
        <f t="shared" si="314"/>
        <v>Key-ESP-154</v>
      </c>
      <c r="X154" s="64" t="s">
        <v>429</v>
      </c>
      <c r="Y154" s="44" t="s">
        <v>424</v>
      </c>
      <c r="Z154" s="45" t="s">
        <v>424</v>
      </c>
      <c r="AA154" s="44" t="str">
        <f t="shared" si="309"/>
        <v>Heliodom Surface of the sun.</v>
      </c>
    </row>
    <row r="155" spans="1:27" customFormat="1" ht="6" customHeight="1" x14ac:dyDescent="0.4">
      <c r="A155" s="39">
        <v>155</v>
      </c>
      <c r="B155" s="40" t="s">
        <v>81</v>
      </c>
      <c r="C155" s="40" t="s">
        <v>442</v>
      </c>
      <c r="D155" s="40" t="s">
        <v>683</v>
      </c>
      <c r="E155" s="40" t="s">
        <v>353</v>
      </c>
      <c r="F155" s="48" t="s">
        <v>349</v>
      </c>
      <c r="G155" s="42" t="s">
        <v>10</v>
      </c>
      <c r="H155" s="42" t="s">
        <v>10</v>
      </c>
      <c r="I155" s="42" t="s">
        <v>10</v>
      </c>
      <c r="J155" s="42" t="s">
        <v>10</v>
      </c>
      <c r="K155" s="42" t="s">
        <v>10</v>
      </c>
      <c r="L155" s="43" t="str">
        <f t="shared" si="310"/>
        <v>Espacialidade</v>
      </c>
      <c r="M155" s="43" t="str">
        <f t="shared" ref="M155:M159" si="315">CONCATENATE("", D155)</f>
        <v>Analítica.Espacial</v>
      </c>
      <c r="N155" s="43" t="str">
        <f t="shared" si="312"/>
        <v>Orientação Solar</v>
      </c>
      <c r="O155" s="43" t="str">
        <f t="shared" si="313"/>
        <v>Orientação Norte</v>
      </c>
      <c r="P155" s="44" t="s">
        <v>690</v>
      </c>
      <c r="Q155" s="44" t="str">
        <f t="shared" si="301"/>
        <v>Análisis de orientación envolvente. Elementos orientados al norte, relativos al norte verdadero o solar.</v>
      </c>
      <c r="R155" s="45" t="s">
        <v>10</v>
      </c>
      <c r="S155" s="46" t="str">
        <f t="shared" si="306"/>
        <v>Espacialidade</v>
      </c>
      <c r="T155" s="46" t="str">
        <f t="shared" ref="T155:T159" si="316">SUBSTITUTE(D155, ".", " ")</f>
        <v>Analítica Espacial</v>
      </c>
      <c r="U155" s="46" t="str">
        <f t="shared" si="308"/>
        <v>Orientação Solar</v>
      </c>
      <c r="V155" s="45" t="s">
        <v>191</v>
      </c>
      <c r="W155" s="2" t="str">
        <f t="shared" si="314"/>
        <v>Key-ESP-155</v>
      </c>
      <c r="X155" s="46" t="s">
        <v>440</v>
      </c>
      <c r="Y155" s="46" t="s">
        <v>441</v>
      </c>
      <c r="Z155" s="45" t="s">
        <v>424</v>
      </c>
      <c r="AA155" s="44" t="str">
        <f t="shared" si="309"/>
        <v>Envelope orientation analysis. North-oriented elements, relative to True or Solar North.</v>
      </c>
    </row>
    <row r="156" spans="1:27" customFormat="1" ht="6" customHeight="1" x14ac:dyDescent="0.4">
      <c r="A156" s="39">
        <v>156</v>
      </c>
      <c r="B156" s="40" t="s">
        <v>81</v>
      </c>
      <c r="C156" s="40" t="s">
        <v>442</v>
      </c>
      <c r="D156" s="40" t="s">
        <v>683</v>
      </c>
      <c r="E156" s="40" t="s">
        <v>353</v>
      </c>
      <c r="F156" s="48" t="s">
        <v>350</v>
      </c>
      <c r="G156" s="42" t="s">
        <v>10</v>
      </c>
      <c r="H156" s="42" t="s">
        <v>10</v>
      </c>
      <c r="I156" s="42" t="s">
        <v>10</v>
      </c>
      <c r="J156" s="42" t="s">
        <v>10</v>
      </c>
      <c r="K156" s="42" t="s">
        <v>10</v>
      </c>
      <c r="L156" s="43" t="str">
        <f t="shared" si="310"/>
        <v>Espacialidade</v>
      </c>
      <c r="M156" s="43" t="str">
        <f t="shared" si="315"/>
        <v>Analítica.Espacial</v>
      </c>
      <c r="N156" s="43" t="str">
        <f t="shared" si="312"/>
        <v>Orientação Solar</v>
      </c>
      <c r="O156" s="43" t="str">
        <f t="shared" si="313"/>
        <v>Orientação Sul</v>
      </c>
      <c r="P156" s="44" t="s">
        <v>691</v>
      </c>
      <c r="Q156" s="44" t="str">
        <f t="shared" si="301"/>
        <v>Análisis de orientación del Envoltorio. Elementos orientados al sur, relativos al Norte Verdadero o Solar.</v>
      </c>
      <c r="R156" s="45" t="s">
        <v>10</v>
      </c>
      <c r="S156" s="46" t="str">
        <f t="shared" si="306"/>
        <v>Espacialidade</v>
      </c>
      <c r="T156" s="46" t="str">
        <f t="shared" si="316"/>
        <v>Analítica Espacial</v>
      </c>
      <c r="U156" s="46" t="str">
        <f t="shared" si="308"/>
        <v>Orientação Solar</v>
      </c>
      <c r="V156" s="45" t="s">
        <v>191</v>
      </c>
      <c r="W156" s="2" t="str">
        <f t="shared" si="314"/>
        <v>Key-ESP-156</v>
      </c>
      <c r="X156" s="46" t="s">
        <v>440</v>
      </c>
      <c r="Y156" s="46" t="s">
        <v>441</v>
      </c>
      <c r="Z156" s="45" t="s">
        <v>424</v>
      </c>
      <c r="AA156" s="44" t="str">
        <f t="shared" si="309"/>
        <v>Orientation analysis of the Envelope. South-oriented elements, relative to True or Solar North.</v>
      </c>
    </row>
    <row r="157" spans="1:27" customFormat="1" ht="6" customHeight="1" x14ac:dyDescent="0.4">
      <c r="A157" s="39">
        <v>157</v>
      </c>
      <c r="B157" s="40" t="s">
        <v>81</v>
      </c>
      <c r="C157" s="40" t="s">
        <v>442</v>
      </c>
      <c r="D157" s="40" t="s">
        <v>683</v>
      </c>
      <c r="E157" s="40" t="s">
        <v>353</v>
      </c>
      <c r="F157" s="48" t="s">
        <v>351</v>
      </c>
      <c r="G157" s="42" t="s">
        <v>10</v>
      </c>
      <c r="H157" s="42" t="s">
        <v>10</v>
      </c>
      <c r="I157" s="42" t="s">
        <v>10</v>
      </c>
      <c r="J157" s="42" t="s">
        <v>10</v>
      </c>
      <c r="K157" s="42" t="s">
        <v>10</v>
      </c>
      <c r="L157" s="43" t="str">
        <f t="shared" si="310"/>
        <v>Espacialidade</v>
      </c>
      <c r="M157" s="43" t="str">
        <f t="shared" si="315"/>
        <v>Analítica.Espacial</v>
      </c>
      <c r="N157" s="43" t="str">
        <f>(SUBSTITUTE(SUBSTITUTE(CONCATENATE("",E157),"."," ")," De "," de "))</f>
        <v>Orientação Solar</v>
      </c>
      <c r="O157" s="43" t="str">
        <f>(SUBSTITUTE(SUBSTITUTE(CONCATENATE("",F157),"."," ")," De "," de "))</f>
        <v>Orientação Leste</v>
      </c>
      <c r="P157" s="44" t="s">
        <v>693</v>
      </c>
      <c r="Q157" s="44" t="str">
        <f t="shared" si="301"/>
        <v>Análisis de orientación envolvente. Elementos orientados al este, relativos al Norte Verdadero o al Solar.</v>
      </c>
      <c r="R157" s="45" t="s">
        <v>10</v>
      </c>
      <c r="S157" s="46" t="str">
        <f t="shared" si="306"/>
        <v>Espacialidade</v>
      </c>
      <c r="T157" s="46" t="str">
        <f t="shared" si="316"/>
        <v>Analítica Espacial</v>
      </c>
      <c r="U157" s="46" t="str">
        <f t="shared" si="308"/>
        <v>Orientação Solar</v>
      </c>
      <c r="V157" s="45" t="s">
        <v>191</v>
      </c>
      <c r="W157" s="2" t="str">
        <f t="shared" si="314"/>
        <v>Key-ESP-157</v>
      </c>
      <c r="X157" s="46" t="s">
        <v>440</v>
      </c>
      <c r="Y157" s="46" t="s">
        <v>441</v>
      </c>
      <c r="Z157" s="45" t="s">
        <v>424</v>
      </c>
      <c r="AA157" s="44" t="str">
        <f t="shared" si="309"/>
        <v>Envelope orientation analysis. East-facing elements, relative to True North or Solar.</v>
      </c>
    </row>
    <row r="158" spans="1:27" customFormat="1" ht="6" customHeight="1" x14ac:dyDescent="0.4">
      <c r="A158" s="39">
        <v>158</v>
      </c>
      <c r="B158" s="40" t="s">
        <v>81</v>
      </c>
      <c r="C158" s="40" t="s">
        <v>442</v>
      </c>
      <c r="D158" s="40" t="s">
        <v>683</v>
      </c>
      <c r="E158" s="40" t="s">
        <v>353</v>
      </c>
      <c r="F158" s="48" t="s">
        <v>352</v>
      </c>
      <c r="G158" s="42" t="s">
        <v>10</v>
      </c>
      <c r="H158" s="42" t="s">
        <v>10</v>
      </c>
      <c r="I158" s="42" t="s">
        <v>10</v>
      </c>
      <c r="J158" s="42" t="s">
        <v>10</v>
      </c>
      <c r="K158" s="42" t="s">
        <v>10</v>
      </c>
      <c r="L158" s="43" t="str">
        <f t="shared" si="310"/>
        <v>Espacialidade</v>
      </c>
      <c r="M158" s="43" t="str">
        <f t="shared" si="315"/>
        <v>Analítica.Espacial</v>
      </c>
      <c r="N158" s="43" t="str">
        <f t="shared" ref="N158:N159" si="317">(SUBSTITUTE(SUBSTITUTE(CONCATENATE("",E158),"."," ")," De "," de "))</f>
        <v>Orientação Solar</v>
      </c>
      <c r="O158" s="43" t="str">
        <f t="shared" ref="O158:O159" si="318">(SUBSTITUTE(SUBSTITUTE(CONCATENATE("",F158),"."," ")," De "," de "))</f>
        <v>Orientação Oeste</v>
      </c>
      <c r="P158" s="44" t="s">
        <v>692</v>
      </c>
      <c r="Q158" s="44" t="str">
        <f t="shared" si="301"/>
        <v>Análisis de orientación del Envelope. Elementos orientados hacia el Oeste, relativos al Norte Verdadero o Solar.</v>
      </c>
      <c r="R158" s="45" t="s">
        <v>10</v>
      </c>
      <c r="S158" s="46" t="str">
        <f t="shared" si="306"/>
        <v>Espacialidade</v>
      </c>
      <c r="T158" s="46" t="str">
        <f t="shared" si="316"/>
        <v>Analítica Espacial</v>
      </c>
      <c r="U158" s="46" t="str">
        <f t="shared" si="308"/>
        <v>Orientação Solar</v>
      </c>
      <c r="V158" s="45" t="s">
        <v>191</v>
      </c>
      <c r="W158" s="2" t="str">
        <f t="shared" si="314"/>
        <v>Key-ESP-158</v>
      </c>
      <c r="X158" s="46" t="s">
        <v>440</v>
      </c>
      <c r="Y158" s="46" t="s">
        <v>441</v>
      </c>
      <c r="Z158" s="45" t="s">
        <v>424</v>
      </c>
      <c r="AA158" s="44" t="str">
        <f t="shared" si="309"/>
        <v>Orientation analysis of the Envelope. Elements oriented to the West, relative to True or Solar North.</v>
      </c>
    </row>
    <row r="159" spans="1:27" customFormat="1" ht="6" customHeight="1" x14ac:dyDescent="0.4">
      <c r="A159" s="39">
        <v>159</v>
      </c>
      <c r="B159" s="40" t="s">
        <v>81</v>
      </c>
      <c r="C159" s="40" t="s">
        <v>442</v>
      </c>
      <c r="D159" s="40" t="s">
        <v>683</v>
      </c>
      <c r="E159" s="40" t="s">
        <v>353</v>
      </c>
      <c r="F159" s="48" t="s">
        <v>354</v>
      </c>
      <c r="G159" s="42" t="s">
        <v>10</v>
      </c>
      <c r="H159" s="42" t="s">
        <v>10</v>
      </c>
      <c r="I159" s="42" t="s">
        <v>10</v>
      </c>
      <c r="J159" s="42" t="s">
        <v>10</v>
      </c>
      <c r="K159" s="42" t="s">
        <v>10</v>
      </c>
      <c r="L159" s="43" t="str">
        <f t="shared" si="310"/>
        <v>Espacialidade</v>
      </c>
      <c r="M159" s="43" t="str">
        <f t="shared" si="315"/>
        <v>Analítica.Espacial</v>
      </c>
      <c r="N159" s="43" t="str">
        <f t="shared" si="317"/>
        <v>Orientação Solar</v>
      </c>
      <c r="O159" s="43" t="str">
        <f t="shared" si="318"/>
        <v>Símbolo de Norte</v>
      </c>
      <c r="P159" s="44" t="s">
        <v>355</v>
      </c>
      <c r="Q159" s="44" t="str">
        <f t="shared" si="301"/>
        <v>Elemento de referencia simbólico de la posición del Norte Verdadero: marcador del Símbolo Norte.</v>
      </c>
      <c r="R159" s="45" t="s">
        <v>10</v>
      </c>
      <c r="S159" s="46" t="str">
        <f t="shared" si="306"/>
        <v>Espacialidade</v>
      </c>
      <c r="T159" s="46" t="str">
        <f t="shared" si="316"/>
        <v>Analítica Espacial</v>
      </c>
      <c r="U159" s="46" t="str">
        <f t="shared" si="308"/>
        <v>Orientação Solar</v>
      </c>
      <c r="V159" s="45" t="s">
        <v>191</v>
      </c>
      <c r="W159" s="2" t="str">
        <f t="shared" si="314"/>
        <v>Key-ESP-159</v>
      </c>
      <c r="X159" s="46" t="s">
        <v>440</v>
      </c>
      <c r="Y159" s="46" t="s">
        <v>441</v>
      </c>
      <c r="Z159" s="45" t="s">
        <v>424</v>
      </c>
      <c r="AA159" s="44" t="str">
        <f t="shared" si="309"/>
        <v>Symbolic reference element of the True North position: North Symbol marker.</v>
      </c>
    </row>
  </sheetData>
  <phoneticPr fontId="1" type="noConversion"/>
  <conditionalFormatting sqref="X35:XFD108 D109:D124 X109:AA124 B125:B147 D125:F147 X125:XFD147 L148:O154 B155:B159 L155:P159 E155:F159 B14:B108 L14:P108 D21:F108 X21:Y34 AA27:XFD34 A2:A159">
    <cfRule type="cellIs" dxfId="0" priority="22" operator="equal">
      <formula>"null"</formula>
    </cfRule>
  </conditionalFormatting>
  <conditionalFormatting sqref="F2">
    <cfRule type="duplicateValues" dxfId="51" priority="40"/>
    <cfRule type="duplicateValues" dxfId="50" priority="41"/>
    <cfRule type="duplicateValues" dxfId="49" priority="42"/>
  </conditionalFormatting>
  <conditionalFormatting sqref="F3:F13">
    <cfRule type="duplicateValues" dxfId="48" priority="52"/>
    <cfRule type="duplicateValues" dxfId="47" priority="54"/>
    <cfRule type="duplicateValues" dxfId="46" priority="55"/>
    <cfRule type="duplicateValues" dxfId="45" priority="56"/>
    <cfRule type="duplicateValues" dxfId="44" priority="57"/>
  </conditionalFormatting>
  <conditionalFormatting sqref="F109:F124">
    <cfRule type="duplicateValues" dxfId="43" priority="434"/>
    <cfRule type="duplicateValues" dxfId="42" priority="435"/>
    <cfRule type="duplicateValues" dxfId="41" priority="436"/>
    <cfRule type="duplicateValues" dxfId="40" priority="437"/>
    <cfRule type="duplicateValues" dxfId="39" priority="438"/>
  </conditionalFormatting>
  <conditionalFormatting sqref="F125:F147 F3:F108">
    <cfRule type="duplicateValues" dxfId="38" priority="507"/>
  </conditionalFormatting>
  <conditionalFormatting sqref="F125:F147 F14:F108">
    <cfRule type="duplicateValues" dxfId="37" priority="510"/>
  </conditionalFormatting>
  <conditionalFormatting sqref="F148:F154">
    <cfRule type="duplicateValues" dxfId="36" priority="33"/>
    <cfRule type="duplicateValues" dxfId="35" priority="34"/>
    <cfRule type="duplicateValues" dxfId="34" priority="35"/>
    <cfRule type="duplicateValues" dxfId="33" priority="36"/>
    <cfRule type="duplicateValues" dxfId="32" priority="37"/>
    <cfRule type="containsText" dxfId="31" priority="38" operator="containsText" text="null">
      <formula>NOT(ISERROR(SEARCH("null",F148)))</formula>
    </cfRule>
    <cfRule type="duplicateValues" dxfId="30" priority="39"/>
  </conditionalFormatting>
  <conditionalFormatting sqref="P13">
    <cfRule type="cellIs" dxfId="29" priority="21" operator="equal">
      <formula>"null"</formula>
    </cfRule>
  </conditionalFormatting>
  <conditionalFormatting sqref="P119:P124">
    <cfRule type="duplicateValues" dxfId="28" priority="15"/>
    <cfRule type="duplicateValues" dxfId="27" priority="16"/>
    <cfRule type="duplicateValues" dxfId="26" priority="17"/>
    <cfRule type="duplicateValues" dxfId="25" priority="18"/>
    <cfRule type="duplicateValues" dxfId="24" priority="19"/>
  </conditionalFormatting>
  <conditionalFormatting sqref="X148:X154">
    <cfRule type="duplicateValues" dxfId="23" priority="24"/>
    <cfRule type="duplicateValues" dxfId="22" priority="25"/>
    <cfRule type="duplicateValues" dxfId="21" priority="26"/>
    <cfRule type="duplicateValues" dxfId="20" priority="27"/>
    <cfRule type="duplicateValues" dxfId="19" priority="28"/>
    <cfRule type="containsText" dxfId="18" priority="29" operator="containsText" text="null">
      <formula>NOT(ISERROR(SEARCH("null",X148)))</formula>
    </cfRule>
    <cfRule type="duplicateValues" dxfId="17" priority="30"/>
  </conditionalFormatting>
  <conditionalFormatting sqref="Y13">
    <cfRule type="cellIs" dxfId="16" priority="20" operator="equal">
      <formula>"null"</formula>
    </cfRule>
  </conditionalFormatting>
  <conditionalFormatting sqref="Z148:AA154">
    <cfRule type="cellIs" dxfId="15" priority="23" operator="equal">
      <formula>"null"</formula>
    </cfRule>
  </conditionalFormatting>
  <conditionalFormatting sqref="AA1:AA26 Z3:Z20 E14:F20 AB14:XFD26 L125:P146 K147:P147">
    <cfRule type="cellIs" dxfId="14" priority="58" operator="equal">
      <formula>"null"</formula>
    </cfRule>
  </conditionalFormatting>
  <conditionalFormatting sqref="F155:F159">
    <cfRule type="duplicateValues" dxfId="13" priority="3"/>
    <cfRule type="duplicateValues" dxfId="12" priority="4"/>
    <cfRule type="duplicateValues" dxfId="11" priority="5"/>
    <cfRule type="duplicateValues" dxfId="10" priority="6"/>
  </conditionalFormatting>
  <conditionalFormatting sqref="F155:F159">
    <cfRule type="duplicateValues" dxfId="9" priority="7"/>
  </conditionalFormatting>
  <conditionalFormatting sqref="F155:F159">
    <cfRule type="duplicateValues" dxfId="8" priority="8"/>
  </conditionalFormatting>
  <conditionalFormatting sqref="AA155:XFD159 X155:Y159">
    <cfRule type="cellIs" dxfId="7" priority="2" operator="equal">
      <formula>"null"</formula>
    </cfRule>
  </conditionalFormatting>
  <conditionalFormatting sqref="F1:F1048576">
    <cfRule type="duplicateValues" dxfId="6" priority="1"/>
  </conditionalFormatting>
  <conditionalFormatting sqref="F14:F108">
    <cfRule type="duplicateValues" dxfId="4" priority="519"/>
    <cfRule type="duplicateValues" dxfId="3" priority="520"/>
    <cfRule type="duplicateValues" dxfId="2" priority="521"/>
    <cfRule type="duplicateValues" dxfId="1" priority="522"/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5234375" defaultRowHeight="7.75" x14ac:dyDescent="0.2"/>
  <cols>
    <col min="1" max="1" width="2.53515625" style="12" bestFit="1" customWidth="1"/>
    <col min="2" max="10" width="6" style="13" bestFit="1" customWidth="1"/>
    <col min="11" max="21" width="6" style="11" bestFit="1" customWidth="1"/>
    <col min="22" max="16384" width="11.15234375" style="11"/>
  </cols>
  <sheetData>
    <row r="1" spans="1:21" s="6" customFormat="1" x14ac:dyDescent="0.2">
      <c r="A1" s="4" t="s">
        <v>12</v>
      </c>
      <c r="B1" s="5" t="s">
        <v>13</v>
      </c>
      <c r="C1" s="5" t="s">
        <v>14</v>
      </c>
      <c r="D1" s="5" t="s">
        <v>15</v>
      </c>
      <c r="E1" s="5" t="s">
        <v>16</v>
      </c>
      <c r="F1" s="5" t="s">
        <v>17</v>
      </c>
      <c r="G1" s="5" t="s">
        <v>18</v>
      </c>
      <c r="H1" s="5" t="s">
        <v>19</v>
      </c>
      <c r="I1" s="5" t="s">
        <v>20</v>
      </c>
      <c r="J1" s="5" t="s">
        <v>21</v>
      </c>
      <c r="K1" s="5" t="s">
        <v>22</v>
      </c>
      <c r="L1" s="5" t="s">
        <v>23</v>
      </c>
      <c r="M1" s="5" t="s">
        <v>24</v>
      </c>
      <c r="N1" s="5" t="s">
        <v>25</v>
      </c>
      <c r="O1" s="5" t="s">
        <v>26</v>
      </c>
      <c r="P1" s="5" t="s">
        <v>27</v>
      </c>
      <c r="Q1" s="5" t="s">
        <v>28</v>
      </c>
      <c r="R1" s="5" t="s">
        <v>29</v>
      </c>
      <c r="S1" s="5" t="s">
        <v>30</v>
      </c>
      <c r="T1" s="5" t="s">
        <v>31</v>
      </c>
      <c r="U1" s="7" t="s">
        <v>32</v>
      </c>
    </row>
    <row r="2" spans="1:21" s="6" customFormat="1" ht="10.5" customHeight="1" x14ac:dyDescent="0.2">
      <c r="A2" s="8">
        <v>2</v>
      </c>
      <c r="B2" s="9" t="s">
        <v>10</v>
      </c>
      <c r="C2" s="9" t="s">
        <v>10</v>
      </c>
      <c r="D2" s="9" t="s">
        <v>10</v>
      </c>
      <c r="E2" s="9" t="s">
        <v>10</v>
      </c>
      <c r="F2" s="9" t="s">
        <v>10</v>
      </c>
      <c r="G2" s="9" t="s">
        <v>10</v>
      </c>
      <c r="H2" s="9" t="s">
        <v>10</v>
      </c>
      <c r="I2" s="9" t="s">
        <v>10</v>
      </c>
      <c r="J2" s="9" t="s">
        <v>10</v>
      </c>
      <c r="K2" s="9" t="s">
        <v>10</v>
      </c>
      <c r="L2" s="9" t="s">
        <v>10</v>
      </c>
      <c r="M2" s="9" t="s">
        <v>10</v>
      </c>
      <c r="N2" s="9" t="s">
        <v>10</v>
      </c>
      <c r="O2" s="9" t="s">
        <v>10</v>
      </c>
      <c r="P2" s="9" t="s">
        <v>10</v>
      </c>
      <c r="Q2" s="9" t="s">
        <v>10</v>
      </c>
      <c r="R2" s="9" t="s">
        <v>10</v>
      </c>
      <c r="S2" s="9" t="s">
        <v>10</v>
      </c>
      <c r="T2" s="9" t="s">
        <v>10</v>
      </c>
      <c r="U2" s="9" t="s">
        <v>10</v>
      </c>
    </row>
    <row r="3" spans="1:21" ht="10.5" customHeight="1" x14ac:dyDescent="0.2">
      <c r="A3" s="8">
        <v>3</v>
      </c>
      <c r="B3" s="9" t="s">
        <v>10</v>
      </c>
      <c r="C3" s="9" t="s">
        <v>10</v>
      </c>
      <c r="D3" s="9" t="s">
        <v>10</v>
      </c>
      <c r="E3" s="9" t="s">
        <v>10</v>
      </c>
      <c r="F3" s="9" t="s">
        <v>10</v>
      </c>
      <c r="G3" s="9" t="s">
        <v>10</v>
      </c>
      <c r="H3" s="9" t="s">
        <v>10</v>
      </c>
      <c r="I3" s="9" t="s">
        <v>10</v>
      </c>
      <c r="J3" s="9" t="s">
        <v>10</v>
      </c>
      <c r="K3" s="9" t="s">
        <v>10</v>
      </c>
      <c r="L3" s="9" t="s">
        <v>10</v>
      </c>
      <c r="M3" s="9" t="s">
        <v>10</v>
      </c>
      <c r="N3" s="9" t="s">
        <v>10</v>
      </c>
      <c r="O3" s="9" t="s">
        <v>10</v>
      </c>
      <c r="P3" s="9" t="s">
        <v>10</v>
      </c>
      <c r="Q3" s="9" t="s">
        <v>10</v>
      </c>
      <c r="R3" s="9" t="s">
        <v>10</v>
      </c>
      <c r="S3" s="9" t="s">
        <v>10</v>
      </c>
      <c r="T3" s="9" t="s">
        <v>10</v>
      </c>
      <c r="U3" s="10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6">
        <v>1</v>
      </c>
      <c r="B1" s="17" t="s">
        <v>75</v>
      </c>
      <c r="C1" s="17" t="s">
        <v>80</v>
      </c>
      <c r="D1" s="17" t="s">
        <v>80</v>
      </c>
      <c r="E1" s="17" t="s">
        <v>80</v>
      </c>
    </row>
    <row r="2" spans="1:5" ht="8.5" customHeight="1" x14ac:dyDescent="0.4">
      <c r="A2" s="29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5" customHeight="1" x14ac:dyDescent="0.4">
      <c r="A3" s="29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5" customHeight="1" x14ac:dyDescent="0.4">
      <c r="A4" s="29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Y45"/>
  <sheetViews>
    <sheetView topLeftCell="N1" zoomScale="220" zoomScaleNormal="220" workbookViewId="0">
      <pane ySplit="1" topLeftCell="A2" activePane="bottomLeft" state="frozen"/>
      <selection pane="bottomLeft" activeCell="Q3" sqref="Q3"/>
    </sheetView>
  </sheetViews>
  <sheetFormatPr defaultColWidth="9.3046875" defaultRowHeight="7.4" customHeight="1" x14ac:dyDescent="0.4"/>
  <cols>
    <col min="1" max="1" width="2.53515625" style="53" bestFit="1" customWidth="1"/>
    <col min="2" max="2" width="10" style="55" customWidth="1"/>
    <col min="3" max="3" width="9.3046875" style="53" bestFit="1" customWidth="1"/>
    <col min="4" max="4" width="5.3828125" style="53" customWidth="1"/>
    <col min="5" max="5" width="5.61328125" style="53" customWidth="1"/>
    <col min="6" max="6" width="5.3828125" style="53" customWidth="1"/>
    <col min="7" max="7" width="5.07421875" style="53" customWidth="1"/>
    <col min="8" max="8" width="7.53515625" style="53" bestFit="1" customWidth="1"/>
    <col min="9" max="9" width="33.07421875" style="53" customWidth="1"/>
    <col min="10" max="10" width="7.84375" style="53" bestFit="1" customWidth="1"/>
    <col min="11" max="11" width="4.69140625" style="53" customWidth="1"/>
    <col min="12" max="12" width="3.3046875" style="53" customWidth="1"/>
    <col min="13" max="13" width="5.84375" style="53" customWidth="1"/>
    <col min="14" max="14" width="8.69140625" style="53" customWidth="1"/>
    <col min="15" max="15" width="19.84375" style="53" customWidth="1"/>
    <col min="16" max="16" width="4.53515625" style="53" customWidth="1"/>
    <col min="17" max="17" width="28" style="53" bestFit="1" customWidth="1"/>
    <col min="18" max="18" width="6.69140625" style="53" customWidth="1"/>
    <col min="19" max="19" width="15.69140625" style="53" customWidth="1"/>
    <col min="20" max="20" width="5" style="53" customWidth="1"/>
    <col min="21" max="21" width="24.921875" style="53" customWidth="1"/>
    <col min="22" max="22" width="5.69140625" style="53" customWidth="1"/>
    <col min="23" max="23" width="8.69140625" style="53" customWidth="1"/>
    <col min="24" max="24" width="5.69140625" style="53" customWidth="1"/>
    <col min="25" max="25" width="16.765625" style="53" customWidth="1"/>
    <col min="26" max="16384" width="9.3046875" style="53"/>
  </cols>
  <sheetData>
    <row r="1" spans="1:25" ht="20.7" customHeight="1" x14ac:dyDescent="0.4">
      <c r="A1" s="25" t="s">
        <v>11</v>
      </c>
      <c r="B1" s="25" t="s">
        <v>74</v>
      </c>
      <c r="C1" s="25" t="s">
        <v>75</v>
      </c>
      <c r="D1" s="25" t="s">
        <v>76</v>
      </c>
      <c r="E1" s="25" t="s">
        <v>79</v>
      </c>
      <c r="F1" s="25" t="s">
        <v>76</v>
      </c>
      <c r="G1" s="25" t="s">
        <v>79</v>
      </c>
      <c r="H1" s="28" t="s">
        <v>76</v>
      </c>
      <c r="I1" s="25" t="s">
        <v>79</v>
      </c>
      <c r="J1" s="25" t="s">
        <v>76</v>
      </c>
      <c r="K1" s="25" t="s">
        <v>79</v>
      </c>
      <c r="L1" s="25" t="s">
        <v>76</v>
      </c>
      <c r="M1" s="25" t="s">
        <v>79</v>
      </c>
      <c r="N1" s="25" t="s">
        <v>76</v>
      </c>
      <c r="O1" s="25" t="s">
        <v>79</v>
      </c>
      <c r="P1" s="25" t="s">
        <v>76</v>
      </c>
      <c r="Q1" s="25" t="s">
        <v>79</v>
      </c>
      <c r="R1" s="25" t="s">
        <v>76</v>
      </c>
      <c r="S1" s="25" t="s">
        <v>79</v>
      </c>
      <c r="T1" s="25" t="s">
        <v>76</v>
      </c>
      <c r="U1" s="25" t="s">
        <v>79</v>
      </c>
      <c r="V1" s="25" t="s">
        <v>76</v>
      </c>
      <c r="W1" s="25" t="s">
        <v>79</v>
      </c>
      <c r="X1" s="25" t="s">
        <v>76</v>
      </c>
      <c r="Y1" s="25" t="s">
        <v>79</v>
      </c>
    </row>
    <row r="2" spans="1:25" ht="7.4" customHeight="1" x14ac:dyDescent="0.4">
      <c r="A2" s="52">
        <v>1</v>
      </c>
      <c r="B2" s="54" t="s">
        <v>101</v>
      </c>
      <c r="C2" s="49" t="s">
        <v>344</v>
      </c>
      <c r="D2" s="50" t="s">
        <v>10</v>
      </c>
      <c r="E2" s="51" t="s">
        <v>10</v>
      </c>
      <c r="F2" s="50" t="s">
        <v>10</v>
      </c>
      <c r="G2" s="51" t="s">
        <v>10</v>
      </c>
      <c r="H2" s="34" t="s">
        <v>78</v>
      </c>
      <c r="I2" s="27" t="s">
        <v>102</v>
      </c>
      <c r="J2" s="34" t="s">
        <v>96</v>
      </c>
      <c r="K2" s="27" t="s">
        <v>97</v>
      </c>
      <c r="L2" s="34" t="s">
        <v>87</v>
      </c>
      <c r="M2" s="27" t="s">
        <v>290</v>
      </c>
      <c r="N2" s="34" t="s">
        <v>110</v>
      </c>
      <c r="O2" s="27" t="s">
        <v>290</v>
      </c>
      <c r="P2" s="34" t="s">
        <v>77</v>
      </c>
      <c r="Q2" s="26" t="s">
        <v>659</v>
      </c>
      <c r="R2" s="34" t="s">
        <v>291</v>
      </c>
      <c r="S2" s="27" t="s">
        <v>290</v>
      </c>
      <c r="T2" s="34" t="s">
        <v>554</v>
      </c>
      <c r="U2" s="27" t="s">
        <v>290</v>
      </c>
      <c r="V2" s="34" t="s">
        <v>292</v>
      </c>
      <c r="W2" s="27" t="s">
        <v>290</v>
      </c>
      <c r="X2" s="34" t="s">
        <v>555</v>
      </c>
      <c r="Y2" s="27" t="s">
        <v>558</v>
      </c>
    </row>
    <row r="3" spans="1:25" ht="7.4" customHeight="1" x14ac:dyDescent="0.4">
      <c r="A3" s="52">
        <v>2</v>
      </c>
      <c r="B3" s="54" t="s">
        <v>279</v>
      </c>
      <c r="C3" s="49" t="s">
        <v>398</v>
      </c>
      <c r="D3" s="50" t="s">
        <v>10</v>
      </c>
      <c r="E3" s="51" t="s">
        <v>10</v>
      </c>
      <c r="F3" s="50" t="s">
        <v>10</v>
      </c>
      <c r="G3" s="51" t="s">
        <v>10</v>
      </c>
      <c r="H3" s="34" t="s">
        <v>78</v>
      </c>
      <c r="I3" s="27" t="s">
        <v>290</v>
      </c>
      <c r="J3" s="34" t="s">
        <v>96</v>
      </c>
      <c r="K3" s="27" t="s">
        <v>97</v>
      </c>
      <c r="L3" s="34" t="s">
        <v>87</v>
      </c>
      <c r="M3" s="27" t="s">
        <v>290</v>
      </c>
      <c r="N3" s="34" t="s">
        <v>110</v>
      </c>
      <c r="O3" s="27" t="s">
        <v>290</v>
      </c>
      <c r="P3" s="34" t="s">
        <v>77</v>
      </c>
      <c r="Q3" s="27" t="s">
        <v>290</v>
      </c>
      <c r="R3" s="34" t="s">
        <v>291</v>
      </c>
      <c r="S3" s="27" t="s">
        <v>290</v>
      </c>
      <c r="T3" s="34" t="s">
        <v>554</v>
      </c>
      <c r="U3" s="27" t="s">
        <v>290</v>
      </c>
      <c r="V3" s="34" t="s">
        <v>292</v>
      </c>
      <c r="W3" s="27" t="s">
        <v>290</v>
      </c>
      <c r="X3" s="34" t="s">
        <v>555</v>
      </c>
      <c r="Y3" s="27" t="s">
        <v>558</v>
      </c>
    </row>
    <row r="4" spans="1:25" ht="7.4" customHeight="1" x14ac:dyDescent="0.4">
      <c r="A4" s="52">
        <v>3</v>
      </c>
      <c r="B4" s="54" t="s">
        <v>457</v>
      </c>
      <c r="C4" s="40" t="s">
        <v>192</v>
      </c>
      <c r="D4" s="50" t="s">
        <v>10</v>
      </c>
      <c r="E4" s="51" t="s">
        <v>10</v>
      </c>
      <c r="F4" s="50" t="s">
        <v>82</v>
      </c>
      <c r="G4" s="51" t="s">
        <v>119</v>
      </c>
      <c r="H4" s="34" t="s">
        <v>78</v>
      </c>
      <c r="I4" s="27" t="s">
        <v>461</v>
      </c>
      <c r="J4" s="34" t="s">
        <v>96</v>
      </c>
      <c r="K4" s="27" t="s">
        <v>97</v>
      </c>
      <c r="L4" s="34" t="s">
        <v>87</v>
      </c>
      <c r="M4" s="27" t="s">
        <v>290</v>
      </c>
      <c r="N4" s="34" t="s">
        <v>110</v>
      </c>
      <c r="O4" s="27" t="s">
        <v>290</v>
      </c>
      <c r="P4" s="34" t="s">
        <v>77</v>
      </c>
      <c r="Q4" s="27" t="s">
        <v>465</v>
      </c>
      <c r="R4" s="34" t="s">
        <v>291</v>
      </c>
      <c r="S4" s="27" t="s">
        <v>297</v>
      </c>
      <c r="T4" s="34" t="s">
        <v>554</v>
      </c>
      <c r="U4" s="27" t="s">
        <v>469</v>
      </c>
      <c r="V4" s="34" t="s">
        <v>292</v>
      </c>
      <c r="W4" s="27" t="s">
        <v>298</v>
      </c>
      <c r="X4" s="34" t="s">
        <v>555</v>
      </c>
      <c r="Y4" s="27" t="s">
        <v>558</v>
      </c>
    </row>
    <row r="5" spans="1:25" ht="7.4" customHeight="1" x14ac:dyDescent="0.4">
      <c r="A5" s="52">
        <v>4</v>
      </c>
      <c r="B5" s="54" t="s">
        <v>458</v>
      </c>
      <c r="C5" s="40" t="s">
        <v>192</v>
      </c>
      <c r="D5" s="50" t="s">
        <v>10</v>
      </c>
      <c r="E5" s="51" t="s">
        <v>10</v>
      </c>
      <c r="F5" s="50" t="s">
        <v>82</v>
      </c>
      <c r="G5" s="51" t="s">
        <v>119</v>
      </c>
      <c r="H5" s="34" t="s">
        <v>78</v>
      </c>
      <c r="I5" s="27" t="s">
        <v>462</v>
      </c>
      <c r="J5" s="34" t="s">
        <v>96</v>
      </c>
      <c r="K5" s="27" t="s">
        <v>97</v>
      </c>
      <c r="L5" s="34" t="s">
        <v>87</v>
      </c>
      <c r="M5" s="27" t="s">
        <v>290</v>
      </c>
      <c r="N5" s="34" t="s">
        <v>110</v>
      </c>
      <c r="O5" s="27" t="s">
        <v>290</v>
      </c>
      <c r="P5" s="34" t="s">
        <v>77</v>
      </c>
      <c r="Q5" s="27" t="s">
        <v>466</v>
      </c>
      <c r="R5" s="34" t="s">
        <v>291</v>
      </c>
      <c r="S5" s="27" t="s">
        <v>297</v>
      </c>
      <c r="T5" s="34" t="s">
        <v>554</v>
      </c>
      <c r="U5" s="27" t="s">
        <v>469</v>
      </c>
      <c r="V5" s="34" t="s">
        <v>292</v>
      </c>
      <c r="W5" s="27" t="s">
        <v>298</v>
      </c>
      <c r="X5" s="34" t="s">
        <v>555</v>
      </c>
      <c r="Y5" s="27" t="s">
        <v>558</v>
      </c>
    </row>
    <row r="6" spans="1:25" ht="7.4" customHeight="1" x14ac:dyDescent="0.4">
      <c r="A6" s="52">
        <v>5</v>
      </c>
      <c r="B6" s="54" t="s">
        <v>459</v>
      </c>
      <c r="C6" s="40" t="s">
        <v>192</v>
      </c>
      <c r="D6" s="50" t="s">
        <v>10</v>
      </c>
      <c r="E6" s="51" t="s">
        <v>10</v>
      </c>
      <c r="F6" s="50" t="s">
        <v>82</v>
      </c>
      <c r="G6" s="51" t="s">
        <v>119</v>
      </c>
      <c r="H6" s="34" t="s">
        <v>78</v>
      </c>
      <c r="I6" s="27" t="s">
        <v>463</v>
      </c>
      <c r="J6" s="34" t="s">
        <v>96</v>
      </c>
      <c r="K6" s="27" t="s">
        <v>97</v>
      </c>
      <c r="L6" s="34" t="s">
        <v>87</v>
      </c>
      <c r="M6" s="27" t="s">
        <v>290</v>
      </c>
      <c r="N6" s="34" t="s">
        <v>110</v>
      </c>
      <c r="O6" s="27" t="s">
        <v>290</v>
      </c>
      <c r="P6" s="34" t="s">
        <v>77</v>
      </c>
      <c r="Q6" s="27" t="s">
        <v>467</v>
      </c>
      <c r="R6" s="34" t="s">
        <v>291</v>
      </c>
      <c r="S6" s="27" t="s">
        <v>297</v>
      </c>
      <c r="T6" s="34" t="s">
        <v>554</v>
      </c>
      <c r="U6" s="27" t="s">
        <v>469</v>
      </c>
      <c r="V6" s="34" t="s">
        <v>292</v>
      </c>
      <c r="W6" s="27" t="s">
        <v>298</v>
      </c>
      <c r="X6" s="34" t="s">
        <v>555</v>
      </c>
      <c r="Y6" s="27" t="s">
        <v>558</v>
      </c>
    </row>
    <row r="7" spans="1:25" ht="7.4" customHeight="1" x14ac:dyDescent="0.4">
      <c r="A7" s="52">
        <v>6</v>
      </c>
      <c r="B7" s="54" t="s">
        <v>460</v>
      </c>
      <c r="C7" s="40" t="s">
        <v>192</v>
      </c>
      <c r="D7" s="50" t="s">
        <v>10</v>
      </c>
      <c r="E7" s="51" t="s">
        <v>10</v>
      </c>
      <c r="F7" s="50" t="s">
        <v>82</v>
      </c>
      <c r="G7" s="51" t="s">
        <v>119</v>
      </c>
      <c r="H7" s="34" t="s">
        <v>78</v>
      </c>
      <c r="I7" s="27" t="s">
        <v>464</v>
      </c>
      <c r="J7" s="34" t="s">
        <v>96</v>
      </c>
      <c r="K7" s="27" t="s">
        <v>97</v>
      </c>
      <c r="L7" s="34" t="s">
        <v>87</v>
      </c>
      <c r="M7" s="27" t="s">
        <v>290</v>
      </c>
      <c r="N7" s="34" t="s">
        <v>110</v>
      </c>
      <c r="O7" s="27" t="s">
        <v>290</v>
      </c>
      <c r="P7" s="34" t="s">
        <v>77</v>
      </c>
      <c r="Q7" s="27" t="s">
        <v>468</v>
      </c>
      <c r="R7" s="34" t="s">
        <v>291</v>
      </c>
      <c r="S7" s="27" t="s">
        <v>297</v>
      </c>
      <c r="T7" s="34" t="s">
        <v>554</v>
      </c>
      <c r="U7" s="27" t="s">
        <v>469</v>
      </c>
      <c r="V7" s="34" t="s">
        <v>292</v>
      </c>
      <c r="W7" s="27" t="s">
        <v>298</v>
      </c>
      <c r="X7" s="34" t="s">
        <v>555</v>
      </c>
      <c r="Y7" s="27" t="s">
        <v>558</v>
      </c>
    </row>
    <row r="8" spans="1:25" ht="7.4" customHeight="1" x14ac:dyDescent="0.4">
      <c r="A8" s="52">
        <v>7</v>
      </c>
      <c r="B8" s="54" t="s">
        <v>99</v>
      </c>
      <c r="C8" s="41" t="s">
        <v>399</v>
      </c>
      <c r="D8" s="50" t="s">
        <v>10</v>
      </c>
      <c r="E8" s="51" t="s">
        <v>10</v>
      </c>
      <c r="F8" s="50" t="s">
        <v>10</v>
      </c>
      <c r="G8" s="51" t="s">
        <v>10</v>
      </c>
      <c r="H8" s="34" t="s">
        <v>78</v>
      </c>
      <c r="I8" s="27" t="s">
        <v>109</v>
      </c>
      <c r="J8" s="34" t="s">
        <v>96</v>
      </c>
      <c r="K8" s="27" t="s">
        <v>97</v>
      </c>
      <c r="L8" s="34" t="s">
        <v>87</v>
      </c>
      <c r="M8" s="27" t="s">
        <v>98</v>
      </c>
      <c r="N8" s="34" t="s">
        <v>110</v>
      </c>
      <c r="O8" s="27" t="s">
        <v>109</v>
      </c>
      <c r="P8" s="34" t="s">
        <v>77</v>
      </c>
      <c r="Q8" s="27" t="s">
        <v>294</v>
      </c>
      <c r="R8" s="34" t="s">
        <v>291</v>
      </c>
      <c r="S8" s="27" t="s">
        <v>290</v>
      </c>
      <c r="T8" s="34" t="s">
        <v>554</v>
      </c>
      <c r="U8" s="27" t="s">
        <v>290</v>
      </c>
      <c r="V8" s="34" t="s">
        <v>292</v>
      </c>
      <c r="W8" s="27" t="s">
        <v>290</v>
      </c>
      <c r="X8" s="34" t="s">
        <v>555</v>
      </c>
      <c r="Y8" s="27" t="s">
        <v>558</v>
      </c>
    </row>
    <row r="9" spans="1:25" ht="7.4" customHeight="1" x14ac:dyDescent="0.4">
      <c r="A9" s="52">
        <v>8</v>
      </c>
      <c r="B9" s="54" t="s">
        <v>84</v>
      </c>
      <c r="C9" s="49" t="s">
        <v>398</v>
      </c>
      <c r="D9" s="50" t="s">
        <v>10</v>
      </c>
      <c r="E9" s="51" t="s">
        <v>10</v>
      </c>
      <c r="F9" s="50" t="s">
        <v>10</v>
      </c>
      <c r="G9" s="51" t="s">
        <v>10</v>
      </c>
      <c r="H9" s="34" t="s">
        <v>78</v>
      </c>
      <c r="I9" s="27" t="s">
        <v>85</v>
      </c>
      <c r="J9" s="34" t="s">
        <v>96</v>
      </c>
      <c r="K9" s="27" t="s">
        <v>97</v>
      </c>
      <c r="L9" s="34" t="s">
        <v>87</v>
      </c>
      <c r="M9" s="27" t="s">
        <v>91</v>
      </c>
      <c r="N9" s="34" t="s">
        <v>110</v>
      </c>
      <c r="O9" s="27" t="s">
        <v>91</v>
      </c>
      <c r="P9" s="34" t="s">
        <v>77</v>
      </c>
      <c r="Q9" s="27" t="s">
        <v>301</v>
      </c>
      <c r="R9" s="34" t="s">
        <v>291</v>
      </c>
      <c r="S9" s="27" t="s">
        <v>290</v>
      </c>
      <c r="T9" s="34" t="s">
        <v>554</v>
      </c>
      <c r="U9" s="27" t="s">
        <v>290</v>
      </c>
      <c r="V9" s="34" t="s">
        <v>292</v>
      </c>
      <c r="W9" s="27" t="s">
        <v>290</v>
      </c>
      <c r="X9" s="34" t="s">
        <v>555</v>
      </c>
      <c r="Y9" s="27" t="s">
        <v>558</v>
      </c>
    </row>
    <row r="10" spans="1:25" ht="7.4" customHeight="1" x14ac:dyDescent="0.4">
      <c r="A10" s="52">
        <v>9</v>
      </c>
      <c r="B10" s="54" t="s">
        <v>83</v>
      </c>
      <c r="C10" s="49" t="s">
        <v>398</v>
      </c>
      <c r="D10" s="50" t="s">
        <v>10</v>
      </c>
      <c r="E10" s="51" t="s">
        <v>10</v>
      </c>
      <c r="F10" s="50" t="s">
        <v>10</v>
      </c>
      <c r="G10" s="51" t="s">
        <v>10</v>
      </c>
      <c r="H10" s="34" t="s">
        <v>78</v>
      </c>
      <c r="I10" s="27" t="s">
        <v>107</v>
      </c>
      <c r="J10" s="34" t="s">
        <v>96</v>
      </c>
      <c r="K10" s="27" t="s">
        <v>97</v>
      </c>
      <c r="L10" s="34" t="s">
        <v>87</v>
      </c>
      <c r="M10" s="27" t="s">
        <v>90</v>
      </c>
      <c r="N10" s="34" t="s">
        <v>110</v>
      </c>
      <c r="O10" s="27" t="s">
        <v>90</v>
      </c>
      <c r="P10" s="34" t="s">
        <v>77</v>
      </c>
      <c r="Q10" s="27" t="s">
        <v>302</v>
      </c>
      <c r="R10" s="34" t="s">
        <v>291</v>
      </c>
      <c r="S10" s="27" t="s">
        <v>290</v>
      </c>
      <c r="T10" s="34" t="s">
        <v>554</v>
      </c>
      <c r="U10" s="27" t="s">
        <v>290</v>
      </c>
      <c r="V10" s="34" t="s">
        <v>292</v>
      </c>
      <c r="W10" s="27" t="s">
        <v>290</v>
      </c>
      <c r="X10" s="34" t="s">
        <v>555</v>
      </c>
      <c r="Y10" s="27" t="s">
        <v>558</v>
      </c>
    </row>
    <row r="11" spans="1:25" ht="7.4" customHeight="1" x14ac:dyDescent="0.4">
      <c r="A11" s="52">
        <v>10</v>
      </c>
      <c r="B11" s="54" t="s">
        <v>100</v>
      </c>
      <c r="C11" s="49" t="s">
        <v>398</v>
      </c>
      <c r="D11" s="50" t="s">
        <v>10</v>
      </c>
      <c r="E11" s="51" t="s">
        <v>10</v>
      </c>
      <c r="F11" s="50" t="s">
        <v>10</v>
      </c>
      <c r="G11" s="51" t="s">
        <v>10</v>
      </c>
      <c r="H11" s="34" t="s">
        <v>78</v>
      </c>
      <c r="I11" s="27" t="s">
        <v>104</v>
      </c>
      <c r="J11" s="34" t="s">
        <v>96</v>
      </c>
      <c r="K11" s="27" t="s">
        <v>97</v>
      </c>
      <c r="L11" s="34" t="s">
        <v>87</v>
      </c>
      <c r="M11" s="27" t="s">
        <v>92</v>
      </c>
      <c r="N11" s="34" t="s">
        <v>110</v>
      </c>
      <c r="O11" s="27" t="s">
        <v>165</v>
      </c>
      <c r="P11" s="34" t="s">
        <v>77</v>
      </c>
      <c r="Q11" s="27" t="s">
        <v>303</v>
      </c>
      <c r="R11" s="34" t="s">
        <v>291</v>
      </c>
      <c r="S11" s="27" t="s">
        <v>290</v>
      </c>
      <c r="T11" s="34" t="s">
        <v>554</v>
      </c>
      <c r="U11" s="27" t="s">
        <v>290</v>
      </c>
      <c r="V11" s="34" t="s">
        <v>292</v>
      </c>
      <c r="W11" s="27" t="s">
        <v>290</v>
      </c>
      <c r="X11" s="34" t="s">
        <v>555</v>
      </c>
      <c r="Y11" s="27" t="s">
        <v>558</v>
      </c>
    </row>
    <row r="12" spans="1:25" ht="7.4" customHeight="1" x14ac:dyDescent="0.4">
      <c r="A12" s="52">
        <v>11</v>
      </c>
      <c r="B12" s="54" t="s">
        <v>86</v>
      </c>
      <c r="C12" s="49" t="s">
        <v>398</v>
      </c>
      <c r="D12" s="50" t="s">
        <v>10</v>
      </c>
      <c r="E12" s="51" t="s">
        <v>10</v>
      </c>
      <c r="F12" s="50" t="s">
        <v>10</v>
      </c>
      <c r="G12" s="51" t="s">
        <v>10</v>
      </c>
      <c r="H12" s="34" t="s">
        <v>78</v>
      </c>
      <c r="I12" s="27" t="s">
        <v>105</v>
      </c>
      <c r="J12" s="34" t="s">
        <v>96</v>
      </c>
      <c r="K12" s="27" t="s">
        <v>97</v>
      </c>
      <c r="L12" s="34" t="s">
        <v>87</v>
      </c>
      <c r="M12" s="27" t="s">
        <v>93</v>
      </c>
      <c r="N12" s="34" t="s">
        <v>110</v>
      </c>
      <c r="O12" s="27" t="s">
        <v>165</v>
      </c>
      <c r="P12" s="34" t="s">
        <v>77</v>
      </c>
      <c r="Q12" s="27" t="s">
        <v>303</v>
      </c>
      <c r="R12" s="34" t="s">
        <v>291</v>
      </c>
      <c r="S12" s="27" t="s">
        <v>290</v>
      </c>
      <c r="T12" s="34" t="s">
        <v>554</v>
      </c>
      <c r="U12" s="27" t="s">
        <v>290</v>
      </c>
      <c r="V12" s="34" t="s">
        <v>292</v>
      </c>
      <c r="W12" s="27" t="s">
        <v>290</v>
      </c>
      <c r="X12" s="34" t="s">
        <v>555</v>
      </c>
      <c r="Y12" s="27" t="s">
        <v>558</v>
      </c>
    </row>
    <row r="13" spans="1:25" ht="7.4" customHeight="1" x14ac:dyDescent="0.4">
      <c r="A13" s="52">
        <v>12</v>
      </c>
      <c r="B13" s="54" t="s">
        <v>280</v>
      </c>
      <c r="C13" s="49" t="s">
        <v>398</v>
      </c>
      <c r="D13" s="50" t="s">
        <v>10</v>
      </c>
      <c r="E13" s="51" t="s">
        <v>10</v>
      </c>
      <c r="F13" s="50" t="s">
        <v>10</v>
      </c>
      <c r="G13" s="51" t="s">
        <v>10</v>
      </c>
      <c r="H13" s="34" t="s">
        <v>78</v>
      </c>
      <c r="I13" s="27" t="s">
        <v>163</v>
      </c>
      <c r="J13" s="34" t="s">
        <v>96</v>
      </c>
      <c r="K13" s="27" t="s">
        <v>97</v>
      </c>
      <c r="L13" s="34" t="s">
        <v>87</v>
      </c>
      <c r="M13" s="27" t="s">
        <v>164</v>
      </c>
      <c r="N13" s="34" t="s">
        <v>110</v>
      </c>
      <c r="O13" s="27" t="s">
        <v>165</v>
      </c>
      <c r="P13" s="34" t="s">
        <v>77</v>
      </c>
      <c r="Q13" s="27" t="s">
        <v>303</v>
      </c>
      <c r="R13" s="34" t="s">
        <v>291</v>
      </c>
      <c r="S13" s="27" t="s">
        <v>290</v>
      </c>
      <c r="T13" s="34" t="s">
        <v>554</v>
      </c>
      <c r="U13" s="27" t="s">
        <v>290</v>
      </c>
      <c r="V13" s="34" t="s">
        <v>292</v>
      </c>
      <c r="W13" s="27" t="s">
        <v>290</v>
      </c>
      <c r="X13" s="34" t="s">
        <v>555</v>
      </c>
      <c r="Y13" s="27" t="s">
        <v>558</v>
      </c>
    </row>
    <row r="14" spans="1:25" ht="7.4" customHeight="1" x14ac:dyDescent="0.4">
      <c r="A14" s="52">
        <v>13</v>
      </c>
      <c r="B14" s="54" t="s">
        <v>94</v>
      </c>
      <c r="C14" s="49" t="s">
        <v>398</v>
      </c>
      <c r="D14" s="50" t="s">
        <v>10</v>
      </c>
      <c r="E14" s="51" t="s">
        <v>10</v>
      </c>
      <c r="F14" s="50" t="s">
        <v>10</v>
      </c>
      <c r="G14" s="51" t="s">
        <v>10</v>
      </c>
      <c r="H14" s="34" t="s">
        <v>78</v>
      </c>
      <c r="I14" s="27" t="s">
        <v>106</v>
      </c>
      <c r="J14" s="34" t="s">
        <v>96</v>
      </c>
      <c r="K14" s="27" t="s">
        <v>97</v>
      </c>
      <c r="L14" s="34" t="s">
        <v>87</v>
      </c>
      <c r="M14" s="27" t="s">
        <v>95</v>
      </c>
      <c r="N14" s="34" t="s">
        <v>110</v>
      </c>
      <c r="O14" s="27" t="s">
        <v>165</v>
      </c>
      <c r="P14" s="34" t="s">
        <v>77</v>
      </c>
      <c r="Q14" s="27" t="s">
        <v>303</v>
      </c>
      <c r="R14" s="34" t="s">
        <v>291</v>
      </c>
      <c r="S14" s="27" t="s">
        <v>290</v>
      </c>
      <c r="T14" s="34" t="s">
        <v>554</v>
      </c>
      <c r="U14" s="27" t="s">
        <v>290</v>
      </c>
      <c r="V14" s="34" t="s">
        <v>292</v>
      </c>
      <c r="W14" s="27" t="s">
        <v>290</v>
      </c>
      <c r="X14" s="34" t="s">
        <v>555</v>
      </c>
      <c r="Y14" s="27" t="s">
        <v>558</v>
      </c>
    </row>
    <row r="15" spans="1:25" ht="7.4" customHeight="1" x14ac:dyDescent="0.4">
      <c r="A15" s="52">
        <v>14</v>
      </c>
      <c r="B15" s="54" t="s">
        <v>119</v>
      </c>
      <c r="C15" s="41" t="s">
        <v>547</v>
      </c>
      <c r="D15" s="50" t="s">
        <v>82</v>
      </c>
      <c r="E15" s="51" t="s">
        <v>99</v>
      </c>
      <c r="F15" s="50" t="s">
        <v>10</v>
      </c>
      <c r="G15" s="51" t="s">
        <v>10</v>
      </c>
      <c r="H15" s="34" t="s">
        <v>78</v>
      </c>
      <c r="I15" s="27" t="s">
        <v>108</v>
      </c>
      <c r="J15" s="34" t="s">
        <v>96</v>
      </c>
      <c r="K15" s="27" t="s">
        <v>97</v>
      </c>
      <c r="L15" s="34" t="s">
        <v>87</v>
      </c>
      <c r="M15" s="27" t="s">
        <v>89</v>
      </c>
      <c r="N15" s="34" t="s">
        <v>110</v>
      </c>
      <c r="O15" s="27" t="s">
        <v>89</v>
      </c>
      <c r="P15" s="34" t="s">
        <v>77</v>
      </c>
      <c r="Q15" s="27" t="s">
        <v>304</v>
      </c>
      <c r="R15" s="34" t="s">
        <v>291</v>
      </c>
      <c r="S15" s="27" t="s">
        <v>296</v>
      </c>
      <c r="T15" s="34" t="s">
        <v>554</v>
      </c>
      <c r="U15" s="27" t="s">
        <v>557</v>
      </c>
      <c r="V15" s="34" t="s">
        <v>292</v>
      </c>
      <c r="W15" s="27" t="s">
        <v>290</v>
      </c>
      <c r="X15" s="34" t="s">
        <v>555</v>
      </c>
      <c r="Y15" s="27" t="s">
        <v>558</v>
      </c>
    </row>
    <row r="16" spans="1:25" ht="7.4" customHeight="1" x14ac:dyDescent="0.4">
      <c r="A16" s="52">
        <v>15</v>
      </c>
      <c r="B16" s="54" t="s">
        <v>123</v>
      </c>
      <c r="C16" s="41" t="s">
        <v>547</v>
      </c>
      <c r="D16" s="50" t="s">
        <v>82</v>
      </c>
      <c r="E16" s="51" t="s">
        <v>99</v>
      </c>
      <c r="F16" s="50" t="s">
        <v>10</v>
      </c>
      <c r="G16" s="51" t="s">
        <v>10</v>
      </c>
      <c r="H16" s="34" t="s">
        <v>78</v>
      </c>
      <c r="I16" s="27" t="s">
        <v>112</v>
      </c>
      <c r="J16" s="34" t="s">
        <v>96</v>
      </c>
      <c r="K16" s="27" t="s">
        <v>97</v>
      </c>
      <c r="L16" s="34" t="s">
        <v>87</v>
      </c>
      <c r="M16" s="27" t="s">
        <v>116</v>
      </c>
      <c r="N16" s="34" t="s">
        <v>110</v>
      </c>
      <c r="O16" s="27" t="s">
        <v>91</v>
      </c>
      <c r="P16" s="34" t="s">
        <v>77</v>
      </c>
      <c r="Q16" s="27" t="s">
        <v>301</v>
      </c>
      <c r="R16" s="34" t="s">
        <v>291</v>
      </c>
      <c r="S16" s="27" t="s">
        <v>296</v>
      </c>
      <c r="T16" s="34" t="s">
        <v>554</v>
      </c>
      <c r="U16" s="27" t="s">
        <v>557</v>
      </c>
      <c r="V16" s="34" t="s">
        <v>292</v>
      </c>
      <c r="W16" s="27" t="s">
        <v>290</v>
      </c>
      <c r="X16" s="34" t="s">
        <v>555</v>
      </c>
      <c r="Y16" s="27" t="s">
        <v>558</v>
      </c>
    </row>
    <row r="17" spans="1:25" ht="7.4" customHeight="1" x14ac:dyDescent="0.4">
      <c r="A17" s="52">
        <v>16</v>
      </c>
      <c r="B17" s="54" t="s">
        <v>120</v>
      </c>
      <c r="C17" s="41" t="s">
        <v>547</v>
      </c>
      <c r="D17" s="50" t="s">
        <v>82</v>
      </c>
      <c r="E17" s="51" t="s">
        <v>99</v>
      </c>
      <c r="F17" s="50" t="s">
        <v>10</v>
      </c>
      <c r="G17" s="51" t="s">
        <v>10</v>
      </c>
      <c r="H17" s="34" t="s">
        <v>78</v>
      </c>
      <c r="I17" s="27" t="s">
        <v>103</v>
      </c>
      <c r="J17" s="34" t="s">
        <v>96</v>
      </c>
      <c r="K17" s="27" t="s">
        <v>97</v>
      </c>
      <c r="L17" s="34" t="s">
        <v>87</v>
      </c>
      <c r="M17" s="27" t="s">
        <v>88</v>
      </c>
      <c r="N17" s="34" t="s">
        <v>110</v>
      </c>
      <c r="O17" s="27" t="s">
        <v>89</v>
      </c>
      <c r="P17" s="34" t="s">
        <v>77</v>
      </c>
      <c r="Q17" s="27" t="s">
        <v>304</v>
      </c>
      <c r="R17" s="34" t="s">
        <v>291</v>
      </c>
      <c r="S17" s="27" t="s">
        <v>296</v>
      </c>
      <c r="T17" s="34" t="s">
        <v>554</v>
      </c>
      <c r="U17" s="27" t="s">
        <v>557</v>
      </c>
      <c r="V17" s="34" t="s">
        <v>292</v>
      </c>
      <c r="W17" s="27" t="s">
        <v>290</v>
      </c>
      <c r="X17" s="34" t="s">
        <v>555</v>
      </c>
      <c r="Y17" s="27" t="s">
        <v>558</v>
      </c>
    </row>
    <row r="18" spans="1:25" ht="7.4" customHeight="1" x14ac:dyDescent="0.4">
      <c r="A18" s="52">
        <v>17</v>
      </c>
      <c r="B18" s="54" t="s">
        <v>121</v>
      </c>
      <c r="C18" s="41" t="s">
        <v>547</v>
      </c>
      <c r="D18" s="50" t="s">
        <v>82</v>
      </c>
      <c r="E18" s="51" t="s">
        <v>99</v>
      </c>
      <c r="F18" s="50" t="s">
        <v>10</v>
      </c>
      <c r="G18" s="51" t="s">
        <v>10</v>
      </c>
      <c r="H18" s="34" t="s">
        <v>78</v>
      </c>
      <c r="I18" s="27" t="s">
        <v>111</v>
      </c>
      <c r="J18" s="34" t="s">
        <v>96</v>
      </c>
      <c r="K18" s="27" t="s">
        <v>97</v>
      </c>
      <c r="L18" s="34" t="s">
        <v>87</v>
      </c>
      <c r="M18" s="27" t="s">
        <v>115</v>
      </c>
      <c r="N18" s="34" t="s">
        <v>110</v>
      </c>
      <c r="O18" s="27" t="s">
        <v>91</v>
      </c>
      <c r="P18" s="34" t="s">
        <v>77</v>
      </c>
      <c r="Q18" s="27" t="s">
        <v>293</v>
      </c>
      <c r="R18" s="34" t="s">
        <v>291</v>
      </c>
      <c r="S18" s="27" t="s">
        <v>296</v>
      </c>
      <c r="T18" s="34" t="s">
        <v>554</v>
      </c>
      <c r="U18" s="27" t="s">
        <v>557</v>
      </c>
      <c r="V18" s="34" t="s">
        <v>292</v>
      </c>
      <c r="W18" s="27" t="s">
        <v>290</v>
      </c>
      <c r="X18" s="34" t="s">
        <v>555</v>
      </c>
      <c r="Y18" s="27" t="s">
        <v>558</v>
      </c>
    </row>
    <row r="19" spans="1:25" ht="7.4" customHeight="1" x14ac:dyDescent="0.4">
      <c r="A19" s="52">
        <v>18</v>
      </c>
      <c r="B19" s="54" t="s">
        <v>122</v>
      </c>
      <c r="C19" s="41" t="s">
        <v>547</v>
      </c>
      <c r="D19" s="50" t="s">
        <v>82</v>
      </c>
      <c r="E19" s="51" t="s">
        <v>99</v>
      </c>
      <c r="F19" s="50" t="s">
        <v>10</v>
      </c>
      <c r="G19" s="51" t="s">
        <v>10</v>
      </c>
      <c r="H19" s="34" t="s">
        <v>78</v>
      </c>
      <c r="I19" s="27" t="s">
        <v>113</v>
      </c>
      <c r="J19" s="34" t="s">
        <v>96</v>
      </c>
      <c r="K19" s="27" t="s">
        <v>97</v>
      </c>
      <c r="L19" s="34" t="s">
        <v>87</v>
      </c>
      <c r="M19" s="27" t="s">
        <v>114</v>
      </c>
      <c r="N19" s="34" t="s">
        <v>110</v>
      </c>
      <c r="O19" s="27" t="s">
        <v>91</v>
      </c>
      <c r="P19" s="34" t="s">
        <v>77</v>
      </c>
      <c r="Q19" s="27" t="s">
        <v>293</v>
      </c>
      <c r="R19" s="34" t="s">
        <v>291</v>
      </c>
      <c r="S19" s="27" t="s">
        <v>296</v>
      </c>
      <c r="T19" s="34" t="s">
        <v>554</v>
      </c>
      <c r="U19" s="27" t="s">
        <v>557</v>
      </c>
      <c r="V19" s="34" t="s">
        <v>292</v>
      </c>
      <c r="W19" s="27" t="s">
        <v>290</v>
      </c>
      <c r="X19" s="34" t="s">
        <v>555</v>
      </c>
      <c r="Y19" s="27" t="s">
        <v>558</v>
      </c>
    </row>
    <row r="20" spans="1:25" ht="7.4" customHeight="1" x14ac:dyDescent="0.4">
      <c r="A20" s="52">
        <v>19</v>
      </c>
      <c r="B20" s="54" t="s">
        <v>281</v>
      </c>
      <c r="C20" s="41" t="s">
        <v>547</v>
      </c>
      <c r="D20" s="50" t="s">
        <v>82</v>
      </c>
      <c r="E20" s="51" t="s">
        <v>99</v>
      </c>
      <c r="F20" s="50" t="s">
        <v>10</v>
      </c>
      <c r="G20" s="51" t="s">
        <v>10</v>
      </c>
      <c r="H20" s="34" t="s">
        <v>78</v>
      </c>
      <c r="I20" s="27" t="s">
        <v>117</v>
      </c>
      <c r="J20" s="34" t="s">
        <v>96</v>
      </c>
      <c r="K20" s="27" t="s">
        <v>97</v>
      </c>
      <c r="L20" s="34" t="s">
        <v>87</v>
      </c>
      <c r="M20" s="27" t="s">
        <v>118</v>
      </c>
      <c r="N20" s="34" t="s">
        <v>110</v>
      </c>
      <c r="O20" s="27" t="s">
        <v>91</v>
      </c>
      <c r="P20" s="34" t="s">
        <v>77</v>
      </c>
      <c r="Q20" s="27" t="s">
        <v>293</v>
      </c>
      <c r="R20" s="34" t="s">
        <v>291</v>
      </c>
      <c r="S20" s="27" t="s">
        <v>296</v>
      </c>
      <c r="T20" s="34" t="s">
        <v>554</v>
      </c>
      <c r="U20" s="27" t="s">
        <v>557</v>
      </c>
      <c r="V20" s="34" t="s">
        <v>292</v>
      </c>
      <c r="W20" s="27" t="s">
        <v>290</v>
      </c>
      <c r="X20" s="34" t="s">
        <v>555</v>
      </c>
      <c r="Y20" s="27" t="s">
        <v>558</v>
      </c>
    </row>
    <row r="21" spans="1:25" ht="7.4" customHeight="1" x14ac:dyDescent="0.4">
      <c r="A21" s="52">
        <v>20</v>
      </c>
      <c r="B21" s="54" t="s">
        <v>124</v>
      </c>
      <c r="C21" s="41" t="s">
        <v>547</v>
      </c>
      <c r="D21" s="50" t="s">
        <v>82</v>
      </c>
      <c r="E21" s="51" t="s">
        <v>99</v>
      </c>
      <c r="F21" s="50" t="s">
        <v>82</v>
      </c>
      <c r="G21" s="51" t="s">
        <v>119</v>
      </c>
      <c r="H21" s="34" t="s">
        <v>78</v>
      </c>
      <c r="I21" s="27" t="s">
        <v>166</v>
      </c>
      <c r="J21" s="34" t="s">
        <v>96</v>
      </c>
      <c r="K21" s="27" t="s">
        <v>97</v>
      </c>
      <c r="L21" s="34" t="s">
        <v>87</v>
      </c>
      <c r="M21" s="27" t="s">
        <v>125</v>
      </c>
      <c r="N21" s="34" t="s">
        <v>110</v>
      </c>
      <c r="O21" s="27" t="s">
        <v>90</v>
      </c>
      <c r="P21" s="34" t="s">
        <v>77</v>
      </c>
      <c r="Q21" s="27" t="s">
        <v>305</v>
      </c>
      <c r="R21" s="34" t="s">
        <v>291</v>
      </c>
      <c r="S21" s="27" t="s">
        <v>296</v>
      </c>
      <c r="T21" s="34" t="s">
        <v>554</v>
      </c>
      <c r="U21" s="27" t="s">
        <v>557</v>
      </c>
      <c r="V21" s="34" t="s">
        <v>292</v>
      </c>
      <c r="W21" s="27" t="s">
        <v>290</v>
      </c>
      <c r="X21" s="34" t="s">
        <v>555</v>
      </c>
      <c r="Y21" s="27" t="s">
        <v>558</v>
      </c>
    </row>
    <row r="22" spans="1:25" ht="7.4" customHeight="1" x14ac:dyDescent="0.4">
      <c r="A22" s="52">
        <v>21</v>
      </c>
      <c r="B22" s="54" t="s">
        <v>126</v>
      </c>
      <c r="C22" s="41" t="s">
        <v>547</v>
      </c>
      <c r="D22" s="50" t="s">
        <v>82</v>
      </c>
      <c r="E22" s="51" t="s">
        <v>99</v>
      </c>
      <c r="F22" s="50" t="s">
        <v>82</v>
      </c>
      <c r="G22" s="51" t="s">
        <v>119</v>
      </c>
      <c r="H22" s="34" t="s">
        <v>78</v>
      </c>
      <c r="I22" s="27" t="s">
        <v>167</v>
      </c>
      <c r="J22" s="34" t="s">
        <v>96</v>
      </c>
      <c r="K22" s="27" t="s">
        <v>97</v>
      </c>
      <c r="L22" s="34" t="s">
        <v>87</v>
      </c>
      <c r="M22" s="27" t="s">
        <v>138</v>
      </c>
      <c r="N22" s="34" t="s">
        <v>110</v>
      </c>
      <c r="O22" s="27" t="s">
        <v>90</v>
      </c>
      <c r="P22" s="34" t="s">
        <v>77</v>
      </c>
      <c r="Q22" s="27" t="s">
        <v>306</v>
      </c>
      <c r="R22" s="34" t="s">
        <v>291</v>
      </c>
      <c r="S22" s="27" t="s">
        <v>296</v>
      </c>
      <c r="T22" s="34" t="s">
        <v>554</v>
      </c>
      <c r="U22" s="27" t="s">
        <v>557</v>
      </c>
      <c r="V22" s="34" t="s">
        <v>292</v>
      </c>
      <c r="W22" s="27" t="s">
        <v>290</v>
      </c>
      <c r="X22" s="34" t="s">
        <v>555</v>
      </c>
      <c r="Y22" s="27" t="s">
        <v>558</v>
      </c>
    </row>
    <row r="23" spans="1:25" ht="7.4" customHeight="1" x14ac:dyDescent="0.4">
      <c r="A23" s="52">
        <v>22</v>
      </c>
      <c r="B23" s="54" t="s">
        <v>127</v>
      </c>
      <c r="C23" s="41" t="s">
        <v>547</v>
      </c>
      <c r="D23" s="50" t="s">
        <v>82</v>
      </c>
      <c r="E23" s="51" t="s">
        <v>99</v>
      </c>
      <c r="F23" s="50" t="s">
        <v>82</v>
      </c>
      <c r="G23" s="51" t="s">
        <v>119</v>
      </c>
      <c r="H23" s="34" t="s">
        <v>78</v>
      </c>
      <c r="I23" s="27" t="s">
        <v>168</v>
      </c>
      <c r="J23" s="34" t="s">
        <v>96</v>
      </c>
      <c r="K23" s="27" t="s">
        <v>97</v>
      </c>
      <c r="L23" s="34" t="s">
        <v>87</v>
      </c>
      <c r="M23" s="27" t="s">
        <v>139</v>
      </c>
      <c r="N23" s="34" t="s">
        <v>110</v>
      </c>
      <c r="O23" s="27" t="s">
        <v>90</v>
      </c>
      <c r="P23" s="34" t="s">
        <v>77</v>
      </c>
      <c r="Q23" s="27" t="s">
        <v>307</v>
      </c>
      <c r="R23" s="34" t="s">
        <v>291</v>
      </c>
      <c r="S23" s="27" t="s">
        <v>296</v>
      </c>
      <c r="T23" s="34" t="s">
        <v>554</v>
      </c>
      <c r="U23" s="27" t="s">
        <v>557</v>
      </c>
      <c r="V23" s="34" t="s">
        <v>292</v>
      </c>
      <c r="W23" s="27" t="s">
        <v>290</v>
      </c>
      <c r="X23" s="34" t="s">
        <v>555</v>
      </c>
      <c r="Y23" s="27" t="s">
        <v>558</v>
      </c>
    </row>
    <row r="24" spans="1:25" ht="7.4" customHeight="1" x14ac:dyDescent="0.4">
      <c r="A24" s="52">
        <v>23</v>
      </c>
      <c r="B24" s="54" t="s">
        <v>128</v>
      </c>
      <c r="C24" s="41" t="s">
        <v>547</v>
      </c>
      <c r="D24" s="50" t="s">
        <v>82</v>
      </c>
      <c r="E24" s="51" t="s">
        <v>99</v>
      </c>
      <c r="F24" s="50" t="s">
        <v>82</v>
      </c>
      <c r="G24" s="51" t="s">
        <v>119</v>
      </c>
      <c r="H24" s="34" t="s">
        <v>78</v>
      </c>
      <c r="I24" s="27" t="s">
        <v>169</v>
      </c>
      <c r="J24" s="34" t="s">
        <v>96</v>
      </c>
      <c r="K24" s="27" t="s">
        <v>97</v>
      </c>
      <c r="L24" s="34" t="s">
        <v>87</v>
      </c>
      <c r="M24" s="27" t="s">
        <v>141</v>
      </c>
      <c r="N24" s="34" t="s">
        <v>110</v>
      </c>
      <c r="O24" s="27" t="s">
        <v>90</v>
      </c>
      <c r="P24" s="34" t="s">
        <v>77</v>
      </c>
      <c r="Q24" s="27" t="s">
        <v>308</v>
      </c>
      <c r="R24" s="34" t="s">
        <v>291</v>
      </c>
      <c r="S24" s="27" t="s">
        <v>296</v>
      </c>
      <c r="T24" s="34" t="s">
        <v>554</v>
      </c>
      <c r="U24" s="27" t="s">
        <v>557</v>
      </c>
      <c r="V24" s="34" t="s">
        <v>292</v>
      </c>
      <c r="W24" s="27" t="s">
        <v>290</v>
      </c>
      <c r="X24" s="34" t="s">
        <v>555</v>
      </c>
      <c r="Y24" s="27" t="s">
        <v>558</v>
      </c>
    </row>
    <row r="25" spans="1:25" ht="7.4" customHeight="1" x14ac:dyDescent="0.4">
      <c r="A25" s="52">
        <v>24</v>
      </c>
      <c r="B25" s="54" t="s">
        <v>129</v>
      </c>
      <c r="C25" s="41" t="s">
        <v>547</v>
      </c>
      <c r="D25" s="50" t="s">
        <v>82</v>
      </c>
      <c r="E25" s="51" t="s">
        <v>99</v>
      </c>
      <c r="F25" s="50" t="s">
        <v>82</v>
      </c>
      <c r="G25" s="51" t="s">
        <v>119</v>
      </c>
      <c r="H25" s="34" t="s">
        <v>78</v>
      </c>
      <c r="I25" s="27" t="s">
        <v>170</v>
      </c>
      <c r="J25" s="34" t="s">
        <v>96</v>
      </c>
      <c r="K25" s="27" t="s">
        <v>97</v>
      </c>
      <c r="L25" s="34" t="s">
        <v>87</v>
      </c>
      <c r="M25" s="27" t="s">
        <v>142</v>
      </c>
      <c r="N25" s="34" t="s">
        <v>110</v>
      </c>
      <c r="O25" s="27" t="s">
        <v>90</v>
      </c>
      <c r="P25" s="34" t="s">
        <v>77</v>
      </c>
      <c r="Q25" s="27" t="s">
        <v>309</v>
      </c>
      <c r="R25" s="34" t="s">
        <v>291</v>
      </c>
      <c r="S25" s="27" t="s">
        <v>296</v>
      </c>
      <c r="T25" s="34" t="s">
        <v>554</v>
      </c>
      <c r="U25" s="27" t="s">
        <v>557</v>
      </c>
      <c r="V25" s="34" t="s">
        <v>292</v>
      </c>
      <c r="W25" s="27" t="s">
        <v>290</v>
      </c>
      <c r="X25" s="34" t="s">
        <v>555</v>
      </c>
      <c r="Y25" s="27" t="s">
        <v>558</v>
      </c>
    </row>
    <row r="26" spans="1:25" ht="7.4" customHeight="1" x14ac:dyDescent="0.4">
      <c r="A26" s="52">
        <v>25</v>
      </c>
      <c r="B26" s="54" t="s">
        <v>130</v>
      </c>
      <c r="C26" s="41" t="s">
        <v>547</v>
      </c>
      <c r="D26" s="50" t="s">
        <v>82</v>
      </c>
      <c r="E26" s="51" t="s">
        <v>99</v>
      </c>
      <c r="F26" s="50" t="s">
        <v>82</v>
      </c>
      <c r="G26" s="51" t="s">
        <v>119</v>
      </c>
      <c r="H26" s="34" t="s">
        <v>78</v>
      </c>
      <c r="I26" s="27" t="s">
        <v>171</v>
      </c>
      <c r="J26" s="34" t="s">
        <v>96</v>
      </c>
      <c r="K26" s="27" t="s">
        <v>97</v>
      </c>
      <c r="L26" s="34" t="s">
        <v>87</v>
      </c>
      <c r="M26" s="27" t="s">
        <v>143</v>
      </c>
      <c r="N26" s="34" t="s">
        <v>110</v>
      </c>
      <c r="O26" s="27" t="s">
        <v>90</v>
      </c>
      <c r="P26" s="34" t="s">
        <v>77</v>
      </c>
      <c r="Q26" s="27" t="s">
        <v>310</v>
      </c>
      <c r="R26" s="34" t="s">
        <v>291</v>
      </c>
      <c r="S26" s="27" t="s">
        <v>296</v>
      </c>
      <c r="T26" s="34" t="s">
        <v>554</v>
      </c>
      <c r="U26" s="27" t="s">
        <v>557</v>
      </c>
      <c r="V26" s="34" t="s">
        <v>292</v>
      </c>
      <c r="W26" s="27" t="s">
        <v>290</v>
      </c>
      <c r="X26" s="34" t="s">
        <v>555</v>
      </c>
      <c r="Y26" s="27" t="s">
        <v>558</v>
      </c>
    </row>
    <row r="27" spans="1:25" ht="7.4" customHeight="1" x14ac:dyDescent="0.4">
      <c r="A27" s="52">
        <v>26</v>
      </c>
      <c r="B27" s="54" t="s">
        <v>131</v>
      </c>
      <c r="C27" s="41" t="s">
        <v>547</v>
      </c>
      <c r="D27" s="50" t="s">
        <v>82</v>
      </c>
      <c r="E27" s="51" t="s">
        <v>99</v>
      </c>
      <c r="F27" s="50" t="s">
        <v>82</v>
      </c>
      <c r="G27" s="51" t="s">
        <v>119</v>
      </c>
      <c r="H27" s="34" t="s">
        <v>78</v>
      </c>
      <c r="I27" s="27" t="s">
        <v>172</v>
      </c>
      <c r="J27" s="34" t="s">
        <v>96</v>
      </c>
      <c r="K27" s="27" t="s">
        <v>97</v>
      </c>
      <c r="L27" s="34" t="s">
        <v>87</v>
      </c>
      <c r="M27" s="27" t="s">
        <v>144</v>
      </c>
      <c r="N27" s="34" t="s">
        <v>110</v>
      </c>
      <c r="O27" s="27" t="s">
        <v>104</v>
      </c>
      <c r="P27" s="34" t="s">
        <v>77</v>
      </c>
      <c r="Q27" s="27" t="s">
        <v>312</v>
      </c>
      <c r="R27" s="34" t="s">
        <v>291</v>
      </c>
      <c r="S27" s="27" t="s">
        <v>296</v>
      </c>
      <c r="T27" s="34" t="s">
        <v>554</v>
      </c>
      <c r="U27" s="27" t="s">
        <v>557</v>
      </c>
      <c r="V27" s="34" t="s">
        <v>292</v>
      </c>
      <c r="W27" s="27" t="s">
        <v>290</v>
      </c>
      <c r="X27" s="34" t="s">
        <v>555</v>
      </c>
      <c r="Y27" s="27" t="s">
        <v>558</v>
      </c>
    </row>
    <row r="28" spans="1:25" ht="7.4" customHeight="1" x14ac:dyDescent="0.4">
      <c r="A28" s="52">
        <v>27</v>
      </c>
      <c r="B28" s="54" t="s">
        <v>132</v>
      </c>
      <c r="C28" s="41" t="s">
        <v>547</v>
      </c>
      <c r="D28" s="50" t="s">
        <v>82</v>
      </c>
      <c r="E28" s="51" t="s">
        <v>99</v>
      </c>
      <c r="F28" s="50" t="s">
        <v>82</v>
      </c>
      <c r="G28" s="51" t="s">
        <v>119</v>
      </c>
      <c r="H28" s="34" t="s">
        <v>78</v>
      </c>
      <c r="I28" s="27" t="s">
        <v>173</v>
      </c>
      <c r="J28" s="34" t="s">
        <v>96</v>
      </c>
      <c r="K28" s="27" t="s">
        <v>97</v>
      </c>
      <c r="L28" s="34" t="s">
        <v>87</v>
      </c>
      <c r="M28" s="27" t="s">
        <v>145</v>
      </c>
      <c r="N28" s="34" t="s">
        <v>110</v>
      </c>
      <c r="O28" s="27" t="s">
        <v>162</v>
      </c>
      <c r="P28" s="34" t="s">
        <v>77</v>
      </c>
      <c r="Q28" s="27" t="s">
        <v>311</v>
      </c>
      <c r="R28" s="34" t="s">
        <v>291</v>
      </c>
      <c r="S28" s="27" t="s">
        <v>296</v>
      </c>
      <c r="T28" s="34" t="s">
        <v>554</v>
      </c>
      <c r="U28" s="27" t="s">
        <v>557</v>
      </c>
      <c r="V28" s="34" t="s">
        <v>292</v>
      </c>
      <c r="W28" s="27" t="s">
        <v>290</v>
      </c>
      <c r="X28" s="34" t="s">
        <v>555</v>
      </c>
      <c r="Y28" s="27" t="s">
        <v>558</v>
      </c>
    </row>
    <row r="29" spans="1:25" ht="7.4" customHeight="1" x14ac:dyDescent="0.4">
      <c r="A29" s="52">
        <v>28</v>
      </c>
      <c r="B29" s="54" t="s">
        <v>133</v>
      </c>
      <c r="C29" s="41" t="s">
        <v>547</v>
      </c>
      <c r="D29" s="50" t="s">
        <v>82</v>
      </c>
      <c r="E29" s="51" t="s">
        <v>99</v>
      </c>
      <c r="F29" s="50" t="s">
        <v>82</v>
      </c>
      <c r="G29" s="51" t="s">
        <v>119</v>
      </c>
      <c r="H29" s="34" t="s">
        <v>78</v>
      </c>
      <c r="I29" s="27" t="s">
        <v>174</v>
      </c>
      <c r="J29" s="34" t="s">
        <v>96</v>
      </c>
      <c r="K29" s="27" t="s">
        <v>97</v>
      </c>
      <c r="L29" s="34" t="s">
        <v>87</v>
      </c>
      <c r="M29" s="27" t="s">
        <v>146</v>
      </c>
      <c r="N29" s="34" t="s">
        <v>110</v>
      </c>
      <c r="O29" s="27" t="s">
        <v>162</v>
      </c>
      <c r="P29" s="34" t="s">
        <v>77</v>
      </c>
      <c r="Q29" s="27" t="s">
        <v>313</v>
      </c>
      <c r="R29" s="34" t="s">
        <v>291</v>
      </c>
      <c r="S29" s="27" t="s">
        <v>296</v>
      </c>
      <c r="T29" s="34" t="s">
        <v>554</v>
      </c>
      <c r="U29" s="27" t="s">
        <v>557</v>
      </c>
      <c r="V29" s="34" t="s">
        <v>292</v>
      </c>
      <c r="W29" s="27" t="s">
        <v>290</v>
      </c>
      <c r="X29" s="34" t="s">
        <v>555</v>
      </c>
      <c r="Y29" s="27" t="s">
        <v>558</v>
      </c>
    </row>
    <row r="30" spans="1:25" ht="7.4" customHeight="1" x14ac:dyDescent="0.4">
      <c r="A30" s="52">
        <v>29</v>
      </c>
      <c r="B30" s="54" t="s">
        <v>134</v>
      </c>
      <c r="C30" s="41" t="s">
        <v>547</v>
      </c>
      <c r="D30" s="50" t="s">
        <v>82</v>
      </c>
      <c r="E30" s="51" t="s">
        <v>99</v>
      </c>
      <c r="F30" s="50" t="s">
        <v>82</v>
      </c>
      <c r="G30" s="51" t="s">
        <v>119</v>
      </c>
      <c r="H30" s="34" t="s">
        <v>78</v>
      </c>
      <c r="I30" s="27" t="s">
        <v>175</v>
      </c>
      <c r="J30" s="34" t="s">
        <v>96</v>
      </c>
      <c r="K30" s="27" t="s">
        <v>97</v>
      </c>
      <c r="L30" s="34" t="s">
        <v>87</v>
      </c>
      <c r="M30" s="27" t="s">
        <v>147</v>
      </c>
      <c r="N30" s="34" t="s">
        <v>110</v>
      </c>
      <c r="O30" s="27" t="s">
        <v>162</v>
      </c>
      <c r="P30" s="34" t="s">
        <v>77</v>
      </c>
      <c r="Q30" s="27" t="s">
        <v>314</v>
      </c>
      <c r="R30" s="34" t="s">
        <v>291</v>
      </c>
      <c r="S30" s="27" t="s">
        <v>296</v>
      </c>
      <c r="T30" s="34" t="s">
        <v>554</v>
      </c>
      <c r="U30" s="27" t="s">
        <v>557</v>
      </c>
      <c r="V30" s="34" t="s">
        <v>292</v>
      </c>
      <c r="W30" s="27" t="s">
        <v>290</v>
      </c>
      <c r="X30" s="34" t="s">
        <v>555</v>
      </c>
      <c r="Y30" s="27" t="s">
        <v>558</v>
      </c>
    </row>
    <row r="31" spans="1:25" ht="7.4" customHeight="1" x14ac:dyDescent="0.4">
      <c r="A31" s="52">
        <v>30</v>
      </c>
      <c r="B31" s="54" t="s">
        <v>135</v>
      </c>
      <c r="C31" s="41" t="s">
        <v>547</v>
      </c>
      <c r="D31" s="50" t="s">
        <v>82</v>
      </c>
      <c r="E31" s="51" t="s">
        <v>99</v>
      </c>
      <c r="F31" s="50" t="s">
        <v>82</v>
      </c>
      <c r="G31" s="51" t="s">
        <v>119</v>
      </c>
      <c r="H31" s="34" t="s">
        <v>78</v>
      </c>
      <c r="I31" s="27" t="s">
        <v>176</v>
      </c>
      <c r="J31" s="34" t="s">
        <v>96</v>
      </c>
      <c r="K31" s="27" t="s">
        <v>97</v>
      </c>
      <c r="L31" s="34" t="s">
        <v>87</v>
      </c>
      <c r="M31" s="27" t="s">
        <v>148</v>
      </c>
      <c r="N31" s="34" t="s">
        <v>110</v>
      </c>
      <c r="O31" s="27" t="s">
        <v>162</v>
      </c>
      <c r="P31" s="34" t="s">
        <v>77</v>
      </c>
      <c r="Q31" s="27" t="s">
        <v>315</v>
      </c>
      <c r="R31" s="34" t="s">
        <v>291</v>
      </c>
      <c r="S31" s="27" t="s">
        <v>296</v>
      </c>
      <c r="T31" s="34" t="s">
        <v>554</v>
      </c>
      <c r="U31" s="27" t="s">
        <v>557</v>
      </c>
      <c r="V31" s="34" t="s">
        <v>292</v>
      </c>
      <c r="W31" s="27" t="s">
        <v>290</v>
      </c>
      <c r="X31" s="34" t="s">
        <v>555</v>
      </c>
      <c r="Y31" s="27" t="s">
        <v>558</v>
      </c>
    </row>
    <row r="32" spans="1:25" ht="7.4" customHeight="1" x14ac:dyDescent="0.4">
      <c r="A32" s="52">
        <v>31</v>
      </c>
      <c r="B32" s="54" t="s">
        <v>150</v>
      </c>
      <c r="C32" s="41" t="s">
        <v>547</v>
      </c>
      <c r="D32" s="50" t="s">
        <v>82</v>
      </c>
      <c r="E32" s="51" t="s">
        <v>99</v>
      </c>
      <c r="F32" s="50" t="s">
        <v>10</v>
      </c>
      <c r="G32" s="51" t="s">
        <v>10</v>
      </c>
      <c r="H32" s="34" t="s">
        <v>78</v>
      </c>
      <c r="I32" s="27" t="s">
        <v>177</v>
      </c>
      <c r="J32" s="34" t="s">
        <v>96</v>
      </c>
      <c r="K32" s="27" t="s">
        <v>97</v>
      </c>
      <c r="L32" s="34" t="s">
        <v>87</v>
      </c>
      <c r="M32" s="27" t="s">
        <v>149</v>
      </c>
      <c r="N32" s="34" t="s">
        <v>110</v>
      </c>
      <c r="O32" s="27" t="s">
        <v>88</v>
      </c>
      <c r="P32" s="34" t="s">
        <v>77</v>
      </c>
      <c r="Q32" s="27" t="s">
        <v>295</v>
      </c>
      <c r="R32" s="34" t="s">
        <v>291</v>
      </c>
      <c r="S32" s="27" t="s">
        <v>296</v>
      </c>
      <c r="T32" s="34" t="s">
        <v>554</v>
      </c>
      <c r="U32" s="27" t="s">
        <v>557</v>
      </c>
      <c r="V32" s="34" t="s">
        <v>292</v>
      </c>
      <c r="W32" s="27" t="s">
        <v>290</v>
      </c>
      <c r="X32" s="34" t="s">
        <v>555</v>
      </c>
      <c r="Y32" s="27" t="s">
        <v>558</v>
      </c>
    </row>
    <row r="33" spans="1:25" ht="7.4" customHeight="1" x14ac:dyDescent="0.4">
      <c r="A33" s="52">
        <v>32</v>
      </c>
      <c r="B33" s="54" t="s">
        <v>136</v>
      </c>
      <c r="C33" s="41" t="s">
        <v>547</v>
      </c>
      <c r="D33" s="50" t="s">
        <v>82</v>
      </c>
      <c r="E33" s="51" t="s">
        <v>99</v>
      </c>
      <c r="F33" s="50" t="s">
        <v>10</v>
      </c>
      <c r="G33" s="51" t="s">
        <v>10</v>
      </c>
      <c r="H33" s="34" t="s">
        <v>78</v>
      </c>
      <c r="I33" s="27" t="s">
        <v>178</v>
      </c>
      <c r="J33" s="34" t="s">
        <v>96</v>
      </c>
      <c r="K33" s="27" t="s">
        <v>97</v>
      </c>
      <c r="L33" s="34" t="s">
        <v>87</v>
      </c>
      <c r="M33" s="27" t="s">
        <v>140</v>
      </c>
      <c r="N33" s="34" t="s">
        <v>110</v>
      </c>
      <c r="O33" s="27" t="s">
        <v>162</v>
      </c>
      <c r="P33" s="34" t="s">
        <v>77</v>
      </c>
      <c r="Q33" s="27" t="s">
        <v>316</v>
      </c>
      <c r="R33" s="34" t="s">
        <v>291</v>
      </c>
      <c r="S33" s="27" t="s">
        <v>296</v>
      </c>
      <c r="T33" s="34" t="s">
        <v>554</v>
      </c>
      <c r="U33" s="27" t="s">
        <v>557</v>
      </c>
      <c r="V33" s="34" t="s">
        <v>292</v>
      </c>
      <c r="W33" s="27" t="s">
        <v>290</v>
      </c>
      <c r="X33" s="34" t="s">
        <v>555</v>
      </c>
      <c r="Y33" s="27" t="s">
        <v>558</v>
      </c>
    </row>
    <row r="34" spans="1:25" ht="7.4" customHeight="1" x14ac:dyDescent="0.4">
      <c r="A34" s="52">
        <v>33</v>
      </c>
      <c r="B34" s="54" t="s">
        <v>137</v>
      </c>
      <c r="C34" s="41" t="s">
        <v>547</v>
      </c>
      <c r="D34" s="50" t="s">
        <v>82</v>
      </c>
      <c r="E34" s="51" t="s">
        <v>99</v>
      </c>
      <c r="F34" s="50" t="s">
        <v>10</v>
      </c>
      <c r="G34" s="51" t="s">
        <v>10</v>
      </c>
      <c r="H34" s="34" t="s">
        <v>78</v>
      </c>
      <c r="I34" s="27" t="s">
        <v>179</v>
      </c>
      <c r="J34" s="34" t="s">
        <v>96</v>
      </c>
      <c r="K34" s="27" t="s">
        <v>97</v>
      </c>
      <c r="L34" s="34" t="s">
        <v>87</v>
      </c>
      <c r="M34" s="27" t="s">
        <v>151</v>
      </c>
      <c r="N34" s="34" t="s">
        <v>110</v>
      </c>
      <c r="O34" s="27" t="s">
        <v>91</v>
      </c>
      <c r="P34" s="34" t="s">
        <v>77</v>
      </c>
      <c r="Q34" s="27" t="s">
        <v>317</v>
      </c>
      <c r="R34" s="34" t="s">
        <v>291</v>
      </c>
      <c r="S34" s="27" t="s">
        <v>296</v>
      </c>
      <c r="T34" s="34" t="s">
        <v>554</v>
      </c>
      <c r="U34" s="27" t="s">
        <v>557</v>
      </c>
      <c r="V34" s="34" t="s">
        <v>292</v>
      </c>
      <c r="W34" s="27" t="s">
        <v>290</v>
      </c>
      <c r="X34" s="34" t="s">
        <v>555</v>
      </c>
      <c r="Y34" s="27" t="s">
        <v>558</v>
      </c>
    </row>
    <row r="35" spans="1:25" ht="7.4" customHeight="1" x14ac:dyDescent="0.4">
      <c r="A35" s="52">
        <v>34</v>
      </c>
      <c r="B35" s="54" t="s">
        <v>152</v>
      </c>
      <c r="C35" s="41" t="s">
        <v>547</v>
      </c>
      <c r="D35" s="50" t="s">
        <v>82</v>
      </c>
      <c r="E35" s="51" t="s">
        <v>99</v>
      </c>
      <c r="F35" s="50" t="s">
        <v>10</v>
      </c>
      <c r="G35" s="51" t="s">
        <v>10</v>
      </c>
      <c r="H35" s="34" t="s">
        <v>78</v>
      </c>
      <c r="I35" s="27" t="s">
        <v>180</v>
      </c>
      <c r="J35" s="34" t="s">
        <v>96</v>
      </c>
      <c r="K35" s="27" t="s">
        <v>97</v>
      </c>
      <c r="L35" s="34" t="s">
        <v>87</v>
      </c>
      <c r="M35" s="27" t="s">
        <v>157</v>
      </c>
      <c r="N35" s="34" t="s">
        <v>110</v>
      </c>
      <c r="O35" s="27" t="s">
        <v>91</v>
      </c>
      <c r="P35" s="34" t="s">
        <v>77</v>
      </c>
      <c r="Q35" s="27" t="s">
        <v>318</v>
      </c>
      <c r="R35" s="34" t="s">
        <v>291</v>
      </c>
      <c r="S35" s="27" t="s">
        <v>296</v>
      </c>
      <c r="T35" s="34" t="s">
        <v>554</v>
      </c>
      <c r="U35" s="27" t="s">
        <v>557</v>
      </c>
      <c r="V35" s="34" t="s">
        <v>292</v>
      </c>
      <c r="W35" s="27" t="s">
        <v>290</v>
      </c>
      <c r="X35" s="34" t="s">
        <v>555</v>
      </c>
      <c r="Y35" s="27" t="s">
        <v>558</v>
      </c>
    </row>
    <row r="36" spans="1:25" ht="7.4" customHeight="1" x14ac:dyDescent="0.4">
      <c r="A36" s="52">
        <v>35</v>
      </c>
      <c r="B36" s="54" t="s">
        <v>153</v>
      </c>
      <c r="C36" s="41" t="s">
        <v>547</v>
      </c>
      <c r="D36" s="50" t="s">
        <v>82</v>
      </c>
      <c r="E36" s="51" t="s">
        <v>99</v>
      </c>
      <c r="F36" s="50" t="s">
        <v>10</v>
      </c>
      <c r="G36" s="51" t="s">
        <v>10</v>
      </c>
      <c r="H36" s="34" t="s">
        <v>78</v>
      </c>
      <c r="I36" s="27" t="s">
        <v>181</v>
      </c>
      <c r="J36" s="34" t="s">
        <v>96</v>
      </c>
      <c r="K36" s="27" t="s">
        <v>97</v>
      </c>
      <c r="L36" s="34" t="s">
        <v>87</v>
      </c>
      <c r="M36" s="27" t="s">
        <v>158</v>
      </c>
      <c r="N36" s="34" t="s">
        <v>110</v>
      </c>
      <c r="O36" s="27" t="s">
        <v>91</v>
      </c>
      <c r="P36" s="34" t="s">
        <v>77</v>
      </c>
      <c r="Q36" s="27" t="s">
        <v>319</v>
      </c>
      <c r="R36" s="34" t="s">
        <v>291</v>
      </c>
      <c r="S36" s="27" t="s">
        <v>296</v>
      </c>
      <c r="T36" s="34" t="s">
        <v>554</v>
      </c>
      <c r="U36" s="27" t="s">
        <v>557</v>
      </c>
      <c r="V36" s="34" t="s">
        <v>292</v>
      </c>
      <c r="W36" s="27" t="s">
        <v>290</v>
      </c>
      <c r="X36" s="34" t="s">
        <v>555</v>
      </c>
      <c r="Y36" s="27" t="s">
        <v>558</v>
      </c>
    </row>
    <row r="37" spans="1:25" ht="7.4" customHeight="1" x14ac:dyDescent="0.4">
      <c r="A37" s="52">
        <v>36</v>
      </c>
      <c r="B37" s="54" t="s">
        <v>154</v>
      </c>
      <c r="C37" s="41" t="s">
        <v>547</v>
      </c>
      <c r="D37" s="50" t="s">
        <v>82</v>
      </c>
      <c r="E37" s="51" t="s">
        <v>99</v>
      </c>
      <c r="F37" s="50" t="s">
        <v>10</v>
      </c>
      <c r="G37" s="51" t="s">
        <v>10</v>
      </c>
      <c r="H37" s="34" t="s">
        <v>78</v>
      </c>
      <c r="I37" s="27" t="s">
        <v>182</v>
      </c>
      <c r="J37" s="34" t="s">
        <v>96</v>
      </c>
      <c r="K37" s="27" t="s">
        <v>97</v>
      </c>
      <c r="L37" s="34" t="s">
        <v>87</v>
      </c>
      <c r="M37" s="27" t="s">
        <v>159</v>
      </c>
      <c r="N37" s="34" t="s">
        <v>110</v>
      </c>
      <c r="O37" s="27" t="s">
        <v>91</v>
      </c>
      <c r="P37" s="34" t="s">
        <v>77</v>
      </c>
      <c r="Q37" s="27" t="s">
        <v>320</v>
      </c>
      <c r="R37" s="34" t="s">
        <v>291</v>
      </c>
      <c r="S37" s="27" t="s">
        <v>296</v>
      </c>
      <c r="T37" s="34" t="s">
        <v>554</v>
      </c>
      <c r="U37" s="27" t="s">
        <v>557</v>
      </c>
      <c r="V37" s="34" t="s">
        <v>292</v>
      </c>
      <c r="W37" s="27" t="s">
        <v>290</v>
      </c>
      <c r="X37" s="34" t="s">
        <v>555</v>
      </c>
      <c r="Y37" s="27" t="s">
        <v>558</v>
      </c>
    </row>
    <row r="38" spans="1:25" ht="7.4" customHeight="1" x14ac:dyDescent="0.4">
      <c r="A38" s="52">
        <v>37</v>
      </c>
      <c r="B38" s="54" t="s">
        <v>155</v>
      </c>
      <c r="C38" s="41" t="s">
        <v>547</v>
      </c>
      <c r="D38" s="50" t="s">
        <v>82</v>
      </c>
      <c r="E38" s="51" t="s">
        <v>99</v>
      </c>
      <c r="F38" s="50" t="s">
        <v>10</v>
      </c>
      <c r="G38" s="51" t="s">
        <v>10</v>
      </c>
      <c r="H38" s="34" t="s">
        <v>78</v>
      </c>
      <c r="I38" s="27" t="s">
        <v>183</v>
      </c>
      <c r="J38" s="34" t="s">
        <v>96</v>
      </c>
      <c r="K38" s="27" t="s">
        <v>97</v>
      </c>
      <c r="L38" s="34" t="s">
        <v>87</v>
      </c>
      <c r="M38" s="27" t="s">
        <v>160</v>
      </c>
      <c r="N38" s="34" t="s">
        <v>110</v>
      </c>
      <c r="O38" s="27" t="s">
        <v>91</v>
      </c>
      <c r="P38" s="34" t="s">
        <v>77</v>
      </c>
      <c r="Q38" s="27" t="s">
        <v>321</v>
      </c>
      <c r="R38" s="34" t="s">
        <v>291</v>
      </c>
      <c r="S38" s="27" t="s">
        <v>296</v>
      </c>
      <c r="T38" s="34" t="s">
        <v>554</v>
      </c>
      <c r="U38" s="27" t="s">
        <v>557</v>
      </c>
      <c r="V38" s="34" t="s">
        <v>292</v>
      </c>
      <c r="W38" s="27" t="s">
        <v>290</v>
      </c>
      <c r="X38" s="34" t="s">
        <v>555</v>
      </c>
      <c r="Y38" s="27" t="s">
        <v>558</v>
      </c>
    </row>
    <row r="39" spans="1:25" ht="7.4" customHeight="1" x14ac:dyDescent="0.4">
      <c r="A39" s="52">
        <v>38</v>
      </c>
      <c r="B39" s="54" t="s">
        <v>156</v>
      </c>
      <c r="C39" s="41" t="s">
        <v>547</v>
      </c>
      <c r="D39" s="50" t="s">
        <v>82</v>
      </c>
      <c r="E39" s="51" t="s">
        <v>99</v>
      </c>
      <c r="F39" s="50" t="s">
        <v>10</v>
      </c>
      <c r="G39" s="51" t="s">
        <v>10</v>
      </c>
      <c r="H39" s="34" t="s">
        <v>78</v>
      </c>
      <c r="I39" s="27" t="s">
        <v>184</v>
      </c>
      <c r="J39" s="34" t="s">
        <v>96</v>
      </c>
      <c r="K39" s="27" t="s">
        <v>97</v>
      </c>
      <c r="L39" s="34" t="s">
        <v>87</v>
      </c>
      <c r="M39" s="27" t="s">
        <v>161</v>
      </c>
      <c r="N39" s="34" t="s">
        <v>110</v>
      </c>
      <c r="O39" s="27" t="s">
        <v>91</v>
      </c>
      <c r="P39" s="34" t="s">
        <v>77</v>
      </c>
      <c r="Q39" s="27" t="s">
        <v>322</v>
      </c>
      <c r="R39" s="34" t="s">
        <v>291</v>
      </c>
      <c r="S39" s="27" t="s">
        <v>296</v>
      </c>
      <c r="T39" s="34" t="s">
        <v>554</v>
      </c>
      <c r="U39" s="27" t="s">
        <v>557</v>
      </c>
      <c r="V39" s="34" t="s">
        <v>292</v>
      </c>
      <c r="W39" s="27" t="s">
        <v>290</v>
      </c>
      <c r="X39" s="34" t="s">
        <v>555</v>
      </c>
      <c r="Y39" s="27" t="s">
        <v>558</v>
      </c>
    </row>
    <row r="40" spans="1:25" ht="7.4" customHeight="1" x14ac:dyDescent="0.4">
      <c r="A40" s="52">
        <v>39</v>
      </c>
      <c r="B40" s="54" t="s">
        <v>333</v>
      </c>
      <c r="C40" s="41" t="s">
        <v>539</v>
      </c>
      <c r="D40" s="50" t="s">
        <v>82</v>
      </c>
      <c r="E40" s="51" t="s">
        <v>130</v>
      </c>
      <c r="F40" s="50" t="s">
        <v>10</v>
      </c>
      <c r="G40" s="51" t="s">
        <v>10</v>
      </c>
      <c r="H40" s="34" t="s">
        <v>328</v>
      </c>
      <c r="I40" s="27" t="s">
        <v>334</v>
      </c>
      <c r="J40" s="34" t="s">
        <v>330</v>
      </c>
      <c r="K40" s="27" t="s">
        <v>335</v>
      </c>
      <c r="L40" s="34" t="s">
        <v>10</v>
      </c>
      <c r="M40" s="27" t="s">
        <v>10</v>
      </c>
      <c r="N40" s="34" t="s">
        <v>110</v>
      </c>
      <c r="O40" s="27" t="s">
        <v>90</v>
      </c>
      <c r="P40" s="34" t="s">
        <v>77</v>
      </c>
      <c r="Q40" s="27" t="s">
        <v>336</v>
      </c>
      <c r="R40" s="34" t="s">
        <v>291</v>
      </c>
      <c r="S40" s="27" t="s">
        <v>300</v>
      </c>
      <c r="T40" s="34" t="s">
        <v>554</v>
      </c>
      <c r="U40" s="27" t="s">
        <v>556</v>
      </c>
      <c r="V40" s="34" t="s">
        <v>292</v>
      </c>
      <c r="W40" s="27" t="s">
        <v>299</v>
      </c>
      <c r="X40" s="34" t="s">
        <v>555</v>
      </c>
      <c r="Y40" s="27" t="s">
        <v>558</v>
      </c>
    </row>
    <row r="41" spans="1:25" ht="7.4" customHeight="1" x14ac:dyDescent="0.4">
      <c r="A41" s="52">
        <v>40</v>
      </c>
      <c r="B41" s="54" t="s">
        <v>327</v>
      </c>
      <c r="C41" s="41" t="s">
        <v>490</v>
      </c>
      <c r="D41" s="50" t="s">
        <v>82</v>
      </c>
      <c r="E41" s="51" t="s">
        <v>130</v>
      </c>
      <c r="F41" s="50" t="s">
        <v>10</v>
      </c>
      <c r="G41" s="51" t="s">
        <v>10</v>
      </c>
      <c r="H41" s="34" t="s">
        <v>328</v>
      </c>
      <c r="I41" s="27" t="s">
        <v>329</v>
      </c>
      <c r="J41" s="34" t="s">
        <v>330</v>
      </c>
      <c r="K41" s="27" t="s">
        <v>331</v>
      </c>
      <c r="L41" s="34" t="s">
        <v>10</v>
      </c>
      <c r="M41" s="27" t="s">
        <v>10</v>
      </c>
      <c r="N41" s="34" t="s">
        <v>110</v>
      </c>
      <c r="O41" s="27" t="s">
        <v>90</v>
      </c>
      <c r="P41" s="34" t="s">
        <v>77</v>
      </c>
      <c r="Q41" s="27" t="s">
        <v>332</v>
      </c>
      <c r="R41" s="34" t="s">
        <v>291</v>
      </c>
      <c r="S41" s="27" t="s">
        <v>300</v>
      </c>
      <c r="T41" s="34" t="s">
        <v>554</v>
      </c>
      <c r="U41" s="27" t="s">
        <v>556</v>
      </c>
      <c r="V41" s="34" t="s">
        <v>292</v>
      </c>
      <c r="W41" s="27" t="s">
        <v>299</v>
      </c>
      <c r="X41" s="34" t="s">
        <v>555</v>
      </c>
      <c r="Y41" s="27" t="s">
        <v>558</v>
      </c>
    </row>
    <row r="42" spans="1:25" ht="7.4" customHeight="1" x14ac:dyDescent="0.4">
      <c r="A42" s="52">
        <v>41</v>
      </c>
      <c r="B42" s="54" t="s">
        <v>403</v>
      </c>
      <c r="C42" s="41" t="s">
        <v>537</v>
      </c>
      <c r="D42" s="50" t="s">
        <v>82</v>
      </c>
      <c r="E42" s="51" t="s">
        <v>130</v>
      </c>
      <c r="F42" s="50" t="s">
        <v>10</v>
      </c>
      <c r="G42" s="51" t="s">
        <v>10</v>
      </c>
      <c r="H42" s="34" t="s">
        <v>328</v>
      </c>
      <c r="I42" s="27" t="s">
        <v>408</v>
      </c>
      <c r="J42" s="34" t="s">
        <v>330</v>
      </c>
      <c r="K42" s="27" t="s">
        <v>411</v>
      </c>
      <c r="L42" s="34" t="s">
        <v>10</v>
      </c>
      <c r="M42" s="27" t="s">
        <v>10</v>
      </c>
      <c r="N42" s="34" t="s">
        <v>110</v>
      </c>
      <c r="O42" s="27" t="s">
        <v>90</v>
      </c>
      <c r="P42" s="34" t="s">
        <v>77</v>
      </c>
      <c r="Q42" s="27" t="s">
        <v>415</v>
      </c>
      <c r="R42" s="34" t="s">
        <v>291</v>
      </c>
      <c r="S42" s="27" t="s">
        <v>300</v>
      </c>
      <c r="T42" s="34" t="s">
        <v>554</v>
      </c>
      <c r="U42" s="27" t="s">
        <v>556</v>
      </c>
      <c r="V42" s="34" t="s">
        <v>292</v>
      </c>
      <c r="W42" s="27" t="s">
        <v>299</v>
      </c>
      <c r="X42" s="34" t="s">
        <v>555</v>
      </c>
      <c r="Y42" s="27" t="s">
        <v>558</v>
      </c>
    </row>
    <row r="43" spans="1:25" ht="7.4" customHeight="1" x14ac:dyDescent="0.4">
      <c r="A43" s="52">
        <v>42</v>
      </c>
      <c r="B43" s="54" t="s">
        <v>404</v>
      </c>
      <c r="C43" s="41" t="s">
        <v>537</v>
      </c>
      <c r="D43" s="50" t="s">
        <v>82</v>
      </c>
      <c r="E43" s="51" t="s">
        <v>130</v>
      </c>
      <c r="F43" s="50" t="s">
        <v>10</v>
      </c>
      <c r="G43" s="51" t="s">
        <v>10</v>
      </c>
      <c r="H43" s="34" t="s">
        <v>328</v>
      </c>
      <c r="I43" s="27" t="s">
        <v>407</v>
      </c>
      <c r="J43" s="34" t="s">
        <v>330</v>
      </c>
      <c r="K43" s="27" t="s">
        <v>412</v>
      </c>
      <c r="L43" s="34" t="s">
        <v>10</v>
      </c>
      <c r="M43" s="27" t="s">
        <v>10</v>
      </c>
      <c r="N43" s="34" t="s">
        <v>110</v>
      </c>
      <c r="O43" s="27" t="s">
        <v>90</v>
      </c>
      <c r="P43" s="34" t="s">
        <v>77</v>
      </c>
      <c r="Q43" s="27" t="s">
        <v>415</v>
      </c>
      <c r="R43" s="34" t="s">
        <v>291</v>
      </c>
      <c r="S43" s="27" t="s">
        <v>300</v>
      </c>
      <c r="T43" s="34" t="s">
        <v>554</v>
      </c>
      <c r="U43" s="27" t="s">
        <v>556</v>
      </c>
      <c r="V43" s="34" t="s">
        <v>292</v>
      </c>
      <c r="W43" s="27" t="s">
        <v>299</v>
      </c>
      <c r="X43" s="34" t="s">
        <v>555</v>
      </c>
      <c r="Y43" s="27" t="s">
        <v>558</v>
      </c>
    </row>
    <row r="44" spans="1:25" ht="7.4" customHeight="1" x14ac:dyDescent="0.4">
      <c r="A44" s="52">
        <v>43</v>
      </c>
      <c r="B44" s="54" t="s">
        <v>405</v>
      </c>
      <c r="C44" s="41" t="s">
        <v>537</v>
      </c>
      <c r="D44" s="50" t="s">
        <v>82</v>
      </c>
      <c r="E44" s="51" t="s">
        <v>130</v>
      </c>
      <c r="F44" s="50" t="s">
        <v>10</v>
      </c>
      <c r="G44" s="51" t="s">
        <v>10</v>
      </c>
      <c r="H44" s="34" t="s">
        <v>328</v>
      </c>
      <c r="I44" s="27" t="s">
        <v>409</v>
      </c>
      <c r="J44" s="34" t="s">
        <v>330</v>
      </c>
      <c r="K44" s="27" t="s">
        <v>413</v>
      </c>
      <c r="L44" s="34" t="s">
        <v>10</v>
      </c>
      <c r="M44" s="27" t="s">
        <v>10</v>
      </c>
      <c r="N44" s="34" t="s">
        <v>110</v>
      </c>
      <c r="O44" s="27" t="s">
        <v>90</v>
      </c>
      <c r="P44" s="34" t="s">
        <v>77</v>
      </c>
      <c r="Q44" s="27" t="s">
        <v>415</v>
      </c>
      <c r="R44" s="34" t="s">
        <v>291</v>
      </c>
      <c r="S44" s="27" t="s">
        <v>300</v>
      </c>
      <c r="T44" s="34" t="s">
        <v>554</v>
      </c>
      <c r="U44" s="27" t="s">
        <v>556</v>
      </c>
      <c r="V44" s="34" t="s">
        <v>292</v>
      </c>
      <c r="W44" s="27" t="s">
        <v>299</v>
      </c>
      <c r="X44" s="34" t="s">
        <v>555</v>
      </c>
      <c r="Y44" s="27" t="s">
        <v>558</v>
      </c>
    </row>
    <row r="45" spans="1:25" ht="7.4" customHeight="1" x14ac:dyDescent="0.4">
      <c r="A45" s="52">
        <v>44</v>
      </c>
      <c r="B45" s="54" t="s">
        <v>406</v>
      </c>
      <c r="C45" s="41" t="s">
        <v>490</v>
      </c>
      <c r="D45" s="50" t="s">
        <v>82</v>
      </c>
      <c r="E45" s="51" t="s">
        <v>130</v>
      </c>
      <c r="F45" s="50" t="s">
        <v>10</v>
      </c>
      <c r="G45" s="51" t="s">
        <v>10</v>
      </c>
      <c r="H45" s="34" t="s">
        <v>328</v>
      </c>
      <c r="I45" s="27" t="s">
        <v>410</v>
      </c>
      <c r="J45" s="34" t="s">
        <v>330</v>
      </c>
      <c r="K45" s="27" t="s">
        <v>414</v>
      </c>
      <c r="L45" s="34" t="s">
        <v>10</v>
      </c>
      <c r="M45" s="27" t="s">
        <v>10</v>
      </c>
      <c r="N45" s="34" t="s">
        <v>110</v>
      </c>
      <c r="O45" s="27" t="s">
        <v>90</v>
      </c>
      <c r="P45" s="34" t="s">
        <v>77</v>
      </c>
      <c r="Q45" s="27" t="s">
        <v>416</v>
      </c>
      <c r="R45" s="34" t="s">
        <v>291</v>
      </c>
      <c r="S45" s="27" t="s">
        <v>300</v>
      </c>
      <c r="T45" s="34" t="s">
        <v>554</v>
      </c>
      <c r="U45" s="27" t="s">
        <v>556</v>
      </c>
      <c r="V45" s="34" t="s">
        <v>292</v>
      </c>
      <c r="W45" s="27" t="s">
        <v>299</v>
      </c>
      <c r="X45" s="34" t="s">
        <v>555</v>
      </c>
      <c r="Y45" s="27" t="s">
        <v>558</v>
      </c>
    </row>
  </sheetData>
  <phoneticPr fontId="1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2026-04-26T20:10:40Z</dcterms:modified>
  <dc:language>pt-BR</dc:language>
</cp:coreProperties>
</file>