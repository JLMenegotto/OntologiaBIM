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MOTO\"/>
    </mc:Choice>
  </mc:AlternateContent>
  <xr:revisionPtr revIDLastSave="0" documentId="13_ncr:1_{4796EFEF-9C28-4653-A919-690970D399BD}" xr6:coauthVersionLast="47" xr6:coauthVersionMax="47" xr10:uidLastSave="{00000000-0000-0000-0000-000000000000}"/>
  <bookViews>
    <workbookView xWindow="-103" yWindow="-103" windowWidth="22149" windowHeight="13200" tabRatio="520" activeTab="1" xr2:uid="{00000000-000D-0000-FFFF-FFFF00000000}"/>
  </bookViews>
  <sheets>
    <sheet name="Projeto" sheetId="13" r:id="rId1"/>
    <sheet name="Classes" sheetId="17" r:id="rId2"/>
    <sheet name="Disjunt" sheetId="3" r:id="rId3"/>
    <sheet name="FatosIn" sheetId="25" r:id="rId4"/>
    <sheet name="Interop" sheetId="16" r:id="rId5"/>
  </sheets>
  <definedNames>
    <definedName name="_xlnm._FilterDatabase" localSheetId="1" hidden="1">Classes!#REF!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7" l="1"/>
  <c r="W3" i="17"/>
  <c r="W4" i="17"/>
  <c r="W5" i="17"/>
  <c r="W6" i="17"/>
  <c r="U6" i="17"/>
  <c r="T6" i="17"/>
  <c r="S6" i="17"/>
  <c r="O6" i="17"/>
  <c r="N6" i="17"/>
  <c r="M6" i="17"/>
  <c r="L6" i="17"/>
  <c r="U5" i="17"/>
  <c r="T5" i="17"/>
  <c r="S5" i="17"/>
  <c r="O5" i="17"/>
  <c r="N5" i="17"/>
  <c r="M5" i="17"/>
  <c r="L5" i="17"/>
  <c r="U4" i="17"/>
  <c r="T4" i="17"/>
  <c r="S4" i="17"/>
  <c r="O4" i="17"/>
  <c r="N4" i="17"/>
  <c r="M4" i="17"/>
  <c r="L4" i="17"/>
  <c r="U3" i="17"/>
  <c r="T3" i="17"/>
  <c r="S3" i="17"/>
  <c r="O3" i="17"/>
  <c r="N3" i="17"/>
  <c r="M3" i="17"/>
  <c r="L3" i="17"/>
  <c r="U2" i="17"/>
  <c r="T2" i="17"/>
  <c r="S2" i="17"/>
  <c r="O2" i="17"/>
  <c r="N2" i="17"/>
  <c r="M2" i="17"/>
  <c r="L2" i="17"/>
  <c r="AA6" i="17"/>
  <c r="AA5" i="17"/>
  <c r="AA4" i="17"/>
  <c r="AA3" i="17"/>
  <c r="AA2" i="17"/>
  <c r="W7" i="17" l="1"/>
  <c r="W8" i="17"/>
  <c r="W9" i="17"/>
  <c r="W10" i="17"/>
  <c r="W11" i="17"/>
  <c r="W12" i="17"/>
  <c r="W13" i="17"/>
  <c r="W14" i="17"/>
  <c r="W15" i="17"/>
  <c r="W16" i="17"/>
  <c r="W17" i="17"/>
  <c r="W18" i="17"/>
  <c r="W19" i="17"/>
  <c r="W20" i="17"/>
  <c r="V18" i="17"/>
  <c r="U18" i="17"/>
  <c r="T18" i="17"/>
  <c r="S18" i="17"/>
  <c r="O18" i="17"/>
  <c r="N18" i="17"/>
  <c r="M18" i="17"/>
  <c r="L18" i="17"/>
  <c r="V17" i="17"/>
  <c r="U17" i="17"/>
  <c r="T17" i="17"/>
  <c r="S17" i="17"/>
  <c r="O17" i="17"/>
  <c r="N17" i="17"/>
  <c r="M17" i="17"/>
  <c r="L17" i="17"/>
  <c r="V19" i="17"/>
  <c r="U19" i="17"/>
  <c r="T19" i="17"/>
  <c r="S19" i="17"/>
  <c r="O19" i="17"/>
  <c r="N19" i="17"/>
  <c r="M19" i="17"/>
  <c r="L19" i="17"/>
  <c r="V16" i="17"/>
  <c r="U16" i="17"/>
  <c r="T16" i="17"/>
  <c r="S16" i="17"/>
  <c r="O16" i="17"/>
  <c r="N16" i="17"/>
  <c r="M16" i="17"/>
  <c r="L16" i="17"/>
  <c r="V15" i="17"/>
  <c r="U15" i="17"/>
  <c r="T15" i="17"/>
  <c r="S15" i="17"/>
  <c r="O15" i="17"/>
  <c r="N15" i="17"/>
  <c r="M15" i="17"/>
  <c r="L15" i="17"/>
  <c r="V14" i="17"/>
  <c r="U14" i="17"/>
  <c r="T14" i="17"/>
  <c r="S14" i="17"/>
  <c r="O14" i="17"/>
  <c r="N14" i="17"/>
  <c r="M14" i="17"/>
  <c r="L14" i="17"/>
  <c r="V8" i="17"/>
  <c r="V9" i="17"/>
  <c r="V10" i="17"/>
  <c r="V11" i="17"/>
  <c r="V12" i="17"/>
  <c r="V13" i="17"/>
  <c r="V20" i="17"/>
  <c r="U8" i="17"/>
  <c r="U9" i="17"/>
  <c r="U10" i="17"/>
  <c r="U11" i="17"/>
  <c r="U12" i="17"/>
  <c r="U13" i="17"/>
  <c r="U20" i="17"/>
  <c r="T8" i="17"/>
  <c r="T9" i="17"/>
  <c r="T10" i="17"/>
  <c r="T11" i="17"/>
  <c r="T12" i="17"/>
  <c r="T13" i="17"/>
  <c r="T20" i="17"/>
  <c r="S8" i="17"/>
  <c r="S9" i="17"/>
  <c r="S10" i="17"/>
  <c r="S11" i="17"/>
  <c r="S12" i="17"/>
  <c r="S13" i="17"/>
  <c r="S20" i="17"/>
  <c r="O8" i="17"/>
  <c r="O9" i="17"/>
  <c r="O10" i="17"/>
  <c r="O11" i="17"/>
  <c r="O12" i="17"/>
  <c r="O13" i="17"/>
  <c r="O20" i="17"/>
  <c r="O7" i="17"/>
  <c r="N13" i="17"/>
  <c r="M13" i="17"/>
  <c r="L13" i="17"/>
  <c r="N12" i="17"/>
  <c r="M12" i="17"/>
  <c r="L12" i="17"/>
  <c r="N11" i="17"/>
  <c r="M11" i="17"/>
  <c r="L11" i="17"/>
  <c r="N8" i="17"/>
  <c r="M8" i="17"/>
  <c r="L8" i="17"/>
  <c r="N10" i="17"/>
  <c r="M10" i="17"/>
  <c r="L10" i="17"/>
  <c r="N9" i="17"/>
  <c r="M9" i="17"/>
  <c r="L9" i="17"/>
  <c r="U7" i="17"/>
  <c r="T7" i="17"/>
  <c r="S7" i="17"/>
  <c r="N7" i="17"/>
  <c r="M7" i="17"/>
  <c r="L7" i="17"/>
  <c r="AA17" i="17"/>
  <c r="AA14" i="17"/>
  <c r="AA13" i="17"/>
  <c r="AA7" i="17"/>
  <c r="AA15" i="17"/>
  <c r="AA12" i="17"/>
  <c r="AA9" i="17"/>
  <c r="AA19" i="17"/>
  <c r="AA18" i="17"/>
  <c r="AA16" i="17"/>
  <c r="AA11" i="17"/>
  <c r="AA8" i="17"/>
  <c r="AA10" i="17"/>
  <c r="N20" i="17" l="1"/>
  <c r="M20" i="17"/>
  <c r="L20" i="17"/>
  <c r="AA20" i="17"/>
  <c r="B24" i="13" l="1"/>
  <c r="B18" i="13" l="1"/>
  <c r="B6" i="13"/>
  <c r="B5" i="13"/>
</calcChain>
</file>

<file path=xl/sharedStrings.xml><?xml version="1.0" encoding="utf-8"?>
<sst xmlns="http://schemas.openxmlformats.org/spreadsheetml/2006/main" count="659" uniqueCount="198">
  <si>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</si>
  <si>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</si>
  <si>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</si>
  <si>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</si>
  <si>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</si>
  <si>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2</t>
  </si>
  <si>
    <t>Anotações 
de ajuda
Classe 3</t>
  </si>
  <si>
    <t>Anotações 
de ajuda
Classe 5</t>
  </si>
  <si>
    <t>Key</t>
  </si>
  <si>
    <t>null</t>
  </si>
  <si>
    <t>N°</t>
  </si>
  <si>
    <t>1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</si>
  <si>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</si>
  <si>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</si>
  <si>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</si>
  <si>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</si>
  <si>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</si>
  <si>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</si>
  <si>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</si>
  <si>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</si>
  <si>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</si>
  <si>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</si>
  <si>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</si>
  <si>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</si>
  <si>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</si>
  <si>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</si>
  <si>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</si>
  <si>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</si>
  <si>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</si>
  <si>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</si>
  <si>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</si>
  <si>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</si>
  <si>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BIM</t>
  </si>
  <si>
    <t>Natureza</t>
  </si>
  <si>
    <t>Disciplina</t>
  </si>
  <si>
    <t>Tema</t>
  </si>
  <si>
    <t>00 Super
Class
5</t>
  </si>
  <si>
    <t>000 Tradução Classe 5</t>
  </si>
  <si>
    <t>Especie</t>
  </si>
  <si>
    <t>00Super
Class
4</t>
  </si>
  <si>
    <t>00Super
Class
2</t>
  </si>
  <si>
    <t>00Super
Class
3</t>
  </si>
  <si>
    <t>00Raiz</t>
  </si>
  <si>
    <t>000 Traducción Classe 5</t>
  </si>
  <si>
    <t>Chave</t>
  </si>
  <si>
    <t>Valor</t>
  </si>
  <si>
    <t>OntologiaPrefixo</t>
  </si>
  <si>
    <t>bim: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</si>
  <si>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</si>
  <si>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</si>
  <si>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</si>
  <si>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</si>
  <si>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</si>
  <si>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</si>
  <si>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</si>
  <si>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</si>
  <si>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</si>
  <si>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NormaNúmero</t>
  </si>
  <si>
    <t>-</t>
  </si>
  <si>
    <t>Edição</t>
  </si>
  <si>
    <t>ISBN</t>
  </si>
  <si>
    <t>NormaEscopo</t>
  </si>
  <si>
    <t>NormaReferência1</t>
  </si>
  <si>
    <t>NormaReferência2</t>
  </si>
  <si>
    <t>NormaReferência3</t>
  </si>
  <si>
    <t>Observações</t>
  </si>
  <si>
    <t>DataHora</t>
  </si>
  <si>
    <t>Advertência1</t>
  </si>
  <si>
    <t>Algumas traduções podem precisar de revisão - Traducción al español incorporada</t>
  </si>
  <si>
    <t>Prédio</t>
  </si>
  <si>
    <t>Cidade</t>
  </si>
  <si>
    <t>Explicação</t>
  </si>
  <si>
    <t>Explicación</t>
  </si>
  <si>
    <t>Indivíduo</t>
  </si>
  <si>
    <t>Classe</t>
  </si>
  <si>
    <t>Fato</t>
  </si>
  <si>
    <t>Fato
(14)</t>
  </si>
  <si>
    <t>descrição</t>
  </si>
  <si>
    <t>Val</t>
  </si>
  <si>
    <t>0-Classe Ifc</t>
  </si>
  <si>
    <t>0-Categoria Equivalente</t>
  </si>
  <si>
    <t>0-CategoriaEquivalente</t>
  </si>
  <si>
    <t>Contêiner</t>
  </si>
  <si>
    <t>Informação</t>
  </si>
  <si>
    <t>Define un contenedor de información de acuerdo con la norma NBR 19650-1.</t>
  </si>
  <si>
    <t>CategoriaRvt</t>
  </si>
  <si>
    <t>ClasseIfc</t>
  </si>
  <si>
    <t>ABNT</t>
  </si>
  <si>
    <t>000 Translate Classe 5</t>
  </si>
  <si>
    <t>Prof. José Luis Menegotto DEG/POLI/UFRJ</t>
  </si>
  <si>
    <t>Explanation</t>
  </si>
  <si>
    <t>Idioma</t>
  </si>
  <si>
    <t>pt</t>
  </si>
  <si>
    <t>es</t>
  </si>
  <si>
    <t>en</t>
  </si>
  <si>
    <t>0</t>
  </si>
  <si>
    <t>Anotações 
de ajuda
Classe 1</t>
  </si>
  <si>
    <t>Interop</t>
  </si>
  <si>
    <t>"Conteiner Superior que representa Informações contidas no Projeto Específico 01"</t>
  </si>
  <si>
    <t>código.abnt</t>
  </si>
  <si>
    <t>classe.ifc</t>
  </si>
  <si>
    <t>categoria.revit</t>
  </si>
  <si>
    <t>é.pertencente.a</t>
  </si>
  <si>
    <t>modelo</t>
  </si>
  <si>
    <t>[ IfcDiscreteAccessory ]</t>
  </si>
  <si>
    <t>[ IfcMotorConnection ]</t>
  </si>
  <si>
    <t>[ IfcMotorConnectionCOUPLING ]</t>
  </si>
  <si>
    <t>[ IfcMotorConnectionBELTDRIVE ]</t>
  </si>
  <si>
    <t>[ IfcMotorConnectionDIRECTDRIVE ]</t>
  </si>
  <si>
    <t>Motor.de.Acoplamento</t>
  </si>
  <si>
    <t>Motor.de.Acionamento.Direto</t>
  </si>
  <si>
    <t>Motor.de.Acionamento.Correia</t>
  </si>
  <si>
    <t>Motricidade</t>
  </si>
  <si>
    <t>Motor.de.Combustão</t>
  </si>
  <si>
    <t>[ IfcEngine ]</t>
  </si>
  <si>
    <t>[ IfcEngineINTERNALCOMBUSTION ]</t>
  </si>
  <si>
    <t>[ IfcEngineEXTERNALCOMBUSTION ]</t>
  </si>
  <si>
    <t>Máquina.de.Combustão.Externa</t>
  </si>
  <si>
    <t>Máquina.de.Combustão.Interna</t>
  </si>
  <si>
    <t>Máquina.Motriz</t>
  </si>
  <si>
    <t>Motor que converte combustível em energia mecânica por meio da combustão externa</t>
  </si>
  <si>
    <t>Motor que converte combustível em energia mecânica por meio da combustão interna</t>
  </si>
  <si>
    <t>Motor que converte combustível em energia mecânica por meio da combustão</t>
  </si>
  <si>
    <t>Motor de acionamento por correia</t>
  </si>
  <si>
    <t>Motor de acionamento direto</t>
  </si>
  <si>
    <t>Motor de acoplamento</t>
  </si>
  <si>
    <t>Motor de combustão</t>
  </si>
  <si>
    <t>Acessório Mecânico</t>
  </si>
  <si>
    <t>Motor de combustión</t>
  </si>
  <si>
    <t>Motor de acoplamiento</t>
  </si>
  <si>
    <t>Motor de transmisión por correa</t>
  </si>
  <si>
    <t>Motor de accionamiento directo</t>
  </si>
  <si>
    <t>Motor que convierte combustible en energía mecánica mediante combustión</t>
  </si>
  <si>
    <t>Motor que convierte combustible en energía mecánica mediante combustión externa</t>
  </si>
  <si>
    <t>Motor que convierte combustible en energía mecánica mediante combustión interna</t>
  </si>
  <si>
    <t>Accesorio mecánico</t>
  </si>
  <si>
    <t>[ MechanicalEquipment ]</t>
  </si>
  <si>
    <t>Maq_111233</t>
  </si>
  <si>
    <t>Maq_111234</t>
  </si>
  <si>
    <t>Maq_111235</t>
  </si>
  <si>
    <t>Maq_111236</t>
  </si>
  <si>
    <t>Maq_111237</t>
  </si>
  <si>
    <t>Maq_111238</t>
  </si>
  <si>
    <t>Maq_111239</t>
  </si>
  <si>
    <t>Maq_111240</t>
  </si>
  <si>
    <t>"Instância de Equipamento Mecânico Motriz Identificado"</t>
  </si>
  <si>
    <t>"Modelo"</t>
  </si>
  <si>
    <t>Objetos de Sistemas Mecâninos Motrizes</t>
  </si>
  <si>
    <t>Formalizar elementos do projeto BIM. Objetos específicos de Sistemas Mecânicos Motrizes</t>
  </si>
  <si>
    <t>Formalizar elementos de proyecto BIM. Objetos específicos de Sistemas Mecánicos Motrices</t>
  </si>
  <si>
    <t>Objetos_de_Sistemas_Mecânicos_Motrizes</t>
  </si>
  <si>
    <t>Elementos.de.Força.Motriz</t>
  </si>
  <si>
    <t>Acessório.Maquinária</t>
  </si>
  <si>
    <t>[ 3E.56 ]</t>
  </si>
  <si>
    <t>"[ 3E.56 ]"</t>
  </si>
  <si>
    <t>Elevador.MRL</t>
  </si>
  <si>
    <t>Elevador.MR</t>
  </si>
  <si>
    <t>Elevador de tração com casa de máquinas</t>
  </si>
  <si>
    <t>Elevador com roldana de içamento sem casa de máquinas</t>
  </si>
  <si>
    <t>Elevador.Hidráulico</t>
  </si>
  <si>
    <t>Maquinária</t>
  </si>
  <si>
    <t>Acessórios.Maquinária</t>
  </si>
  <si>
    <t>Maquinária.de.Elevação</t>
  </si>
  <si>
    <t>Elevador para poucos andares sem transporte de cargas pesadas</t>
  </si>
  <si>
    <t>Plataforma</t>
  </si>
  <si>
    <t>Plataforma.Articulada</t>
  </si>
  <si>
    <t>Plataforma.Cesto</t>
  </si>
  <si>
    <t>Ascensor para pocos pisos sin transporte de cargas pesadas</t>
  </si>
  <si>
    <t>Ascensor con sistema de izamiento mediante roldana y sin sala de máquinas</t>
  </si>
  <si>
    <t>Ascensor de tracción con sala de máquinas</t>
  </si>
  <si>
    <t>Plataforma de elevación con cesto</t>
  </si>
  <si>
    <t>Plataforma de elevación articulada</t>
  </si>
  <si>
    <t>Plataforma de elevação</t>
  </si>
  <si>
    <t>Plataforma de elevação articulada</t>
  </si>
  <si>
    <t>Plataforma de elevação com cesto</t>
  </si>
  <si>
    <t>[ IfcTransportElementELEVATOR ]</t>
  </si>
  <si>
    <t>[ MechanicalEquipment , OST_VerticalCirculation ]</t>
  </si>
  <si>
    <t>[ 3E.08.06.06 ]</t>
  </si>
  <si>
    <t>[ 3E.08.06.10.02 ]</t>
  </si>
  <si>
    <t>Define um contêiner de informação de acordo à norma NBR 19650-1. Definição do Projeto.</t>
  </si>
  <si>
    <t>Gestão</t>
  </si>
  <si>
    <t>Requisito.Espacial</t>
  </si>
  <si>
    <t>Define um contêiner de informação de acordo à norma NBR 19650-1. Requerimentos Espaciais para o Projeto.</t>
  </si>
  <si>
    <t>Requisito.Mobiliário</t>
  </si>
  <si>
    <t>Define um contêiner de informação de acordo à norma NBR 19650-1. Requerimentos Mobiliários para o Projeto.</t>
  </si>
  <si>
    <t>Requisito.Equipamento</t>
  </si>
  <si>
    <t>Define um contêiner de informação de acordo à norma NBR 19650-1. Requerimentos Equipamentos para o Projeto.</t>
  </si>
  <si>
    <t>Requisito.Sistemas</t>
  </si>
  <si>
    <t>Define um contêiner de informação de acordo à norma NBR 19650-1. Requerimentos de Sistemas Prediais para o Projeto.</t>
  </si>
  <si>
    <t>Contêineres</t>
  </si>
  <si>
    <t>[ 5I ]</t>
  </si>
  <si>
    <t>quem.fabrica</t>
  </si>
  <si>
    <t>"[ OST_MechanicalEquipment ]"</t>
  </si>
  <si>
    <t>"[ IfcEngine ]"</t>
  </si>
  <si>
    <t>"Nome de um fabricante"</t>
  </si>
  <si>
    <t>CTI_Projeto_A</t>
  </si>
  <si>
    <t>Conceitos</t>
  </si>
  <si>
    <t>De.Motricidade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</si>
</sst>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Aptos Narrow"/>
      <family val="2"/>
      <charset val="1"/>
    </font>
    <font>
      <sz val="8"/>
      <name val="Aptos Narrow"/>
      <family val="2"/>
      <charset val="1"/>
    </font>
    <font>
      <sz val="6"/>
      <color rgb="FF000000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sz val="6"/>
      <name val="Arial Nova Cond Light"/>
      <family val="2"/>
    </font>
    <font>
      <sz val="6"/>
      <color theme="1"/>
      <name val="Arial Nova Cond Light"/>
      <family val="2"/>
    </font>
    <font>
      <i/>
      <sz val="6"/>
      <name val="Arial Nova Cond Light"/>
      <family val="2"/>
    </font>
    <font>
      <b/>
      <sz val="6"/>
      <color theme="1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"/>
      <family val="2"/>
    </font>
    <font>
      <sz val="8"/>
      <color theme="1"/>
      <name val="Arial Nova Cond Light"/>
      <family val="2"/>
    </font>
    <font>
      <sz val="6"/>
      <color rgb="FF000000"/>
      <name val="Aptos Narrow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rgb="FFFBE79D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rgb="FFFF99FF"/>
        <bgColor rgb="FFFFFFCC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FF9900"/>
      </patternFill>
    </fill>
    <fill>
      <patternFill patternType="solid">
        <fgColor theme="5" tint="0.59999389629810485"/>
        <bgColor rgb="FFC0C0C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D9F2D0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5" borderId="4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4" borderId="3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6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/>
    <xf numFmtId="22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8" fillId="8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vertical="center"/>
    </xf>
    <xf numFmtId="0" fontId="4" fillId="9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vertical="center"/>
    </xf>
    <xf numFmtId="0" fontId="4" fillId="11" borderId="4" xfId="0" applyFont="1" applyFill="1" applyBorder="1" applyAlignment="1">
      <alignment vertical="center"/>
    </xf>
    <xf numFmtId="0" fontId="6" fillId="12" borderId="4" xfId="0" applyFont="1" applyFill="1" applyBorder="1" applyAlignment="1">
      <alignment horizontal="left" vertical="center"/>
    </xf>
    <xf numFmtId="0" fontId="4" fillId="12" borderId="4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14" borderId="4" xfId="0" applyFont="1" applyFill="1" applyBorder="1" applyAlignment="1">
      <alignment horizontal="left" vertical="center" wrapText="1"/>
    </xf>
    <xf numFmtId="0" fontId="3" fillId="15" borderId="4" xfId="0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left" vertical="center"/>
    </xf>
    <xf numFmtId="0" fontId="3" fillId="14" borderId="4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18" borderId="4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2" fillId="19" borderId="4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8" fillId="2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2" fillId="5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vertical="center" wrapText="1"/>
    </xf>
    <xf numFmtId="0" fontId="8" fillId="8" borderId="4" xfId="0" applyFont="1" applyFill="1" applyBorder="1" applyAlignment="1">
      <alignment vertical="center" wrapText="1"/>
    </xf>
    <xf numFmtId="0" fontId="6" fillId="13" borderId="4" xfId="0" applyFont="1" applyFill="1" applyBorder="1" applyAlignment="1">
      <alignment vertical="center"/>
    </xf>
    <xf numFmtId="0" fontId="4" fillId="21" borderId="4" xfId="0" applyFont="1" applyFill="1" applyBorder="1" applyAlignment="1">
      <alignment vertical="center"/>
    </xf>
    <xf numFmtId="0" fontId="4" fillId="20" borderId="4" xfId="0" applyFont="1" applyFill="1" applyBorder="1" applyAlignment="1">
      <alignment vertical="center"/>
    </xf>
    <xf numFmtId="0" fontId="6" fillId="5" borderId="4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center" vertical="center"/>
    </xf>
    <xf numFmtId="0" fontId="2" fillId="17" borderId="4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left" vertical="center"/>
    </xf>
    <xf numFmtId="0" fontId="2" fillId="23" borderId="4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3" fillId="2" borderId="8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31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rgb="FFFFFFFF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747474"/>
      <rgbColor rgb="FF9999FF"/>
      <rgbColor rgb="FF993366"/>
      <rgbColor rgb="FFFFCCCC"/>
      <rgbColor rgb="FFDCEAF7"/>
      <rgbColor rgb="FF660066"/>
      <rgbColor rgb="FFF2AA84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6E896"/>
      <rgbColor rgb="FFA6CAEC"/>
      <rgbColor rgb="FFE59EDD"/>
      <rgbColor rgb="FFFFC7CE"/>
      <rgbColor rgb="FFF6C6AD"/>
      <rgbColor rgb="FF3366FF"/>
      <rgbColor rgb="FF46B1E1"/>
      <rgbColor rgb="FF8ED973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BE79D"/>
      <color rgb="FFFDF2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4" displayName="Tabla4" ref="A1:U3" totalsRowShown="0">
  <tableColumns count="21">
    <tableColumn id="1" xr3:uid="{00000000-0010-0000-0000-000001000000}" name="1"/>
    <tableColumn id="2" xr3:uid="{00000000-0010-0000-0000-000002000000}" name="Disjunta 1"/>
    <tableColumn id="3" xr3:uid="{00000000-0010-0000-0000-000003000000}" name="Disjunta 2"/>
    <tableColumn id="4" xr3:uid="{00000000-0010-0000-0000-000004000000}" name="Disjunta 3"/>
    <tableColumn id="5" xr3:uid="{00000000-0010-0000-0000-000005000000}" name="Disjunta 4"/>
    <tableColumn id="6" xr3:uid="{00000000-0010-0000-0000-000006000000}" name="Disjunta 5"/>
    <tableColumn id="7" xr3:uid="{00000000-0010-0000-0000-000007000000}" name="Disjunta 6"/>
    <tableColumn id="8" xr3:uid="{00000000-0010-0000-0000-000008000000}" name="Disjunta 7"/>
    <tableColumn id="9" xr3:uid="{00000000-0010-0000-0000-000009000000}" name="Disjunta 8"/>
    <tableColumn id="10" xr3:uid="{00000000-0010-0000-0000-00000A000000}" name="Disjunta 9"/>
    <tableColumn id="11" xr3:uid="{00000000-0010-0000-0000-00000B000000}" name="Disjunta 10"/>
    <tableColumn id="12" xr3:uid="{00000000-0010-0000-0000-00000C000000}" name="Disjunta 11"/>
    <tableColumn id="13" xr3:uid="{00000000-0010-0000-0000-00000D000000}" name="Disjunta 12"/>
    <tableColumn id="14" xr3:uid="{00000000-0010-0000-0000-00000E000000}" name="Disjunta 13"/>
    <tableColumn id="15" xr3:uid="{00000000-0010-0000-0000-00000F000000}" name="Disjunta 14"/>
    <tableColumn id="16" xr3:uid="{00000000-0010-0000-0000-000010000000}" name="Disjunta 15"/>
    <tableColumn id="17" xr3:uid="{00000000-0010-0000-0000-000011000000}" name="Disjunta 16"/>
    <tableColumn id="18" xr3:uid="{00000000-0010-0000-0000-000012000000}" name="Disjunta 17"/>
    <tableColumn id="19" xr3:uid="{00000000-0010-0000-0000-000013000000}" name="Disjunta 18"/>
    <tableColumn id="20" xr3:uid="{00000000-0010-0000-0000-000014000000}" name="Disjunta 19"/>
    <tableColumn id="21" xr3:uid="{00000000-0010-0000-0000-000015000000}" name="Disjunta 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4A63-55AB-497E-9EBD-4681BB9AFAFF}">
  <sheetPr codeName="Planilha1"/>
  <dimension ref="A1:C24"/>
  <sheetViews>
    <sheetView zoomScale="175" zoomScaleNormal="175" workbookViewId="0">
      <pane ySplit="1" topLeftCell="A2" activePane="bottomLeft" state="frozen"/>
      <selection pane="bottomLeft" activeCell="B4" sqref="B4"/>
    </sheetView>
  </sheetViews>
  <sheetFormatPr defaultColWidth="9.15234375" defaultRowHeight="9.75" customHeight="1" x14ac:dyDescent="0.4"/>
  <cols>
    <col min="1" max="1" width="8.69140625" customWidth="1"/>
    <col min="2" max="2" width="47.15234375" customWidth="1"/>
    <col min="3" max="3" width="3.3828125" style="44" bestFit="1" customWidth="1"/>
  </cols>
  <sheetData>
    <row r="1" spans="1:3" ht="20.25" customHeight="1" x14ac:dyDescent="0.4">
      <c r="A1" s="12" t="s">
        <v>44</v>
      </c>
      <c r="B1" s="12" t="s">
        <v>45</v>
      </c>
      <c r="C1" s="42" t="s">
        <v>91</v>
      </c>
    </row>
    <row r="2" spans="1:3" ht="9" customHeight="1" x14ac:dyDescent="0.4">
      <c r="A2" s="13" t="s">
        <v>46</v>
      </c>
      <c r="B2" s="13" t="s">
        <v>47</v>
      </c>
      <c r="C2" s="43" t="s">
        <v>92</v>
      </c>
    </row>
    <row r="3" spans="1:3" ht="9" customHeight="1" x14ac:dyDescent="0.4">
      <c r="A3" s="13" t="s">
        <v>48</v>
      </c>
      <c r="B3" s="13" t="s">
        <v>150</v>
      </c>
      <c r="C3" s="43" t="s">
        <v>92</v>
      </c>
    </row>
    <row r="4" spans="1:3" ht="9" customHeight="1" x14ac:dyDescent="0.4">
      <c r="A4" s="14" t="s">
        <v>49</v>
      </c>
      <c r="B4" s="14" t="s">
        <v>32</v>
      </c>
      <c r="C4" s="43" t="s">
        <v>92</v>
      </c>
    </row>
    <row r="5" spans="1:3" ht="9" customHeight="1" x14ac:dyDescent="0.4">
      <c r="A5" s="14" t="s">
        <v>50</v>
      </c>
      <c r="B5" s="14" t="str">
        <f>_xlfn.CONCAT(B4,"Prop")</f>
        <v>BIMProp</v>
      </c>
      <c r="C5" s="43" t="s">
        <v>92</v>
      </c>
    </row>
    <row r="6" spans="1:3" ht="9" customHeight="1" x14ac:dyDescent="0.4">
      <c r="A6" s="14" t="s">
        <v>51</v>
      </c>
      <c r="B6" s="14" t="str">
        <f>_xlfn.CONCAT(B4,"Data")</f>
        <v>BIMData</v>
      </c>
      <c r="C6" s="43" t="s">
        <v>92</v>
      </c>
    </row>
    <row r="7" spans="1:3" ht="9" customHeight="1" x14ac:dyDescent="0.4">
      <c r="A7" s="14" t="s">
        <v>52</v>
      </c>
      <c r="B7" s="15" t="s">
        <v>53</v>
      </c>
      <c r="C7" s="43" t="s">
        <v>92</v>
      </c>
    </row>
    <row r="8" spans="1:3" s="41" customFormat="1" ht="9" customHeight="1" x14ac:dyDescent="0.4">
      <c r="A8" s="40" t="s">
        <v>54</v>
      </c>
      <c r="B8" s="40" t="s">
        <v>89</v>
      </c>
      <c r="C8" s="43" t="s">
        <v>92</v>
      </c>
    </row>
    <row r="9" spans="1:3" ht="9" customHeight="1" x14ac:dyDescent="0.4">
      <c r="A9" s="14" t="s">
        <v>55</v>
      </c>
      <c r="B9" s="14" t="s">
        <v>56</v>
      </c>
      <c r="C9" s="43" t="s">
        <v>92</v>
      </c>
    </row>
    <row r="10" spans="1:3" ht="9" customHeight="1" x14ac:dyDescent="0.4">
      <c r="A10" s="14" t="s">
        <v>57</v>
      </c>
      <c r="B10" s="14" t="s">
        <v>58</v>
      </c>
      <c r="C10" s="43" t="s">
        <v>92</v>
      </c>
    </row>
    <row r="11" spans="1:3" ht="9" customHeight="1" x14ac:dyDescent="0.4">
      <c r="A11" s="14" t="s">
        <v>59</v>
      </c>
      <c r="B11" s="14" t="s">
        <v>58</v>
      </c>
      <c r="C11" s="43" t="s">
        <v>92</v>
      </c>
    </row>
    <row r="12" spans="1:3" ht="9" customHeight="1" x14ac:dyDescent="0.4">
      <c r="A12" s="14" t="s">
        <v>60</v>
      </c>
      <c r="B12" s="14" t="s">
        <v>58</v>
      </c>
      <c r="C12" s="43" t="s">
        <v>92</v>
      </c>
    </row>
    <row r="13" spans="1:3" ht="9" customHeight="1" x14ac:dyDescent="0.4">
      <c r="A13" s="14" t="s">
        <v>61</v>
      </c>
      <c r="B13" s="14" t="s">
        <v>58</v>
      </c>
      <c r="C13" s="43" t="s">
        <v>92</v>
      </c>
    </row>
    <row r="14" spans="1:3" ht="9" customHeight="1" x14ac:dyDescent="0.4">
      <c r="A14" s="14" t="s">
        <v>62</v>
      </c>
      <c r="B14" s="14" t="s">
        <v>58</v>
      </c>
      <c r="C14" s="43" t="s">
        <v>92</v>
      </c>
    </row>
    <row r="15" spans="1:3" ht="9" customHeight="1" x14ac:dyDescent="0.4">
      <c r="A15" s="14" t="s">
        <v>63</v>
      </c>
      <c r="B15" s="14" t="s">
        <v>58</v>
      </c>
      <c r="C15" s="43" t="s">
        <v>92</v>
      </c>
    </row>
    <row r="16" spans="1:3" ht="9" customHeight="1" x14ac:dyDescent="0.4">
      <c r="A16" s="14" t="s">
        <v>64</v>
      </c>
      <c r="B16" s="14" t="s">
        <v>58</v>
      </c>
      <c r="C16" s="43" t="s">
        <v>92</v>
      </c>
    </row>
    <row r="17" spans="1:3" ht="9" customHeight="1" x14ac:dyDescent="0.4">
      <c r="A17" s="14" t="s">
        <v>65</v>
      </c>
      <c r="B17" s="14" t="s">
        <v>147</v>
      </c>
      <c r="C17" s="43" t="s">
        <v>92</v>
      </c>
    </row>
    <row r="18" spans="1:3" ht="9" customHeight="1" x14ac:dyDescent="0.4">
      <c r="A18" s="14" t="s">
        <v>66</v>
      </c>
      <c r="B18" s="16">
        <f ca="1">NOW()</f>
        <v>46243.535029513892</v>
      </c>
      <c r="C18" s="43" t="s">
        <v>92</v>
      </c>
    </row>
    <row r="19" spans="1:3" ht="9" customHeight="1" x14ac:dyDescent="0.4">
      <c r="A19" s="14" t="s">
        <v>67</v>
      </c>
      <c r="B19" s="16" t="s">
        <v>68</v>
      </c>
      <c r="C19" s="43" t="s">
        <v>92</v>
      </c>
    </row>
    <row r="20" spans="1:3" ht="9" customHeight="1" x14ac:dyDescent="0.4">
      <c r="A20" s="14" t="s">
        <v>69</v>
      </c>
      <c r="B20" s="14" t="s">
        <v>58</v>
      </c>
      <c r="C20" s="43" t="s">
        <v>92</v>
      </c>
    </row>
    <row r="21" spans="1:3" ht="9" customHeight="1" x14ac:dyDescent="0.4">
      <c r="A21" s="14" t="s">
        <v>70</v>
      </c>
      <c r="B21" s="14" t="s">
        <v>58</v>
      </c>
      <c r="C21" s="43" t="s">
        <v>92</v>
      </c>
    </row>
    <row r="22" spans="1:3" ht="9" customHeight="1" x14ac:dyDescent="0.4">
      <c r="A22" s="14" t="s">
        <v>71</v>
      </c>
      <c r="B22" s="17" t="s">
        <v>148</v>
      </c>
      <c r="C22" s="43" t="s">
        <v>92</v>
      </c>
    </row>
    <row r="23" spans="1:3" ht="9" customHeight="1" x14ac:dyDescent="0.4">
      <c r="A23" s="14" t="s">
        <v>72</v>
      </c>
      <c r="B23" s="17" t="s">
        <v>149</v>
      </c>
      <c r="C23" s="43" t="s">
        <v>93</v>
      </c>
    </row>
    <row r="24" spans="1:3" s="41" customFormat="1" ht="9" customHeight="1" x14ac:dyDescent="0.4">
      <c r="A24" s="14" t="s">
        <v>90</v>
      </c>
      <c r="B24" s="17" t="str">
        <f>_xlfn.TRANSLATE(B22,"pt","en")</f>
        <v>Formalize elements of the BIM project. Specific objects of Mechanical Driving Systems</v>
      </c>
      <c r="C24" s="43" t="s">
        <v>94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2D63-9637-42D9-866B-0BB924A50D8C}">
  <sheetPr codeName="Planilha2"/>
  <dimension ref="A1:AA20"/>
  <sheetViews>
    <sheetView tabSelected="1" zoomScale="220" zoomScaleNormal="220" workbookViewId="0">
      <pane ySplit="1" topLeftCell="A2" activePane="bottomLeft" state="frozen"/>
      <selection activeCell="A179" sqref="A179:XFD190"/>
      <selection pane="bottomLeft" activeCell="C7" sqref="C7:C20"/>
    </sheetView>
  </sheetViews>
  <sheetFormatPr defaultColWidth="9.15234375" defaultRowHeight="6.65" customHeight="1" x14ac:dyDescent="0.4"/>
  <cols>
    <col min="1" max="1" width="2.3828125" bestFit="1" customWidth="1"/>
    <col min="2" max="2" width="5.69140625" style="62" bestFit="1" customWidth="1"/>
    <col min="3" max="3" width="7.3828125" style="62" bestFit="1" customWidth="1"/>
    <col min="4" max="4" width="15.15234375" style="62" bestFit="1" customWidth="1"/>
    <col min="5" max="5" width="13.3046875" style="62" bestFit="1" customWidth="1"/>
    <col min="6" max="6" width="14" style="66" customWidth="1"/>
    <col min="7" max="11" width="8" style="62" bestFit="1" customWidth="1"/>
    <col min="12" max="12" width="7.3828125" style="62" bestFit="1" customWidth="1"/>
    <col min="13" max="13" width="15.15234375" style="62" bestFit="1" customWidth="1"/>
    <col min="14" max="14" width="13.3046875" style="62" bestFit="1" customWidth="1"/>
    <col min="15" max="15" width="17.69140625" style="62" bestFit="1" customWidth="1"/>
    <col min="16" max="16" width="64.53515625" style="62" bestFit="1" customWidth="1"/>
    <col min="17" max="17" width="44.84375" style="62" bestFit="1" customWidth="1"/>
    <col min="18" max="18" width="3.69140625" style="62" bestFit="1" customWidth="1"/>
    <col min="19" max="19" width="7.3828125" style="62" bestFit="1" customWidth="1"/>
    <col min="20" max="20" width="15.15234375" style="62" bestFit="1" customWidth="1"/>
    <col min="21" max="21" width="13.3046875" style="62" bestFit="1" customWidth="1"/>
    <col min="22" max="22" width="7.3828125" style="62" bestFit="1" customWidth="1"/>
    <col min="23" max="23" width="7.84375" style="62" bestFit="1" customWidth="1"/>
    <col min="24" max="24" width="27.53515625" style="62" bestFit="1" customWidth="1"/>
    <col min="25" max="25" width="15.53515625" style="67" customWidth="1"/>
    <col min="26" max="26" width="10.3828125" style="62" bestFit="1" customWidth="1"/>
    <col min="27" max="27" width="67.69140625" style="62" bestFit="1" customWidth="1"/>
    <col min="28" max="16384" width="9.15234375" style="62"/>
  </cols>
  <sheetData>
    <row r="1" spans="1:27" ht="55.5" customHeight="1" x14ac:dyDescent="0.4">
      <c r="A1" s="46" t="s">
        <v>95</v>
      </c>
      <c r="B1" s="47" t="s">
        <v>42</v>
      </c>
      <c r="C1" s="47" t="s">
        <v>40</v>
      </c>
      <c r="D1" s="47" t="s">
        <v>41</v>
      </c>
      <c r="E1" s="47" t="s">
        <v>39</v>
      </c>
      <c r="F1" s="57" t="s">
        <v>36</v>
      </c>
      <c r="G1" s="48" t="s">
        <v>0</v>
      </c>
      <c r="H1" s="48" t="s">
        <v>1</v>
      </c>
      <c r="I1" s="48" t="s">
        <v>2</v>
      </c>
      <c r="J1" s="48" t="s">
        <v>3</v>
      </c>
      <c r="K1" s="48" t="s">
        <v>4</v>
      </c>
      <c r="L1" s="38" t="s">
        <v>96</v>
      </c>
      <c r="M1" s="38" t="s">
        <v>5</v>
      </c>
      <c r="N1" s="38" t="s">
        <v>6</v>
      </c>
      <c r="O1" s="38" t="s">
        <v>7</v>
      </c>
      <c r="P1" s="38" t="s">
        <v>37</v>
      </c>
      <c r="Q1" s="38" t="s">
        <v>43</v>
      </c>
      <c r="R1" s="38" t="s">
        <v>97</v>
      </c>
      <c r="S1" s="38" t="s">
        <v>33</v>
      </c>
      <c r="T1" s="38" t="s">
        <v>38</v>
      </c>
      <c r="U1" s="49" t="s">
        <v>35</v>
      </c>
      <c r="V1" s="38" t="s">
        <v>34</v>
      </c>
      <c r="W1" s="63" t="s">
        <v>8</v>
      </c>
      <c r="X1" s="38" t="s">
        <v>85</v>
      </c>
      <c r="Y1" s="38" t="s">
        <v>86</v>
      </c>
      <c r="Z1" s="38" t="s">
        <v>87</v>
      </c>
      <c r="AA1" s="39" t="s">
        <v>88</v>
      </c>
    </row>
    <row r="2" spans="1:27" ht="6" customHeight="1" x14ac:dyDescent="0.4">
      <c r="A2" s="59">
        <v>2</v>
      </c>
      <c r="B2" s="1" t="s">
        <v>196</v>
      </c>
      <c r="C2" s="1" t="s">
        <v>180</v>
      </c>
      <c r="D2" s="1" t="s">
        <v>83</v>
      </c>
      <c r="E2" s="56" t="s">
        <v>189</v>
      </c>
      <c r="F2" s="56" t="s">
        <v>82</v>
      </c>
      <c r="G2" s="60" t="s">
        <v>9</v>
      </c>
      <c r="H2" s="60" t="s">
        <v>9</v>
      </c>
      <c r="I2" s="60" t="s">
        <v>9</v>
      </c>
      <c r="J2" s="60" t="s">
        <v>9</v>
      </c>
      <c r="K2" s="60" t="s">
        <v>9</v>
      </c>
      <c r="L2" s="35" t="str">
        <f t="shared" ref="L2:M6" si="0">CONCATENATE("", C2)</f>
        <v>Gestão</v>
      </c>
      <c r="M2" s="35" t="str">
        <f t="shared" si="0"/>
        <v>Informação</v>
      </c>
      <c r="N2" s="35" t="str">
        <f t="shared" ref="N2:O6" si="1">(SUBSTITUTE(SUBSTITUTE(CONCATENATE("",E2),"."," ")," De "," de "))</f>
        <v>Contêineres</v>
      </c>
      <c r="O2" s="35" t="str">
        <f t="shared" si="1"/>
        <v>Contêiner</v>
      </c>
      <c r="P2" s="31" t="s">
        <v>179</v>
      </c>
      <c r="Q2" s="31" t="s">
        <v>84</v>
      </c>
      <c r="R2" s="31" t="s">
        <v>9</v>
      </c>
      <c r="S2" s="31" t="str">
        <f t="shared" ref="S2:U6" si="2">SUBSTITUTE(C2, ".", " ")</f>
        <v>Gestão</v>
      </c>
      <c r="T2" s="31" t="str">
        <f t="shared" si="2"/>
        <v>Informação</v>
      </c>
      <c r="U2" s="31" t="str">
        <f t="shared" si="2"/>
        <v>Contêineres</v>
      </c>
      <c r="V2" s="31" t="s">
        <v>112</v>
      </c>
      <c r="W2" s="61" t="str">
        <f t="shared" ref="W2:W6" si="3">CONCATENATE("Key-MOT-",A2)</f>
        <v>Key-MOT-2</v>
      </c>
      <c r="X2" s="31" t="s">
        <v>9</v>
      </c>
      <c r="Y2" s="31" t="s">
        <v>9</v>
      </c>
      <c r="Z2" s="31" t="s">
        <v>190</v>
      </c>
      <c r="AA2" s="31" t="str">
        <f t="shared" ref="AA2:AA6" si="4">_xlfn.TRANSLATE(P2,"pt","en")</f>
        <v>Defines an information container in accordance with the NBR 19650-1 standard. Project Definition.</v>
      </c>
    </row>
    <row r="3" spans="1:27" ht="6" customHeight="1" x14ac:dyDescent="0.4">
      <c r="A3" s="59">
        <v>3</v>
      </c>
      <c r="B3" s="1" t="s">
        <v>196</v>
      </c>
      <c r="C3" s="1" t="s">
        <v>180</v>
      </c>
      <c r="D3" s="1" t="s">
        <v>83</v>
      </c>
      <c r="E3" s="56" t="s">
        <v>189</v>
      </c>
      <c r="F3" s="56" t="s">
        <v>181</v>
      </c>
      <c r="G3" s="60" t="s">
        <v>9</v>
      </c>
      <c r="H3" s="60" t="s">
        <v>9</v>
      </c>
      <c r="I3" s="60" t="s">
        <v>9</v>
      </c>
      <c r="J3" s="60" t="s">
        <v>9</v>
      </c>
      <c r="K3" s="60" t="s">
        <v>9</v>
      </c>
      <c r="L3" s="35" t="str">
        <f t="shared" si="0"/>
        <v>Gestão</v>
      </c>
      <c r="M3" s="35" t="str">
        <f t="shared" si="0"/>
        <v>Informação</v>
      </c>
      <c r="N3" s="35" t="str">
        <f t="shared" si="1"/>
        <v>Contêineres</v>
      </c>
      <c r="O3" s="35" t="str">
        <f t="shared" si="1"/>
        <v>Requisito Espacial</v>
      </c>
      <c r="P3" s="31" t="s">
        <v>182</v>
      </c>
      <c r="Q3" s="31" t="s">
        <v>84</v>
      </c>
      <c r="R3" s="31" t="s">
        <v>9</v>
      </c>
      <c r="S3" s="31" t="str">
        <f t="shared" si="2"/>
        <v>Gestão</v>
      </c>
      <c r="T3" s="31" t="str">
        <f t="shared" si="2"/>
        <v>Informação</v>
      </c>
      <c r="U3" s="31" t="str">
        <f t="shared" si="2"/>
        <v>Contêineres</v>
      </c>
      <c r="V3" s="31" t="s">
        <v>112</v>
      </c>
      <c r="W3" s="61" t="str">
        <f t="shared" si="3"/>
        <v>Key-MOT-3</v>
      </c>
      <c r="X3" s="31" t="s">
        <v>9</v>
      </c>
      <c r="Y3" s="31" t="s">
        <v>9</v>
      </c>
      <c r="Z3" s="31" t="s">
        <v>9</v>
      </c>
      <c r="AA3" s="31" t="str">
        <f t="shared" si="4"/>
        <v>Defines an information container in accordance with the NBR 19650-1 standard. Spatial Requirements for the Project.</v>
      </c>
    </row>
    <row r="4" spans="1:27" ht="6" customHeight="1" x14ac:dyDescent="0.4">
      <c r="A4" s="59">
        <v>4</v>
      </c>
      <c r="B4" s="1" t="s">
        <v>196</v>
      </c>
      <c r="C4" s="1" t="s">
        <v>180</v>
      </c>
      <c r="D4" s="1" t="s">
        <v>83</v>
      </c>
      <c r="E4" s="56" t="s">
        <v>189</v>
      </c>
      <c r="F4" s="56" t="s">
        <v>183</v>
      </c>
      <c r="G4" s="60" t="s">
        <v>9</v>
      </c>
      <c r="H4" s="60" t="s">
        <v>9</v>
      </c>
      <c r="I4" s="60" t="s">
        <v>9</v>
      </c>
      <c r="J4" s="60" t="s">
        <v>9</v>
      </c>
      <c r="K4" s="60" t="s">
        <v>9</v>
      </c>
      <c r="L4" s="35" t="str">
        <f t="shared" si="0"/>
        <v>Gestão</v>
      </c>
      <c r="M4" s="35" t="str">
        <f t="shared" si="0"/>
        <v>Informação</v>
      </c>
      <c r="N4" s="35" t="str">
        <f t="shared" si="1"/>
        <v>Contêineres</v>
      </c>
      <c r="O4" s="35" t="str">
        <f t="shared" si="1"/>
        <v>Requisito Mobiliário</v>
      </c>
      <c r="P4" s="31" t="s">
        <v>184</v>
      </c>
      <c r="Q4" s="31" t="s">
        <v>84</v>
      </c>
      <c r="R4" s="31" t="s">
        <v>9</v>
      </c>
      <c r="S4" s="31" t="str">
        <f t="shared" si="2"/>
        <v>Gestão</v>
      </c>
      <c r="T4" s="31" t="str">
        <f t="shared" si="2"/>
        <v>Informação</v>
      </c>
      <c r="U4" s="31" t="str">
        <f t="shared" si="2"/>
        <v>Contêineres</v>
      </c>
      <c r="V4" s="31" t="s">
        <v>112</v>
      </c>
      <c r="W4" s="61" t="str">
        <f t="shared" si="3"/>
        <v>Key-MOT-4</v>
      </c>
      <c r="X4" s="31" t="s">
        <v>9</v>
      </c>
      <c r="Y4" s="31" t="s">
        <v>9</v>
      </c>
      <c r="Z4" s="31" t="s">
        <v>9</v>
      </c>
      <c r="AA4" s="31" t="str">
        <f t="shared" si="4"/>
        <v>Defines an information container in accordance with the NBR 19650-1 standard. Furniture Requirements for the Project.</v>
      </c>
    </row>
    <row r="5" spans="1:27" ht="6" customHeight="1" x14ac:dyDescent="0.4">
      <c r="A5" s="59">
        <v>5</v>
      </c>
      <c r="B5" s="1" t="s">
        <v>196</v>
      </c>
      <c r="C5" s="1" t="s">
        <v>180</v>
      </c>
      <c r="D5" s="1" t="s">
        <v>83</v>
      </c>
      <c r="E5" s="56" t="s">
        <v>189</v>
      </c>
      <c r="F5" s="56" t="s">
        <v>185</v>
      </c>
      <c r="G5" s="60" t="s">
        <v>9</v>
      </c>
      <c r="H5" s="60" t="s">
        <v>9</v>
      </c>
      <c r="I5" s="60" t="s">
        <v>9</v>
      </c>
      <c r="J5" s="60" t="s">
        <v>9</v>
      </c>
      <c r="K5" s="60" t="s">
        <v>9</v>
      </c>
      <c r="L5" s="35" t="str">
        <f t="shared" si="0"/>
        <v>Gestão</v>
      </c>
      <c r="M5" s="35" t="str">
        <f t="shared" si="0"/>
        <v>Informação</v>
      </c>
      <c r="N5" s="35" t="str">
        <f t="shared" si="1"/>
        <v>Contêineres</v>
      </c>
      <c r="O5" s="35" t="str">
        <f t="shared" si="1"/>
        <v>Requisito Equipamento</v>
      </c>
      <c r="P5" s="31" t="s">
        <v>186</v>
      </c>
      <c r="Q5" s="31" t="s">
        <v>84</v>
      </c>
      <c r="R5" s="31" t="s">
        <v>9</v>
      </c>
      <c r="S5" s="31" t="str">
        <f t="shared" si="2"/>
        <v>Gestão</v>
      </c>
      <c r="T5" s="31" t="str">
        <f t="shared" si="2"/>
        <v>Informação</v>
      </c>
      <c r="U5" s="31" t="str">
        <f t="shared" si="2"/>
        <v>Contêineres</v>
      </c>
      <c r="V5" s="31" t="s">
        <v>112</v>
      </c>
      <c r="W5" s="61" t="str">
        <f t="shared" si="3"/>
        <v>Key-MOT-5</v>
      </c>
      <c r="X5" s="31" t="s">
        <v>9</v>
      </c>
      <c r="Y5" s="31" t="s">
        <v>9</v>
      </c>
      <c r="Z5" s="31" t="s">
        <v>9</v>
      </c>
      <c r="AA5" s="31" t="str">
        <f t="shared" si="4"/>
        <v>Defines an information container in accordance with the NBR 19650-1 standard. Equipment Requirements for the Project.</v>
      </c>
    </row>
    <row r="6" spans="1:27" ht="6" customHeight="1" x14ac:dyDescent="0.4">
      <c r="A6" s="59">
        <v>6</v>
      </c>
      <c r="B6" s="1" t="s">
        <v>196</v>
      </c>
      <c r="C6" s="1" t="s">
        <v>180</v>
      </c>
      <c r="D6" s="1" t="s">
        <v>83</v>
      </c>
      <c r="E6" s="56" t="s">
        <v>189</v>
      </c>
      <c r="F6" s="56" t="s">
        <v>187</v>
      </c>
      <c r="G6" s="60" t="s">
        <v>9</v>
      </c>
      <c r="H6" s="60" t="s">
        <v>9</v>
      </c>
      <c r="I6" s="60" t="s">
        <v>9</v>
      </c>
      <c r="J6" s="60" t="s">
        <v>9</v>
      </c>
      <c r="K6" s="60" t="s">
        <v>9</v>
      </c>
      <c r="L6" s="35" t="str">
        <f t="shared" si="0"/>
        <v>Gestão</v>
      </c>
      <c r="M6" s="35" t="str">
        <f t="shared" si="0"/>
        <v>Informação</v>
      </c>
      <c r="N6" s="35" t="str">
        <f t="shared" si="1"/>
        <v>Contêineres</v>
      </c>
      <c r="O6" s="35" t="str">
        <f t="shared" si="1"/>
        <v>Requisito Sistemas</v>
      </c>
      <c r="P6" s="31" t="s">
        <v>188</v>
      </c>
      <c r="Q6" s="31" t="s">
        <v>84</v>
      </c>
      <c r="R6" s="31" t="s">
        <v>9</v>
      </c>
      <c r="S6" s="31" t="str">
        <f t="shared" si="2"/>
        <v>Gestão</v>
      </c>
      <c r="T6" s="31" t="str">
        <f t="shared" si="2"/>
        <v>Informação</v>
      </c>
      <c r="U6" s="31" t="str">
        <f t="shared" si="2"/>
        <v>Contêineres</v>
      </c>
      <c r="V6" s="31" t="s">
        <v>112</v>
      </c>
      <c r="W6" s="61" t="str">
        <f t="shared" si="3"/>
        <v>Key-MOT-6</v>
      </c>
      <c r="X6" s="31" t="s">
        <v>9</v>
      </c>
      <c r="Y6" s="31" t="s">
        <v>9</v>
      </c>
      <c r="Z6" s="31" t="s">
        <v>9</v>
      </c>
      <c r="AA6" s="31" t="str">
        <f t="shared" si="4"/>
        <v>Defines an information container in accordance with the NBR 19650-1 standard. Building Systems Requirements for the Project.</v>
      </c>
    </row>
    <row r="7" spans="1:27" ht="6.65" customHeight="1" x14ac:dyDescent="0.4">
      <c r="A7" s="59">
        <v>7</v>
      </c>
      <c r="B7" s="1" t="s">
        <v>196</v>
      </c>
      <c r="C7" s="34" t="s">
        <v>197</v>
      </c>
      <c r="D7" s="1" t="s">
        <v>151</v>
      </c>
      <c r="E7" s="1" t="s">
        <v>160</v>
      </c>
      <c r="F7" s="56" t="s">
        <v>113</v>
      </c>
      <c r="G7" s="60" t="s">
        <v>9</v>
      </c>
      <c r="H7" s="60" t="s">
        <v>9</v>
      </c>
      <c r="I7" s="60" t="s">
        <v>9</v>
      </c>
      <c r="J7" s="60" t="s">
        <v>9</v>
      </c>
      <c r="K7" s="60" t="s">
        <v>9</v>
      </c>
      <c r="L7" s="35" t="str">
        <f t="shared" ref="L7:L9" si="5">CONCATENATE("", C7)</f>
        <v>De.Motricidade</v>
      </c>
      <c r="M7" s="35" t="str">
        <f t="shared" ref="M7:M9" si="6">CONCATENATE("", D7)</f>
        <v>Elementos.de.Força.Motriz</v>
      </c>
      <c r="N7" s="35" t="str">
        <f t="shared" ref="N7:N9" si="7">(SUBSTITUTE(SUBSTITUTE(CONCATENATE("",E7),"."," ")," De "," de "))</f>
        <v>Maquinária</v>
      </c>
      <c r="O7" s="31" t="str">
        <f>IF(ISNUMBER(FIND("Ifc",F7)),CONCATENATE("Classe IFC:   ",F7),F7)</f>
        <v>Motor.de.Combustão</v>
      </c>
      <c r="P7" s="31" t="s">
        <v>126</v>
      </c>
      <c r="Q7" s="31" t="s">
        <v>128</v>
      </c>
      <c r="R7" s="31" t="s">
        <v>9</v>
      </c>
      <c r="S7" s="31" t="str">
        <f t="shared" ref="S7:S20" si="8">SUBSTITUTE(C7, "_", " ")</f>
        <v>De.Motricidade</v>
      </c>
      <c r="T7" s="31" t="str">
        <f t="shared" ref="T7:T20" si="9">SUBSTITUTE(D7, "_", " ")</f>
        <v>Elementos.de.Força.Motriz</v>
      </c>
      <c r="U7" s="31" t="str">
        <f t="shared" ref="U7:U20" si="10">SUBSTITUTE(E7, "_", " ")</f>
        <v>Maquinária</v>
      </c>
      <c r="V7" s="31" t="s">
        <v>112</v>
      </c>
      <c r="W7" s="61" t="str">
        <f t="shared" ref="W7:W20" si="11">CONCATENATE("Key-MOT-",A7)</f>
        <v>Key-MOT-7</v>
      </c>
      <c r="X7" s="31" t="s">
        <v>136</v>
      </c>
      <c r="Y7" s="30" t="s">
        <v>105</v>
      </c>
      <c r="Z7" s="31" t="s">
        <v>153</v>
      </c>
      <c r="AA7" s="31" t="str">
        <f t="shared" ref="AA7:AA9" si="12">_xlfn.TRANSLATE(P7,"pt","en")</f>
        <v>Combustion engine</v>
      </c>
    </row>
    <row r="8" spans="1:27" ht="6.65" customHeight="1" x14ac:dyDescent="0.4">
      <c r="A8" s="59">
        <v>8</v>
      </c>
      <c r="B8" s="1" t="s">
        <v>196</v>
      </c>
      <c r="C8" s="34" t="s">
        <v>197</v>
      </c>
      <c r="D8" s="1" t="s">
        <v>151</v>
      </c>
      <c r="E8" s="1" t="s">
        <v>160</v>
      </c>
      <c r="F8" s="56" t="s">
        <v>109</v>
      </c>
      <c r="G8" s="60" t="s">
        <v>9</v>
      </c>
      <c r="H8" s="60" t="s">
        <v>9</v>
      </c>
      <c r="I8" s="60" t="s">
        <v>9</v>
      </c>
      <c r="J8" s="60" t="s">
        <v>9</v>
      </c>
      <c r="K8" s="60" t="s">
        <v>9</v>
      </c>
      <c r="L8" s="35" t="str">
        <f t="shared" ref="L8" si="13">CONCATENATE("", C8)</f>
        <v>De.Motricidade</v>
      </c>
      <c r="M8" s="35" t="str">
        <f t="shared" ref="M8" si="14">CONCATENATE("", D8)</f>
        <v>Elementos.de.Força.Motriz</v>
      </c>
      <c r="N8" s="35" t="str">
        <f t="shared" ref="N8" si="15">(SUBSTITUTE(SUBSTITUTE(CONCATENATE("",E8),"."," ")," De "," de "))</f>
        <v>Maquinária</v>
      </c>
      <c r="O8" s="31" t="str">
        <f t="shared" ref="O8:O20" si="16">IF(ISNUMBER(FIND("Ifc",F8)),CONCATENATE("Classe IFC:   ",F8),F8)</f>
        <v>Motor.de.Acoplamento</v>
      </c>
      <c r="P8" s="31" t="s">
        <v>125</v>
      </c>
      <c r="Q8" s="31" t="s">
        <v>129</v>
      </c>
      <c r="R8" s="31" t="s">
        <v>9</v>
      </c>
      <c r="S8" s="31" t="str">
        <f t="shared" si="8"/>
        <v>De.Motricidade</v>
      </c>
      <c r="T8" s="31" t="str">
        <f t="shared" si="9"/>
        <v>Elementos.de.Força.Motriz</v>
      </c>
      <c r="U8" s="31" t="str">
        <f t="shared" si="10"/>
        <v>Maquinária</v>
      </c>
      <c r="V8" s="31" t="str">
        <f t="shared" ref="V8:V20" si="17">SUBSTITUTE(C8, "_", " ")</f>
        <v>De.Motricidade</v>
      </c>
      <c r="W8" s="61" t="str">
        <f t="shared" si="11"/>
        <v>Key-MOT-8</v>
      </c>
      <c r="X8" s="31" t="s">
        <v>136</v>
      </c>
      <c r="Y8" s="30" t="s">
        <v>106</v>
      </c>
      <c r="Z8" s="31" t="s">
        <v>153</v>
      </c>
      <c r="AA8" s="31" t="str">
        <f t="shared" ref="AA8" si="18">_xlfn.TRANSLATE(P8,"pt","en")</f>
        <v>Coupling motor</v>
      </c>
    </row>
    <row r="9" spans="1:27" ht="6.65" customHeight="1" x14ac:dyDescent="0.4">
      <c r="A9" s="59">
        <v>9</v>
      </c>
      <c r="B9" s="1" t="s">
        <v>196</v>
      </c>
      <c r="C9" s="34" t="s">
        <v>197</v>
      </c>
      <c r="D9" s="1" t="s">
        <v>151</v>
      </c>
      <c r="E9" s="1" t="s">
        <v>160</v>
      </c>
      <c r="F9" s="56" t="s">
        <v>111</v>
      </c>
      <c r="G9" s="60" t="s">
        <v>9</v>
      </c>
      <c r="H9" s="60" t="s">
        <v>9</v>
      </c>
      <c r="I9" s="60" t="s">
        <v>9</v>
      </c>
      <c r="J9" s="60" t="s">
        <v>9</v>
      </c>
      <c r="K9" s="60" t="s">
        <v>9</v>
      </c>
      <c r="L9" s="35" t="str">
        <f t="shared" si="5"/>
        <v>De.Motricidade</v>
      </c>
      <c r="M9" s="35" t="str">
        <f t="shared" si="6"/>
        <v>Elementos.de.Força.Motriz</v>
      </c>
      <c r="N9" s="35" t="str">
        <f t="shared" si="7"/>
        <v>Maquinária</v>
      </c>
      <c r="O9" s="31" t="str">
        <f t="shared" si="16"/>
        <v>Motor.de.Acionamento.Correia</v>
      </c>
      <c r="P9" s="31" t="s">
        <v>123</v>
      </c>
      <c r="Q9" s="31" t="s">
        <v>130</v>
      </c>
      <c r="R9" s="31" t="s">
        <v>9</v>
      </c>
      <c r="S9" s="31" t="str">
        <f t="shared" si="8"/>
        <v>De.Motricidade</v>
      </c>
      <c r="T9" s="31" t="str">
        <f t="shared" si="9"/>
        <v>Elementos.de.Força.Motriz</v>
      </c>
      <c r="U9" s="31" t="str">
        <f t="shared" si="10"/>
        <v>Maquinária</v>
      </c>
      <c r="V9" s="31" t="str">
        <f t="shared" si="17"/>
        <v>De.Motricidade</v>
      </c>
      <c r="W9" s="61" t="str">
        <f t="shared" si="11"/>
        <v>Key-MOT-9</v>
      </c>
      <c r="X9" s="31" t="s">
        <v>136</v>
      </c>
      <c r="Y9" s="30" t="s">
        <v>107</v>
      </c>
      <c r="Z9" s="31" t="s">
        <v>153</v>
      </c>
      <c r="AA9" s="31" t="str">
        <f t="shared" si="12"/>
        <v>Belt drive motor</v>
      </c>
    </row>
    <row r="10" spans="1:27" ht="6.65" customHeight="1" x14ac:dyDescent="0.4">
      <c r="A10" s="59">
        <v>10</v>
      </c>
      <c r="B10" s="1" t="s">
        <v>196</v>
      </c>
      <c r="C10" s="34" t="s">
        <v>197</v>
      </c>
      <c r="D10" s="1" t="s">
        <v>151</v>
      </c>
      <c r="E10" s="1" t="s">
        <v>160</v>
      </c>
      <c r="F10" s="56" t="s">
        <v>110</v>
      </c>
      <c r="G10" s="60" t="s">
        <v>9</v>
      </c>
      <c r="H10" s="60" t="s">
        <v>9</v>
      </c>
      <c r="I10" s="60" t="s">
        <v>9</v>
      </c>
      <c r="J10" s="60" t="s">
        <v>9</v>
      </c>
      <c r="K10" s="60" t="s">
        <v>9</v>
      </c>
      <c r="L10" s="35" t="str">
        <f t="shared" ref="L10" si="19">CONCATENATE("", C10)</f>
        <v>De.Motricidade</v>
      </c>
      <c r="M10" s="35" t="str">
        <f t="shared" ref="M10" si="20">CONCATENATE("", D10)</f>
        <v>Elementos.de.Força.Motriz</v>
      </c>
      <c r="N10" s="35" t="str">
        <f t="shared" ref="N10" si="21">(SUBSTITUTE(SUBSTITUTE(CONCATENATE("",E10),"."," ")," De "," de "))</f>
        <v>Maquinária</v>
      </c>
      <c r="O10" s="31" t="str">
        <f t="shared" si="16"/>
        <v>Motor.de.Acionamento.Direto</v>
      </c>
      <c r="P10" s="31" t="s">
        <v>124</v>
      </c>
      <c r="Q10" s="31" t="s">
        <v>131</v>
      </c>
      <c r="R10" s="31" t="s">
        <v>9</v>
      </c>
      <c r="S10" s="31" t="str">
        <f t="shared" si="8"/>
        <v>De.Motricidade</v>
      </c>
      <c r="T10" s="31" t="str">
        <f t="shared" si="9"/>
        <v>Elementos.de.Força.Motriz</v>
      </c>
      <c r="U10" s="31" t="str">
        <f t="shared" si="10"/>
        <v>Maquinária</v>
      </c>
      <c r="V10" s="31" t="str">
        <f t="shared" si="17"/>
        <v>De.Motricidade</v>
      </c>
      <c r="W10" s="61" t="str">
        <f t="shared" si="11"/>
        <v>Key-MOT-10</v>
      </c>
      <c r="X10" s="31" t="s">
        <v>136</v>
      </c>
      <c r="Y10" s="30" t="s">
        <v>108</v>
      </c>
      <c r="Z10" s="31" t="s">
        <v>153</v>
      </c>
      <c r="AA10" s="31" t="str">
        <f t="shared" ref="AA10" si="22">_xlfn.TRANSLATE(P10,"pt","en")</f>
        <v>Direct drive motor</v>
      </c>
    </row>
    <row r="11" spans="1:27" ht="6.65" customHeight="1" x14ac:dyDescent="0.4">
      <c r="A11" s="59">
        <v>11</v>
      </c>
      <c r="B11" s="1" t="s">
        <v>196</v>
      </c>
      <c r="C11" s="34" t="s">
        <v>197</v>
      </c>
      <c r="D11" s="1" t="s">
        <v>151</v>
      </c>
      <c r="E11" s="1" t="s">
        <v>160</v>
      </c>
      <c r="F11" s="56" t="s">
        <v>119</v>
      </c>
      <c r="G11" s="60" t="s">
        <v>9</v>
      </c>
      <c r="H11" s="60" t="s">
        <v>9</v>
      </c>
      <c r="I11" s="60" t="s">
        <v>9</v>
      </c>
      <c r="J11" s="60" t="s">
        <v>9</v>
      </c>
      <c r="K11" s="60" t="s">
        <v>9</v>
      </c>
      <c r="L11" s="35" t="str">
        <f t="shared" ref="L11:M18" si="23">CONCATENATE("", C11)</f>
        <v>De.Motricidade</v>
      </c>
      <c r="M11" s="35" t="str">
        <f t="shared" si="23"/>
        <v>Elementos.de.Força.Motriz</v>
      </c>
      <c r="N11" s="35" t="str">
        <f>(SUBSTITUTE(SUBSTITUTE(CONCATENATE("",E11),"."," ")," De "," de "))</f>
        <v>Maquinária</v>
      </c>
      <c r="O11" s="31" t="str">
        <f t="shared" si="16"/>
        <v>Máquina.Motriz</v>
      </c>
      <c r="P11" s="31" t="s">
        <v>122</v>
      </c>
      <c r="Q11" s="31" t="s">
        <v>132</v>
      </c>
      <c r="R11" s="31" t="s">
        <v>9</v>
      </c>
      <c r="S11" s="31" t="str">
        <f t="shared" si="8"/>
        <v>De.Motricidade</v>
      </c>
      <c r="T11" s="31" t="str">
        <f t="shared" si="9"/>
        <v>Elementos.de.Força.Motriz</v>
      </c>
      <c r="U11" s="31" t="str">
        <f t="shared" si="10"/>
        <v>Maquinária</v>
      </c>
      <c r="V11" s="31" t="str">
        <f t="shared" si="17"/>
        <v>De.Motricidade</v>
      </c>
      <c r="W11" s="61" t="str">
        <f t="shared" si="11"/>
        <v>Key-MOT-11</v>
      </c>
      <c r="X11" s="31" t="s">
        <v>136</v>
      </c>
      <c r="Y11" s="30" t="s">
        <v>114</v>
      </c>
      <c r="Z11" s="31" t="s">
        <v>153</v>
      </c>
      <c r="AA11" s="31" t="str">
        <f>_xlfn.TRANSLATE(P11,"pt","en")</f>
        <v>Engine that converts fuel into mechanical energy through combustion</v>
      </c>
    </row>
    <row r="12" spans="1:27" ht="6.65" customHeight="1" x14ac:dyDescent="0.4">
      <c r="A12" s="59">
        <v>12</v>
      </c>
      <c r="B12" s="1" t="s">
        <v>196</v>
      </c>
      <c r="C12" s="34" t="s">
        <v>197</v>
      </c>
      <c r="D12" s="1" t="s">
        <v>151</v>
      </c>
      <c r="E12" s="1" t="s">
        <v>160</v>
      </c>
      <c r="F12" s="56" t="s">
        <v>117</v>
      </c>
      <c r="G12" s="60" t="s">
        <v>9</v>
      </c>
      <c r="H12" s="60" t="s">
        <v>9</v>
      </c>
      <c r="I12" s="60" t="s">
        <v>9</v>
      </c>
      <c r="J12" s="60" t="s">
        <v>9</v>
      </c>
      <c r="K12" s="60" t="s">
        <v>9</v>
      </c>
      <c r="L12" s="35" t="str">
        <f t="shared" si="23"/>
        <v>De.Motricidade</v>
      </c>
      <c r="M12" s="35" t="str">
        <f t="shared" si="23"/>
        <v>Elementos.de.Força.Motriz</v>
      </c>
      <c r="N12" s="35" t="str">
        <f>(SUBSTITUTE(SUBSTITUTE(CONCATENATE("",E12),"."," ")," De "," de "))</f>
        <v>Maquinária</v>
      </c>
      <c r="O12" s="31" t="str">
        <f t="shared" si="16"/>
        <v>Máquina.de.Combustão.Externa</v>
      </c>
      <c r="P12" s="31" t="s">
        <v>120</v>
      </c>
      <c r="Q12" s="31" t="s">
        <v>133</v>
      </c>
      <c r="R12" s="31" t="s">
        <v>9</v>
      </c>
      <c r="S12" s="31" t="str">
        <f t="shared" si="8"/>
        <v>De.Motricidade</v>
      </c>
      <c r="T12" s="31" t="str">
        <f t="shared" si="9"/>
        <v>Elementos.de.Força.Motriz</v>
      </c>
      <c r="U12" s="31" t="str">
        <f t="shared" si="10"/>
        <v>Maquinária</v>
      </c>
      <c r="V12" s="31" t="str">
        <f t="shared" si="17"/>
        <v>De.Motricidade</v>
      </c>
      <c r="W12" s="61" t="str">
        <f t="shared" si="11"/>
        <v>Key-MOT-12</v>
      </c>
      <c r="X12" s="31" t="s">
        <v>136</v>
      </c>
      <c r="Y12" s="30" t="s">
        <v>116</v>
      </c>
      <c r="Z12" s="31" t="s">
        <v>153</v>
      </c>
      <c r="AA12" s="31" t="str">
        <f>_xlfn.TRANSLATE(P12,"pt","en")</f>
        <v>Engine that converts fuel into mechanical energy through external combustion</v>
      </c>
    </row>
    <row r="13" spans="1:27" ht="6.65" customHeight="1" x14ac:dyDescent="0.4">
      <c r="A13" s="59">
        <v>13</v>
      </c>
      <c r="B13" s="1" t="s">
        <v>196</v>
      </c>
      <c r="C13" s="34" t="s">
        <v>197</v>
      </c>
      <c r="D13" s="1" t="s">
        <v>151</v>
      </c>
      <c r="E13" s="1" t="s">
        <v>160</v>
      </c>
      <c r="F13" s="56" t="s">
        <v>118</v>
      </c>
      <c r="G13" s="60" t="s">
        <v>9</v>
      </c>
      <c r="H13" s="60" t="s">
        <v>9</v>
      </c>
      <c r="I13" s="60" t="s">
        <v>9</v>
      </c>
      <c r="J13" s="60" t="s">
        <v>9</v>
      </c>
      <c r="K13" s="60" t="s">
        <v>9</v>
      </c>
      <c r="L13" s="35" t="str">
        <f t="shared" si="23"/>
        <v>De.Motricidade</v>
      </c>
      <c r="M13" s="35" t="str">
        <f t="shared" si="23"/>
        <v>Elementos.de.Força.Motriz</v>
      </c>
      <c r="N13" s="35" t="str">
        <f>(SUBSTITUTE(SUBSTITUTE(CONCATENATE("",E13),"."," ")," De "," de "))</f>
        <v>Maquinária</v>
      </c>
      <c r="O13" s="31" t="str">
        <f t="shared" si="16"/>
        <v>Máquina.de.Combustão.Interna</v>
      </c>
      <c r="P13" s="31" t="s">
        <v>121</v>
      </c>
      <c r="Q13" s="31" t="s">
        <v>134</v>
      </c>
      <c r="R13" s="31" t="s">
        <v>9</v>
      </c>
      <c r="S13" s="31" t="str">
        <f t="shared" si="8"/>
        <v>De.Motricidade</v>
      </c>
      <c r="T13" s="31" t="str">
        <f t="shared" si="9"/>
        <v>Elementos.de.Força.Motriz</v>
      </c>
      <c r="U13" s="31" t="str">
        <f t="shared" si="10"/>
        <v>Maquinária</v>
      </c>
      <c r="V13" s="31" t="str">
        <f t="shared" si="17"/>
        <v>De.Motricidade</v>
      </c>
      <c r="W13" s="61" t="str">
        <f t="shared" si="11"/>
        <v>Key-MOT-13</v>
      </c>
      <c r="X13" s="31" t="s">
        <v>136</v>
      </c>
      <c r="Y13" s="30" t="s">
        <v>115</v>
      </c>
      <c r="Z13" s="31" t="s">
        <v>153</v>
      </c>
      <c r="AA13" s="31" t="str">
        <f>_xlfn.TRANSLATE(P13,"pt","en")</f>
        <v>Engine that converts fuel into mechanical energy through internal combustion</v>
      </c>
    </row>
    <row r="14" spans="1:27" ht="6.65" customHeight="1" x14ac:dyDescent="0.4">
      <c r="A14" s="59">
        <v>14</v>
      </c>
      <c r="B14" s="1" t="s">
        <v>196</v>
      </c>
      <c r="C14" s="34" t="s">
        <v>197</v>
      </c>
      <c r="D14" s="1" t="s">
        <v>151</v>
      </c>
      <c r="E14" s="1" t="s">
        <v>162</v>
      </c>
      <c r="F14" s="56" t="s">
        <v>159</v>
      </c>
      <c r="G14" s="60" t="s">
        <v>9</v>
      </c>
      <c r="H14" s="60" t="s">
        <v>9</v>
      </c>
      <c r="I14" s="60" t="s">
        <v>9</v>
      </c>
      <c r="J14" s="60" t="s">
        <v>9</v>
      </c>
      <c r="K14" s="60" t="s">
        <v>9</v>
      </c>
      <c r="L14" s="35" t="str">
        <f t="shared" si="23"/>
        <v>De.Motricidade</v>
      </c>
      <c r="M14" s="35" t="str">
        <f t="shared" si="23"/>
        <v>Elementos.de.Força.Motriz</v>
      </c>
      <c r="N14" s="35" t="str">
        <f t="shared" ref="N14:N16" si="24">(SUBSTITUTE(SUBSTITUTE(CONCATENATE("",E14),"."," ")," De "," de "))</f>
        <v>Maquinária de Elevação</v>
      </c>
      <c r="O14" s="31" t="str">
        <f>IF(ISNUMBER(FIND("Ifc",F14)),CONCATENATE("Classe IFC:   ",F14),F14)</f>
        <v>Elevador.Hidráulico</v>
      </c>
      <c r="P14" s="31" t="s">
        <v>163</v>
      </c>
      <c r="Q14" s="31" t="s">
        <v>167</v>
      </c>
      <c r="R14" s="31" t="s">
        <v>9</v>
      </c>
      <c r="S14" s="31" t="str">
        <f t="shared" ref="S14:S19" si="25">SUBSTITUTE(C14, "_", " ")</f>
        <v>De.Motricidade</v>
      </c>
      <c r="T14" s="31" t="str">
        <f t="shared" ref="T14:T19" si="26">SUBSTITUTE(D14, "_", " ")</f>
        <v>Elementos.de.Força.Motriz</v>
      </c>
      <c r="U14" s="31" t="str">
        <f t="shared" ref="U14:U19" si="27">SUBSTITUTE(E14, "_", " ")</f>
        <v>Maquinária.de.Elevação</v>
      </c>
      <c r="V14" s="31" t="str">
        <f t="shared" ref="V14:V19" si="28">SUBSTITUTE(C14, "_", " ")</f>
        <v>De.Motricidade</v>
      </c>
      <c r="W14" s="61" t="str">
        <f t="shared" si="11"/>
        <v>Key-MOT-14</v>
      </c>
      <c r="X14" s="31" t="s">
        <v>176</v>
      </c>
      <c r="Y14" s="30" t="s">
        <v>175</v>
      </c>
      <c r="Z14" s="31" t="s">
        <v>177</v>
      </c>
      <c r="AA14" s="31" t="str">
        <f t="shared" ref="AA14:AA16" si="29">_xlfn.TRANSLATE(P14,"pt","en")</f>
        <v>Elevator to a few floors without carrying heavy loads</v>
      </c>
    </row>
    <row r="15" spans="1:27" ht="6.65" customHeight="1" x14ac:dyDescent="0.4">
      <c r="A15" s="59">
        <v>15</v>
      </c>
      <c r="B15" s="1" t="s">
        <v>196</v>
      </c>
      <c r="C15" s="34" t="s">
        <v>197</v>
      </c>
      <c r="D15" s="1" t="s">
        <v>151</v>
      </c>
      <c r="E15" s="1" t="s">
        <v>162</v>
      </c>
      <c r="F15" s="56" t="s">
        <v>156</v>
      </c>
      <c r="G15" s="60" t="s">
        <v>9</v>
      </c>
      <c r="H15" s="60" t="s">
        <v>9</v>
      </c>
      <c r="I15" s="60" t="s">
        <v>9</v>
      </c>
      <c r="J15" s="60" t="s">
        <v>9</v>
      </c>
      <c r="K15" s="60" t="s">
        <v>9</v>
      </c>
      <c r="L15" s="35" t="str">
        <f t="shared" si="23"/>
        <v>De.Motricidade</v>
      </c>
      <c r="M15" s="35" t="str">
        <f t="shared" si="23"/>
        <v>Elementos.de.Força.Motriz</v>
      </c>
      <c r="N15" s="35" t="str">
        <f t="shared" si="24"/>
        <v>Maquinária de Elevação</v>
      </c>
      <c r="O15" s="31" t="str">
        <f t="shared" ref="O15:O19" si="30">IF(ISNUMBER(FIND("Ifc",F15)),CONCATENATE("Classe IFC:   ",F15),F15)</f>
        <v>Elevador.MR</v>
      </c>
      <c r="P15" s="31" t="s">
        <v>157</v>
      </c>
      <c r="Q15" s="31" t="s">
        <v>169</v>
      </c>
      <c r="R15" s="31" t="s">
        <v>9</v>
      </c>
      <c r="S15" s="31" t="str">
        <f t="shared" si="25"/>
        <v>De.Motricidade</v>
      </c>
      <c r="T15" s="31" t="str">
        <f t="shared" si="26"/>
        <v>Elementos.de.Força.Motriz</v>
      </c>
      <c r="U15" s="31" t="str">
        <f t="shared" si="27"/>
        <v>Maquinária.de.Elevação</v>
      </c>
      <c r="V15" s="31" t="str">
        <f t="shared" si="28"/>
        <v>De.Motricidade</v>
      </c>
      <c r="W15" s="61" t="str">
        <f t="shared" si="11"/>
        <v>Key-MOT-15</v>
      </c>
      <c r="X15" s="31" t="s">
        <v>176</v>
      </c>
      <c r="Y15" s="30" t="s">
        <v>175</v>
      </c>
      <c r="Z15" s="31" t="s">
        <v>177</v>
      </c>
      <c r="AA15" s="31" t="str">
        <f t="shared" si="29"/>
        <v>Traction Elevator with Machine Room</v>
      </c>
    </row>
    <row r="16" spans="1:27" ht="6.65" customHeight="1" x14ac:dyDescent="0.4">
      <c r="A16" s="59">
        <v>16</v>
      </c>
      <c r="B16" s="1" t="s">
        <v>196</v>
      </c>
      <c r="C16" s="34" t="s">
        <v>197</v>
      </c>
      <c r="D16" s="1" t="s">
        <v>151</v>
      </c>
      <c r="E16" s="1" t="s">
        <v>162</v>
      </c>
      <c r="F16" s="56" t="s">
        <v>155</v>
      </c>
      <c r="G16" s="60" t="s">
        <v>9</v>
      </c>
      <c r="H16" s="60" t="s">
        <v>9</v>
      </c>
      <c r="I16" s="60" t="s">
        <v>9</v>
      </c>
      <c r="J16" s="60" t="s">
        <v>9</v>
      </c>
      <c r="K16" s="60" t="s">
        <v>9</v>
      </c>
      <c r="L16" s="35" t="str">
        <f t="shared" si="23"/>
        <v>De.Motricidade</v>
      </c>
      <c r="M16" s="35" t="str">
        <f t="shared" si="23"/>
        <v>Elementos.de.Força.Motriz</v>
      </c>
      <c r="N16" s="35" t="str">
        <f t="shared" si="24"/>
        <v>Maquinária de Elevação</v>
      </c>
      <c r="O16" s="31" t="str">
        <f t="shared" si="30"/>
        <v>Elevador.MRL</v>
      </c>
      <c r="P16" s="31" t="s">
        <v>158</v>
      </c>
      <c r="Q16" s="31" t="s">
        <v>168</v>
      </c>
      <c r="R16" s="31" t="s">
        <v>9</v>
      </c>
      <c r="S16" s="31" t="str">
        <f t="shared" si="25"/>
        <v>De.Motricidade</v>
      </c>
      <c r="T16" s="31" t="str">
        <f t="shared" si="26"/>
        <v>Elementos.de.Força.Motriz</v>
      </c>
      <c r="U16" s="31" t="str">
        <f t="shared" si="27"/>
        <v>Maquinária.de.Elevação</v>
      </c>
      <c r="V16" s="31" t="str">
        <f t="shared" si="28"/>
        <v>De.Motricidade</v>
      </c>
      <c r="W16" s="61" t="str">
        <f t="shared" si="11"/>
        <v>Key-MOT-16</v>
      </c>
      <c r="X16" s="31" t="s">
        <v>176</v>
      </c>
      <c r="Y16" s="30" t="s">
        <v>175</v>
      </c>
      <c r="Z16" s="31" t="s">
        <v>177</v>
      </c>
      <c r="AA16" s="31" t="str">
        <f t="shared" si="29"/>
        <v>Elevator with hoisting pulley without machine room</v>
      </c>
    </row>
    <row r="17" spans="1:27" ht="6.65" customHeight="1" x14ac:dyDescent="0.4">
      <c r="A17" s="59">
        <v>17</v>
      </c>
      <c r="B17" s="1" t="s">
        <v>196</v>
      </c>
      <c r="C17" s="34" t="s">
        <v>197</v>
      </c>
      <c r="D17" s="1" t="s">
        <v>151</v>
      </c>
      <c r="E17" s="1" t="s">
        <v>162</v>
      </c>
      <c r="F17" s="56" t="s">
        <v>164</v>
      </c>
      <c r="G17" s="60" t="s">
        <v>9</v>
      </c>
      <c r="H17" s="60" t="s">
        <v>9</v>
      </c>
      <c r="I17" s="60" t="s">
        <v>9</v>
      </c>
      <c r="J17" s="60" t="s">
        <v>9</v>
      </c>
      <c r="K17" s="60" t="s">
        <v>9</v>
      </c>
      <c r="L17" s="35" t="str">
        <f t="shared" si="23"/>
        <v>De.Motricidade</v>
      </c>
      <c r="M17" s="35" t="str">
        <f t="shared" si="23"/>
        <v>Elementos.de.Força.Motriz</v>
      </c>
      <c r="N17" s="35" t="str">
        <f>(SUBSTITUTE(SUBSTITUTE(CONCATENATE("",E17),"."," ")," De "," de "))</f>
        <v>Maquinária de Elevação</v>
      </c>
      <c r="O17" s="31" t="str">
        <f t="shared" ref="O17:O18" si="31">IF(ISNUMBER(FIND("Ifc",F17)),CONCATENATE("Classe IFC:   ",F17),F17)</f>
        <v>Plataforma</v>
      </c>
      <c r="P17" s="31" t="s">
        <v>172</v>
      </c>
      <c r="Q17" s="31" t="s">
        <v>164</v>
      </c>
      <c r="R17" s="31" t="s">
        <v>9</v>
      </c>
      <c r="S17" s="31" t="str">
        <f t="shared" ref="S17:S18" si="32">SUBSTITUTE(C17, "_", " ")</f>
        <v>De.Motricidade</v>
      </c>
      <c r="T17" s="31" t="str">
        <f t="shared" ref="T17:T18" si="33">SUBSTITUTE(D17, "_", " ")</f>
        <v>Elementos.de.Força.Motriz</v>
      </c>
      <c r="U17" s="31" t="str">
        <f t="shared" ref="U17:U18" si="34">SUBSTITUTE(E17, "_", " ")</f>
        <v>Maquinária.de.Elevação</v>
      </c>
      <c r="V17" s="31" t="str">
        <f t="shared" ref="V17:V18" si="35">SUBSTITUTE(C17, "_", " ")</f>
        <v>De.Motricidade</v>
      </c>
      <c r="W17" s="61" t="str">
        <f t="shared" si="11"/>
        <v>Key-MOT-17</v>
      </c>
      <c r="X17" s="31" t="s">
        <v>176</v>
      </c>
      <c r="Y17" s="30" t="s">
        <v>175</v>
      </c>
      <c r="Z17" s="31" t="s">
        <v>178</v>
      </c>
      <c r="AA17" s="31" t="str">
        <f>_xlfn.TRANSLATE(P17,"pt","en")</f>
        <v>Lifting Platform</v>
      </c>
    </row>
    <row r="18" spans="1:27" ht="6.65" customHeight="1" x14ac:dyDescent="0.4">
      <c r="A18" s="59">
        <v>18</v>
      </c>
      <c r="B18" s="1" t="s">
        <v>196</v>
      </c>
      <c r="C18" s="34" t="s">
        <v>197</v>
      </c>
      <c r="D18" s="1" t="s">
        <v>151</v>
      </c>
      <c r="E18" s="1" t="s">
        <v>162</v>
      </c>
      <c r="F18" s="56" t="s">
        <v>165</v>
      </c>
      <c r="G18" s="60" t="s">
        <v>9</v>
      </c>
      <c r="H18" s="60" t="s">
        <v>9</v>
      </c>
      <c r="I18" s="60" t="s">
        <v>9</v>
      </c>
      <c r="J18" s="60" t="s">
        <v>9</v>
      </c>
      <c r="K18" s="60" t="s">
        <v>9</v>
      </c>
      <c r="L18" s="35" t="str">
        <f t="shared" si="23"/>
        <v>De.Motricidade</v>
      </c>
      <c r="M18" s="35" t="str">
        <f t="shared" si="23"/>
        <v>Elementos.de.Força.Motriz</v>
      </c>
      <c r="N18" s="35" t="str">
        <f>(SUBSTITUTE(SUBSTITUTE(CONCATENATE("",E18),"."," ")," De "," de "))</f>
        <v>Maquinária de Elevação</v>
      </c>
      <c r="O18" s="31" t="str">
        <f t="shared" si="31"/>
        <v>Plataforma.Articulada</v>
      </c>
      <c r="P18" s="31" t="s">
        <v>173</v>
      </c>
      <c r="Q18" s="31" t="s">
        <v>171</v>
      </c>
      <c r="R18" s="31" t="s">
        <v>9</v>
      </c>
      <c r="S18" s="31" t="str">
        <f t="shared" si="32"/>
        <v>De.Motricidade</v>
      </c>
      <c r="T18" s="31" t="str">
        <f t="shared" si="33"/>
        <v>Elementos.de.Força.Motriz</v>
      </c>
      <c r="U18" s="31" t="str">
        <f t="shared" si="34"/>
        <v>Maquinária.de.Elevação</v>
      </c>
      <c r="V18" s="31" t="str">
        <f t="shared" si="35"/>
        <v>De.Motricidade</v>
      </c>
      <c r="W18" s="61" t="str">
        <f t="shared" si="11"/>
        <v>Key-MOT-18</v>
      </c>
      <c r="X18" s="31" t="s">
        <v>176</v>
      </c>
      <c r="Y18" s="30" t="s">
        <v>175</v>
      </c>
      <c r="Z18" s="31" t="s">
        <v>178</v>
      </c>
      <c r="AA18" s="31" t="str">
        <f>_xlfn.TRANSLATE(P18,"pt","en")</f>
        <v>Articulated lifting platform</v>
      </c>
    </row>
    <row r="19" spans="1:27" ht="6.65" customHeight="1" x14ac:dyDescent="0.4">
      <c r="A19" s="59">
        <v>19</v>
      </c>
      <c r="B19" s="1" t="s">
        <v>196</v>
      </c>
      <c r="C19" s="34" t="s">
        <v>197</v>
      </c>
      <c r="D19" s="1" t="s">
        <v>151</v>
      </c>
      <c r="E19" s="1" t="s">
        <v>162</v>
      </c>
      <c r="F19" s="56" t="s">
        <v>166</v>
      </c>
      <c r="G19" s="60" t="s">
        <v>9</v>
      </c>
      <c r="H19" s="60" t="s">
        <v>9</v>
      </c>
      <c r="I19" s="60" t="s">
        <v>9</v>
      </c>
      <c r="J19" s="60" t="s">
        <v>9</v>
      </c>
      <c r="K19" s="60" t="s">
        <v>9</v>
      </c>
      <c r="L19" s="35" t="str">
        <f t="shared" ref="L19" si="36">CONCATENATE("", C19)</f>
        <v>De.Motricidade</v>
      </c>
      <c r="M19" s="35" t="str">
        <f t="shared" ref="M19" si="37">CONCATENATE("", D19)</f>
        <v>Elementos.de.Força.Motriz</v>
      </c>
      <c r="N19" s="35" t="str">
        <f>(SUBSTITUTE(SUBSTITUTE(CONCATENATE("",E19),"."," ")," De "," de "))</f>
        <v>Maquinária de Elevação</v>
      </c>
      <c r="O19" s="31" t="str">
        <f t="shared" si="30"/>
        <v>Plataforma.Cesto</v>
      </c>
      <c r="P19" s="31" t="s">
        <v>174</v>
      </c>
      <c r="Q19" s="31" t="s">
        <v>170</v>
      </c>
      <c r="R19" s="31" t="s">
        <v>9</v>
      </c>
      <c r="S19" s="31" t="str">
        <f t="shared" si="25"/>
        <v>De.Motricidade</v>
      </c>
      <c r="T19" s="31" t="str">
        <f t="shared" si="26"/>
        <v>Elementos.de.Força.Motriz</v>
      </c>
      <c r="U19" s="31" t="str">
        <f t="shared" si="27"/>
        <v>Maquinária.de.Elevação</v>
      </c>
      <c r="V19" s="31" t="str">
        <f t="shared" si="28"/>
        <v>De.Motricidade</v>
      </c>
      <c r="W19" s="61" t="str">
        <f t="shared" si="11"/>
        <v>Key-MOT-19</v>
      </c>
      <c r="X19" s="31" t="s">
        <v>176</v>
      </c>
      <c r="Y19" s="30" t="s">
        <v>175</v>
      </c>
      <c r="Z19" s="31" t="s">
        <v>178</v>
      </c>
      <c r="AA19" s="31" t="str">
        <f>_xlfn.TRANSLATE(P19,"pt","en")</f>
        <v>Basket lifting platform</v>
      </c>
    </row>
    <row r="20" spans="1:27" ht="6.65" customHeight="1" x14ac:dyDescent="0.4">
      <c r="A20" s="59">
        <v>20</v>
      </c>
      <c r="B20" s="1" t="s">
        <v>196</v>
      </c>
      <c r="C20" s="34" t="s">
        <v>197</v>
      </c>
      <c r="D20" s="1" t="s">
        <v>151</v>
      </c>
      <c r="E20" s="45" t="s">
        <v>161</v>
      </c>
      <c r="F20" s="64" t="s">
        <v>152</v>
      </c>
      <c r="G20" s="65" t="s">
        <v>9</v>
      </c>
      <c r="H20" s="60" t="s">
        <v>9</v>
      </c>
      <c r="I20" s="60" t="s">
        <v>9</v>
      </c>
      <c r="J20" s="60" t="s">
        <v>9</v>
      </c>
      <c r="K20" s="60" t="s">
        <v>9</v>
      </c>
      <c r="L20" s="35" t="str">
        <f t="shared" ref="L20:M20" si="38">CONCATENATE("", C20)</f>
        <v>De.Motricidade</v>
      </c>
      <c r="M20" s="35" t="str">
        <f t="shared" si="38"/>
        <v>Elementos.de.Força.Motriz</v>
      </c>
      <c r="N20" s="35" t="str">
        <f t="shared" ref="N20" si="39">(SUBSTITUTE(SUBSTITUTE(CONCATENATE("",E20),"."," ")," De "," de "))</f>
        <v>Acessórios Maquinária</v>
      </c>
      <c r="O20" s="31" t="str">
        <f t="shared" si="16"/>
        <v>Acessório.Maquinária</v>
      </c>
      <c r="P20" s="31" t="s">
        <v>127</v>
      </c>
      <c r="Q20" s="31" t="s">
        <v>135</v>
      </c>
      <c r="R20" s="31" t="s">
        <v>9</v>
      </c>
      <c r="S20" s="31" t="str">
        <f t="shared" si="8"/>
        <v>De.Motricidade</v>
      </c>
      <c r="T20" s="31" t="str">
        <f t="shared" si="9"/>
        <v>Elementos.de.Força.Motriz</v>
      </c>
      <c r="U20" s="31" t="str">
        <f t="shared" si="10"/>
        <v>Acessórios.Maquinária</v>
      </c>
      <c r="V20" s="31" t="str">
        <f t="shared" si="17"/>
        <v>De.Motricidade</v>
      </c>
      <c r="W20" s="61" t="str">
        <f t="shared" si="11"/>
        <v>Key-MOT-20</v>
      </c>
      <c r="X20" s="31" t="s">
        <v>136</v>
      </c>
      <c r="Y20" s="30" t="s">
        <v>104</v>
      </c>
      <c r="Z20" s="31" t="s">
        <v>153</v>
      </c>
      <c r="AA20" s="31" t="str">
        <f t="shared" ref="AA20" si="40">_xlfn.TRANSLATE(P20,"pt","en")</f>
        <v>Mechanical Accessory</v>
      </c>
    </row>
  </sheetData>
  <sortState xmlns:xlrd2="http://schemas.microsoft.com/office/spreadsheetml/2017/richdata2" ref="A7:AA745">
    <sortCondition ref="F7:F745"/>
  </sortState>
  <phoneticPr fontId="1" type="noConversion"/>
  <conditionalFormatting sqref="A2:B20">
    <cfRule type="cellIs" dxfId="30" priority="6" operator="equal">
      <formula>"null"</formula>
    </cfRule>
  </conditionalFormatting>
  <conditionalFormatting sqref="A1:O1 R1:X1 Z1">
    <cfRule type="cellIs" dxfId="29" priority="229" operator="equal">
      <formula>"null"</formula>
    </cfRule>
  </conditionalFormatting>
  <conditionalFormatting sqref="F1">
    <cfRule type="duplicateValues" dxfId="28" priority="1665"/>
  </conditionalFormatting>
  <conditionalFormatting sqref="F3:F6">
    <cfRule type="duplicateValues" dxfId="27" priority="1"/>
    <cfRule type="duplicateValues" dxfId="26" priority="2"/>
    <cfRule type="duplicateValues" dxfId="25" priority="3"/>
    <cfRule type="duplicateValues" dxfId="24" priority="4"/>
  </conditionalFormatting>
  <conditionalFormatting sqref="F7:F10">
    <cfRule type="duplicateValues" dxfId="23" priority="2063"/>
  </conditionalFormatting>
  <conditionalFormatting sqref="F11:F13">
    <cfRule type="duplicateValues" dxfId="22" priority="29"/>
    <cfRule type="duplicateValues" dxfId="21" priority="30"/>
    <cfRule type="duplicateValues" dxfId="20" priority="31"/>
    <cfRule type="duplicateValues" dxfId="19" priority="32"/>
    <cfRule type="duplicateValues" dxfId="18" priority="33"/>
    <cfRule type="duplicateValues" dxfId="17" priority="34"/>
  </conditionalFormatting>
  <conditionalFormatting sqref="F14:F19">
    <cfRule type="duplicateValues" dxfId="16" priority="2100"/>
  </conditionalFormatting>
  <conditionalFormatting sqref="F20">
    <cfRule type="duplicateValues" dxfId="15" priority="137"/>
  </conditionalFormatting>
  <conditionalFormatting sqref="F20:F1048576 F1">
    <cfRule type="duplicateValues" dxfId="14" priority="2008"/>
  </conditionalFormatting>
  <conditionalFormatting sqref="F20:F1048576">
    <cfRule type="duplicateValues" dxfId="13" priority="2018"/>
    <cfRule type="duplicateValues" dxfId="12" priority="2024"/>
    <cfRule type="duplicateValues" dxfId="11" priority="2025"/>
    <cfRule type="duplicateValues" dxfId="10" priority="2026"/>
    <cfRule type="duplicateValues" dxfId="9" priority="2068"/>
  </conditionalFormatting>
  <conditionalFormatting sqref="X7:X20">
    <cfRule type="containsText" dxfId="8" priority="56" operator="containsText" text="null">
      <formula>NOT(ISERROR(SEARCH("null",X7)))</formula>
    </cfRule>
  </conditionalFormatting>
  <conditionalFormatting sqref="AA2:AA19">
    <cfRule type="cellIs" dxfId="7" priority="5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U3"/>
  <sheetViews>
    <sheetView zoomScale="180" zoomScaleNormal="180" workbookViewId="0">
      <selection activeCell="B6" sqref="B6"/>
    </sheetView>
  </sheetViews>
  <sheetFormatPr defaultColWidth="11.15234375" defaultRowHeight="7.75" x14ac:dyDescent="0.2"/>
  <cols>
    <col min="1" max="1" width="2.84375" style="10" customWidth="1"/>
    <col min="2" max="10" width="6.53515625" style="11" customWidth="1"/>
    <col min="11" max="21" width="6.53515625" style="9" customWidth="1"/>
    <col min="22" max="16384" width="11.15234375" style="9"/>
  </cols>
  <sheetData>
    <row r="1" spans="1:21" s="4" customFormat="1" x14ac:dyDescent="0.2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5" t="s">
        <v>31</v>
      </c>
    </row>
    <row r="2" spans="1:21" s="4" customFormat="1" ht="10.5" customHeight="1" x14ac:dyDescent="0.2">
      <c r="A2" s="6">
        <v>2</v>
      </c>
      <c r="B2" s="7" t="s">
        <v>9</v>
      </c>
      <c r="C2" s="7" t="s">
        <v>9</v>
      </c>
      <c r="D2" s="7" t="s">
        <v>9</v>
      </c>
      <c r="E2" s="7" t="s">
        <v>9</v>
      </c>
      <c r="F2" s="7" t="s">
        <v>9</v>
      </c>
      <c r="G2" s="7" t="s">
        <v>9</v>
      </c>
      <c r="H2" s="7" t="s">
        <v>9</v>
      </c>
      <c r="I2" s="7" t="s">
        <v>9</v>
      </c>
      <c r="J2" s="7" t="s">
        <v>9</v>
      </c>
      <c r="K2" s="7" t="s">
        <v>9</v>
      </c>
      <c r="L2" s="7" t="s">
        <v>9</v>
      </c>
      <c r="M2" s="7" t="s">
        <v>9</v>
      </c>
      <c r="N2" s="7" t="s">
        <v>9</v>
      </c>
      <c r="O2" s="7" t="s">
        <v>9</v>
      </c>
      <c r="P2" s="7" t="s">
        <v>9</v>
      </c>
      <c r="Q2" s="7" t="s">
        <v>9</v>
      </c>
      <c r="R2" s="7" t="s">
        <v>9</v>
      </c>
      <c r="S2" s="7" t="s">
        <v>9</v>
      </c>
      <c r="T2" s="7" t="s">
        <v>9</v>
      </c>
      <c r="U2" s="7" t="s">
        <v>9</v>
      </c>
    </row>
    <row r="3" spans="1:21" ht="10.5" customHeight="1" x14ac:dyDescent="0.2">
      <c r="A3" s="6">
        <v>3</v>
      </c>
      <c r="B3" s="7" t="s">
        <v>9</v>
      </c>
      <c r="C3" s="7" t="s">
        <v>9</v>
      </c>
      <c r="D3" s="7" t="s">
        <v>9</v>
      </c>
      <c r="E3" s="7" t="s">
        <v>9</v>
      </c>
      <c r="F3" s="7" t="s">
        <v>9</v>
      </c>
      <c r="G3" s="7" t="s">
        <v>9</v>
      </c>
      <c r="H3" s="7" t="s">
        <v>9</v>
      </c>
      <c r="I3" s="7" t="s">
        <v>9</v>
      </c>
      <c r="J3" s="7" t="s">
        <v>9</v>
      </c>
      <c r="K3" s="7" t="s">
        <v>9</v>
      </c>
      <c r="L3" s="7" t="s">
        <v>9</v>
      </c>
      <c r="M3" s="7" t="s">
        <v>9</v>
      </c>
      <c r="N3" s="7" t="s">
        <v>9</v>
      </c>
      <c r="O3" s="7" t="s">
        <v>9</v>
      </c>
      <c r="P3" s="7" t="s">
        <v>9</v>
      </c>
      <c r="Q3" s="7" t="s">
        <v>9</v>
      </c>
      <c r="R3" s="7" t="s">
        <v>9</v>
      </c>
      <c r="S3" s="7" t="s">
        <v>9</v>
      </c>
      <c r="T3" s="7" t="s">
        <v>9</v>
      </c>
      <c r="U3" s="8" t="s">
        <v>9</v>
      </c>
    </row>
  </sheetData>
  <conditionalFormatting sqref="A1:XFD1048576">
    <cfRule type="cellIs" dxfId="6" priority="2" operator="equal">
      <formula>"null"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0525-EDFB-44CB-9009-6752AEDD7340}">
  <sheetPr codeName="Planilha4"/>
  <dimension ref="A1:S10"/>
  <sheetViews>
    <sheetView zoomScale="205" zoomScaleNormal="205" workbookViewId="0">
      <selection activeCell="C3" sqref="C3"/>
    </sheetView>
  </sheetViews>
  <sheetFormatPr defaultColWidth="11.53515625" defaultRowHeight="7.5" customHeight="1" x14ac:dyDescent="0.4"/>
  <cols>
    <col min="1" max="1" width="2.53515625" bestFit="1" customWidth="1"/>
    <col min="2" max="2" width="9.3046875" bestFit="1" customWidth="1"/>
    <col min="3" max="4" width="7.53515625" customWidth="1"/>
    <col min="5" max="5" width="7.69140625" customWidth="1"/>
    <col min="6" max="6" width="6" bestFit="1" customWidth="1"/>
    <col min="7" max="7" width="34.3046875" customWidth="1"/>
    <col min="8" max="8" width="6.69140625" customWidth="1"/>
    <col min="9" max="9" width="11.84375" customWidth="1"/>
    <col min="10" max="10" width="4.84375" bestFit="1" customWidth="1"/>
    <col min="11" max="11" width="5.53515625" customWidth="1"/>
    <col min="12" max="12" width="3" customWidth="1"/>
    <col min="13" max="13" width="2.84375" customWidth="1"/>
    <col min="14" max="14" width="7.3046875" customWidth="1"/>
    <col min="15" max="15" width="13.84375" customWidth="1"/>
    <col min="16" max="16" width="5.69140625" bestFit="1" customWidth="1"/>
    <col min="17" max="17" width="8.3046875" bestFit="1" customWidth="1"/>
    <col min="18" max="18" width="6" customWidth="1"/>
    <col min="19" max="19" width="6.53515625" style="36" bestFit="1" customWidth="1"/>
  </cols>
  <sheetData>
    <row r="1" spans="1:19" ht="17.25" customHeight="1" x14ac:dyDescent="0.4">
      <c r="A1" s="18" t="s">
        <v>10</v>
      </c>
      <c r="B1" s="19" t="s">
        <v>73</v>
      </c>
      <c r="C1" s="19" t="s">
        <v>74</v>
      </c>
      <c r="D1" s="20" t="s">
        <v>75</v>
      </c>
      <c r="E1" s="20" t="s">
        <v>78</v>
      </c>
      <c r="F1" s="20" t="s">
        <v>75</v>
      </c>
      <c r="G1" s="20" t="s">
        <v>78</v>
      </c>
      <c r="H1" s="51" t="s">
        <v>76</v>
      </c>
      <c r="I1" s="20" t="s">
        <v>78</v>
      </c>
      <c r="J1" s="20" t="s">
        <v>75</v>
      </c>
      <c r="K1" s="20" t="s">
        <v>78</v>
      </c>
      <c r="L1" s="20" t="s">
        <v>75</v>
      </c>
      <c r="M1" s="20" t="s">
        <v>78</v>
      </c>
      <c r="N1" s="20" t="s">
        <v>75</v>
      </c>
      <c r="O1" s="20" t="s">
        <v>78</v>
      </c>
      <c r="P1" s="20" t="s">
        <v>75</v>
      </c>
      <c r="Q1" s="20" t="s">
        <v>78</v>
      </c>
      <c r="R1" s="20" t="s">
        <v>75</v>
      </c>
      <c r="S1" s="18" t="s">
        <v>78</v>
      </c>
    </row>
    <row r="2" spans="1:19" ht="7.5" customHeight="1" x14ac:dyDescent="0.4">
      <c r="A2" s="21">
        <v>1</v>
      </c>
      <c r="B2" s="22" t="s">
        <v>195</v>
      </c>
      <c r="C2" s="55" t="s">
        <v>82</v>
      </c>
      <c r="D2" s="53" t="s">
        <v>9</v>
      </c>
      <c r="E2" s="54" t="s">
        <v>9</v>
      </c>
      <c r="F2" s="23" t="s">
        <v>77</v>
      </c>
      <c r="G2" s="24" t="s">
        <v>98</v>
      </c>
      <c r="H2" s="52" t="s">
        <v>9</v>
      </c>
      <c r="I2" s="25" t="s">
        <v>9</v>
      </c>
      <c r="J2" s="52" t="s">
        <v>9</v>
      </c>
      <c r="K2" s="25" t="s">
        <v>9</v>
      </c>
      <c r="L2" s="52" t="s">
        <v>9</v>
      </c>
      <c r="M2" s="25" t="s">
        <v>9</v>
      </c>
      <c r="N2" s="52" t="s">
        <v>9</v>
      </c>
      <c r="O2" s="25" t="s">
        <v>9</v>
      </c>
      <c r="P2" s="52" t="s">
        <v>9</v>
      </c>
      <c r="Q2" s="25" t="s">
        <v>9</v>
      </c>
      <c r="R2" s="52" t="s">
        <v>9</v>
      </c>
      <c r="S2" s="58" t="s">
        <v>9</v>
      </c>
    </row>
    <row r="3" spans="1:19" ht="7.5" customHeight="1" x14ac:dyDescent="0.4">
      <c r="A3" s="21">
        <v>3</v>
      </c>
      <c r="B3" s="50" t="s">
        <v>137</v>
      </c>
      <c r="C3" s="56" t="s">
        <v>119</v>
      </c>
      <c r="D3" s="53" t="s">
        <v>102</v>
      </c>
      <c r="E3" s="37" t="s">
        <v>195</v>
      </c>
      <c r="F3" s="23" t="s">
        <v>77</v>
      </c>
      <c r="G3" s="24" t="s">
        <v>145</v>
      </c>
      <c r="H3" s="52" t="s">
        <v>191</v>
      </c>
      <c r="I3" s="25" t="s">
        <v>194</v>
      </c>
      <c r="J3" s="52" t="s">
        <v>103</v>
      </c>
      <c r="K3" s="25" t="s">
        <v>146</v>
      </c>
      <c r="L3" s="52" t="s">
        <v>9</v>
      </c>
      <c r="M3" s="25" t="s">
        <v>9</v>
      </c>
      <c r="N3" s="52" t="s">
        <v>101</v>
      </c>
      <c r="O3" s="25" t="s">
        <v>192</v>
      </c>
      <c r="P3" s="52" t="s">
        <v>100</v>
      </c>
      <c r="Q3" s="25" t="s">
        <v>193</v>
      </c>
      <c r="R3" s="52" t="s">
        <v>99</v>
      </c>
      <c r="S3" s="58" t="s">
        <v>154</v>
      </c>
    </row>
    <row r="4" spans="1:19" ht="7.5" customHeight="1" x14ac:dyDescent="0.4">
      <c r="A4" s="21">
        <v>4</v>
      </c>
      <c r="B4" s="50" t="s">
        <v>138</v>
      </c>
      <c r="C4" s="56" t="s">
        <v>119</v>
      </c>
      <c r="D4" s="53" t="s">
        <v>102</v>
      </c>
      <c r="E4" s="37" t="s">
        <v>195</v>
      </c>
      <c r="F4" s="23" t="s">
        <v>77</v>
      </c>
      <c r="G4" s="24" t="s">
        <v>145</v>
      </c>
      <c r="H4" s="52" t="s">
        <v>191</v>
      </c>
      <c r="I4" s="25" t="s">
        <v>194</v>
      </c>
      <c r="J4" s="52" t="s">
        <v>103</v>
      </c>
      <c r="K4" s="25" t="s">
        <v>146</v>
      </c>
      <c r="L4" s="52" t="s">
        <v>9</v>
      </c>
      <c r="M4" s="25" t="s">
        <v>9</v>
      </c>
      <c r="N4" s="52" t="s">
        <v>101</v>
      </c>
      <c r="O4" s="25" t="s">
        <v>192</v>
      </c>
      <c r="P4" s="52" t="s">
        <v>100</v>
      </c>
      <c r="Q4" s="25" t="s">
        <v>193</v>
      </c>
      <c r="R4" s="52" t="s">
        <v>99</v>
      </c>
      <c r="S4" s="58" t="s">
        <v>154</v>
      </c>
    </row>
    <row r="5" spans="1:19" ht="7.5" customHeight="1" x14ac:dyDescent="0.4">
      <c r="A5" s="21">
        <v>5</v>
      </c>
      <c r="B5" s="50" t="s">
        <v>139</v>
      </c>
      <c r="C5" s="56" t="s">
        <v>119</v>
      </c>
      <c r="D5" s="53" t="s">
        <v>102</v>
      </c>
      <c r="E5" s="37" t="s">
        <v>195</v>
      </c>
      <c r="F5" s="23" t="s">
        <v>77</v>
      </c>
      <c r="G5" s="24" t="s">
        <v>145</v>
      </c>
      <c r="H5" s="52" t="s">
        <v>191</v>
      </c>
      <c r="I5" s="25" t="s">
        <v>194</v>
      </c>
      <c r="J5" s="52" t="s">
        <v>103</v>
      </c>
      <c r="K5" s="25" t="s">
        <v>146</v>
      </c>
      <c r="L5" s="52" t="s">
        <v>9</v>
      </c>
      <c r="M5" s="25" t="s">
        <v>9</v>
      </c>
      <c r="N5" s="52" t="s">
        <v>101</v>
      </c>
      <c r="O5" s="25" t="s">
        <v>192</v>
      </c>
      <c r="P5" s="52" t="s">
        <v>100</v>
      </c>
      <c r="Q5" s="25" t="s">
        <v>193</v>
      </c>
      <c r="R5" s="52" t="s">
        <v>99</v>
      </c>
      <c r="S5" s="58" t="s">
        <v>154</v>
      </c>
    </row>
    <row r="6" spans="1:19" ht="7.5" customHeight="1" x14ac:dyDescent="0.4">
      <c r="A6" s="21">
        <v>6</v>
      </c>
      <c r="B6" s="50" t="s">
        <v>140</v>
      </c>
      <c r="C6" s="56" t="s">
        <v>119</v>
      </c>
      <c r="D6" s="53" t="s">
        <v>102</v>
      </c>
      <c r="E6" s="37" t="s">
        <v>195</v>
      </c>
      <c r="F6" s="23" t="s">
        <v>77</v>
      </c>
      <c r="G6" s="24" t="s">
        <v>145</v>
      </c>
      <c r="H6" s="52" t="s">
        <v>191</v>
      </c>
      <c r="I6" s="25" t="s">
        <v>194</v>
      </c>
      <c r="J6" s="52" t="s">
        <v>103</v>
      </c>
      <c r="K6" s="25" t="s">
        <v>146</v>
      </c>
      <c r="L6" s="52" t="s">
        <v>9</v>
      </c>
      <c r="M6" s="25" t="s">
        <v>9</v>
      </c>
      <c r="N6" s="52" t="s">
        <v>101</v>
      </c>
      <c r="O6" s="25" t="s">
        <v>192</v>
      </c>
      <c r="P6" s="52" t="s">
        <v>100</v>
      </c>
      <c r="Q6" s="25" t="s">
        <v>193</v>
      </c>
      <c r="R6" s="52" t="s">
        <v>99</v>
      </c>
      <c r="S6" s="58" t="s">
        <v>154</v>
      </c>
    </row>
    <row r="7" spans="1:19" ht="7.5" customHeight="1" x14ac:dyDescent="0.4">
      <c r="A7" s="21">
        <v>7</v>
      </c>
      <c r="B7" s="50" t="s">
        <v>141</v>
      </c>
      <c r="C7" s="56" t="s">
        <v>119</v>
      </c>
      <c r="D7" s="53" t="s">
        <v>102</v>
      </c>
      <c r="E7" s="37" t="s">
        <v>195</v>
      </c>
      <c r="F7" s="23" t="s">
        <v>77</v>
      </c>
      <c r="G7" s="24" t="s">
        <v>145</v>
      </c>
      <c r="H7" s="52" t="s">
        <v>191</v>
      </c>
      <c r="I7" s="25" t="s">
        <v>194</v>
      </c>
      <c r="J7" s="52" t="s">
        <v>103</v>
      </c>
      <c r="K7" s="25" t="s">
        <v>146</v>
      </c>
      <c r="L7" s="52" t="s">
        <v>9</v>
      </c>
      <c r="M7" s="25" t="s">
        <v>9</v>
      </c>
      <c r="N7" s="52" t="s">
        <v>101</v>
      </c>
      <c r="O7" s="25" t="s">
        <v>192</v>
      </c>
      <c r="P7" s="52" t="s">
        <v>100</v>
      </c>
      <c r="Q7" s="25" t="s">
        <v>193</v>
      </c>
      <c r="R7" s="52" t="s">
        <v>99</v>
      </c>
      <c r="S7" s="58" t="s">
        <v>154</v>
      </c>
    </row>
    <row r="8" spans="1:19" ht="7.5" customHeight="1" x14ac:dyDescent="0.4">
      <c r="A8" s="21">
        <v>8</v>
      </c>
      <c r="B8" s="50" t="s">
        <v>142</v>
      </c>
      <c r="C8" s="56" t="s">
        <v>119</v>
      </c>
      <c r="D8" s="53" t="s">
        <v>102</v>
      </c>
      <c r="E8" s="37" t="s">
        <v>195</v>
      </c>
      <c r="F8" s="23" t="s">
        <v>77</v>
      </c>
      <c r="G8" s="24" t="s">
        <v>145</v>
      </c>
      <c r="H8" s="52" t="s">
        <v>191</v>
      </c>
      <c r="I8" s="25" t="s">
        <v>194</v>
      </c>
      <c r="J8" s="52" t="s">
        <v>103</v>
      </c>
      <c r="K8" s="25" t="s">
        <v>146</v>
      </c>
      <c r="L8" s="52" t="s">
        <v>9</v>
      </c>
      <c r="M8" s="25" t="s">
        <v>9</v>
      </c>
      <c r="N8" s="52" t="s">
        <v>101</v>
      </c>
      <c r="O8" s="25" t="s">
        <v>192</v>
      </c>
      <c r="P8" s="52" t="s">
        <v>100</v>
      </c>
      <c r="Q8" s="25" t="s">
        <v>193</v>
      </c>
      <c r="R8" s="52" t="s">
        <v>99</v>
      </c>
      <c r="S8" s="58" t="s">
        <v>154</v>
      </c>
    </row>
    <row r="9" spans="1:19" ht="7.5" customHeight="1" x14ac:dyDescent="0.4">
      <c r="A9" s="21">
        <v>9</v>
      </c>
      <c r="B9" s="50" t="s">
        <v>143</v>
      </c>
      <c r="C9" s="56" t="s">
        <v>119</v>
      </c>
      <c r="D9" s="53" t="s">
        <v>102</v>
      </c>
      <c r="E9" s="37" t="s">
        <v>195</v>
      </c>
      <c r="F9" s="23" t="s">
        <v>77</v>
      </c>
      <c r="G9" s="24" t="s">
        <v>145</v>
      </c>
      <c r="H9" s="52" t="s">
        <v>191</v>
      </c>
      <c r="I9" s="25" t="s">
        <v>194</v>
      </c>
      <c r="J9" s="52" t="s">
        <v>103</v>
      </c>
      <c r="K9" s="25" t="s">
        <v>146</v>
      </c>
      <c r="L9" s="52" t="s">
        <v>9</v>
      </c>
      <c r="M9" s="25" t="s">
        <v>9</v>
      </c>
      <c r="N9" s="52" t="s">
        <v>101</v>
      </c>
      <c r="O9" s="25" t="s">
        <v>192</v>
      </c>
      <c r="P9" s="52" t="s">
        <v>100</v>
      </c>
      <c r="Q9" s="25" t="s">
        <v>193</v>
      </c>
      <c r="R9" s="52" t="s">
        <v>99</v>
      </c>
      <c r="S9" s="58" t="s">
        <v>154</v>
      </c>
    </row>
    <row r="10" spans="1:19" ht="7.5" customHeight="1" x14ac:dyDescent="0.4">
      <c r="A10" s="21">
        <v>10</v>
      </c>
      <c r="B10" s="50" t="s">
        <v>144</v>
      </c>
      <c r="C10" s="56" t="s">
        <v>119</v>
      </c>
      <c r="D10" s="53" t="s">
        <v>102</v>
      </c>
      <c r="E10" s="37" t="s">
        <v>195</v>
      </c>
      <c r="F10" s="23" t="s">
        <v>77</v>
      </c>
      <c r="G10" s="24" t="s">
        <v>145</v>
      </c>
      <c r="H10" s="52" t="s">
        <v>191</v>
      </c>
      <c r="I10" s="25" t="s">
        <v>194</v>
      </c>
      <c r="J10" s="52" t="s">
        <v>103</v>
      </c>
      <c r="K10" s="25" t="s">
        <v>146</v>
      </c>
      <c r="L10" s="52" t="s">
        <v>9</v>
      </c>
      <c r="M10" s="25" t="s">
        <v>9</v>
      </c>
      <c r="N10" s="52" t="s">
        <v>101</v>
      </c>
      <c r="O10" s="25" t="s">
        <v>192</v>
      </c>
      <c r="P10" s="52" t="s">
        <v>100</v>
      </c>
      <c r="Q10" s="25" t="s">
        <v>193</v>
      </c>
      <c r="R10" s="52" t="s">
        <v>99</v>
      </c>
      <c r="S10" s="58" t="s">
        <v>154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5EC8-1387-4A67-960C-C64BD1326958}">
  <sheetPr codeName="Planilha5"/>
  <dimension ref="A1:G2"/>
  <sheetViews>
    <sheetView zoomScale="280" zoomScaleNormal="280" workbookViewId="0">
      <pane ySplit="1" topLeftCell="A2" activePane="bottomLeft" state="frozen"/>
      <selection activeCell="B1" sqref="B1"/>
      <selection pane="bottomLeft" activeCell="E7" sqref="E7"/>
    </sheetView>
  </sheetViews>
  <sheetFormatPr defaultColWidth="9.15234375" defaultRowHeight="8.25" customHeight="1" x14ac:dyDescent="0.4"/>
  <cols>
    <col min="1" max="1" width="2.15234375" style="27" customWidth="1"/>
    <col min="2" max="2" width="5.84375" style="26" bestFit="1" customWidth="1"/>
    <col min="3" max="3" width="11.3046875" style="26" bestFit="1" customWidth="1"/>
    <col min="4" max="7" width="10.84375" style="26" bestFit="1" customWidth="1"/>
  </cols>
  <sheetData>
    <row r="1" spans="1:7" ht="33" customHeight="1" x14ac:dyDescent="0.4">
      <c r="A1" s="32">
        <v>0</v>
      </c>
      <c r="B1" s="28" t="s">
        <v>79</v>
      </c>
      <c r="C1" s="29" t="s">
        <v>80</v>
      </c>
      <c r="D1" s="29" t="s">
        <v>81</v>
      </c>
      <c r="E1" s="29" t="s">
        <v>81</v>
      </c>
      <c r="F1" s="29" t="s">
        <v>81</v>
      </c>
      <c r="G1" s="29" t="s">
        <v>81</v>
      </c>
    </row>
    <row r="2" spans="1:7" ht="8.25" customHeight="1" x14ac:dyDescent="0.4">
      <c r="A2" s="33">
        <v>2</v>
      </c>
      <c r="B2" s="31" t="s">
        <v>9</v>
      </c>
      <c r="C2" s="31" t="s">
        <v>9</v>
      </c>
      <c r="D2" s="31" t="s">
        <v>9</v>
      </c>
      <c r="E2" s="31" t="s">
        <v>9</v>
      </c>
      <c r="F2" s="31" t="s">
        <v>9</v>
      </c>
      <c r="G2" s="31" t="s">
        <v>9</v>
      </c>
    </row>
  </sheetData>
  <sortState xmlns:xlrd2="http://schemas.microsoft.com/office/spreadsheetml/2017/richdata2" ref="A2:G2">
    <sortCondition ref="A1:A2"/>
  </sortState>
  <phoneticPr fontId="1" type="noConversion"/>
  <conditionalFormatting sqref="A1:G1 B3:G1048576">
    <cfRule type="containsText" dxfId="5" priority="5" operator="containsText" text="null">
      <formula>NOT(ISERROR(SEARCH("null",A1)))</formula>
    </cfRule>
  </conditionalFormatting>
  <conditionalFormatting sqref="B2">
    <cfRule type="duplicateValues" dxfId="4" priority="1449"/>
    <cfRule type="duplicateValues" dxfId="3" priority="1450"/>
  </conditionalFormatting>
  <conditionalFormatting sqref="B3:B1048576 A1:B1">
    <cfRule type="duplicateValues" dxfId="2" priority="6"/>
  </conditionalFormatting>
  <conditionalFormatting sqref="B3:B1048576 B1">
    <cfRule type="duplicateValues" dxfId="1" priority="4"/>
  </conditionalFormatting>
  <conditionalFormatting sqref="B2:G2">
    <cfRule type="containsText" dxfId="0" priority="2" operator="containsText" text="null">
      <formula>NOT(ISERROR(SEARCH("null",B2)))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FatosIn</vt:lpstr>
      <vt:lpstr>Interop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Menegotto</dc:creator>
  <dc:description/>
  <cp:lastModifiedBy>José Luis Menegotto</cp:lastModifiedBy>
  <cp:revision>26</cp:revision>
  <dcterms:created xsi:type="dcterms:W3CDTF">2024-12-02T13:09:25Z</dcterms:created>
  <dcterms:modified xsi:type="dcterms:W3CDTF">2026-08-09T15:51:34Z</dcterms:modified>
  <dc:language>pt-BR</dc:language>
</cp:coreProperties>
</file>