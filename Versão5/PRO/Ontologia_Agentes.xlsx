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23CD23A0-EFC5-4C40-A789-5A6F9FB5848A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9" l="1"/>
  <c r="X12" i="9"/>
  <c r="X13" i="9"/>
  <c r="X14" i="9"/>
  <c r="X15" i="9"/>
  <c r="X16" i="9"/>
  <c r="X17" i="9"/>
  <c r="X18" i="9"/>
  <c r="V18" i="9"/>
  <c r="U18" i="9"/>
  <c r="T18" i="9"/>
  <c r="O18" i="9"/>
  <c r="N18" i="9"/>
  <c r="M18" i="9"/>
  <c r="L18" i="9"/>
  <c r="V17" i="9"/>
  <c r="U17" i="9"/>
  <c r="T17" i="9"/>
  <c r="O17" i="9"/>
  <c r="N17" i="9"/>
  <c r="M17" i="9"/>
  <c r="L17" i="9"/>
  <c r="V16" i="9"/>
  <c r="U16" i="9"/>
  <c r="T16" i="9"/>
  <c r="O16" i="9"/>
  <c r="N16" i="9"/>
  <c r="M16" i="9"/>
  <c r="L16" i="9"/>
  <c r="V15" i="9"/>
  <c r="U15" i="9"/>
  <c r="T15" i="9"/>
  <c r="O15" i="9"/>
  <c r="N15" i="9"/>
  <c r="M15" i="9"/>
  <c r="L15" i="9"/>
  <c r="V14" i="9"/>
  <c r="U14" i="9"/>
  <c r="T14" i="9"/>
  <c r="O14" i="9"/>
  <c r="N14" i="9"/>
  <c r="M14" i="9"/>
  <c r="L14" i="9"/>
  <c r="V15" i="17" l="1"/>
  <c r="V14" i="17"/>
  <c r="V13" i="17"/>
  <c r="V12" i="17"/>
  <c r="V11" i="17"/>
  <c r="X10" i="9" l="1"/>
  <c r="V10" i="9"/>
  <c r="U10" i="9"/>
  <c r="T10" i="9"/>
  <c r="O10" i="9"/>
  <c r="N10" i="9"/>
  <c r="M10" i="9"/>
  <c r="L10" i="9"/>
  <c r="X7" i="9"/>
  <c r="V7" i="9"/>
  <c r="U7" i="9"/>
  <c r="T7" i="9"/>
  <c r="O7" i="9"/>
  <c r="N7" i="9"/>
  <c r="M7" i="9"/>
  <c r="L7" i="9"/>
  <c r="X3" i="9"/>
  <c r="X4" i="9"/>
  <c r="X5" i="9"/>
  <c r="X6" i="9"/>
  <c r="X8" i="9"/>
  <c r="X9" i="9"/>
  <c r="V13" i="9"/>
  <c r="U13" i="9"/>
  <c r="T13" i="9"/>
  <c r="O13" i="9"/>
  <c r="N13" i="9"/>
  <c r="M13" i="9"/>
  <c r="L13" i="9"/>
  <c r="V5" i="9"/>
  <c r="U5" i="9"/>
  <c r="T5" i="9"/>
  <c r="O5" i="9"/>
  <c r="N5" i="9"/>
  <c r="M5" i="9"/>
  <c r="L5" i="9"/>
  <c r="V4" i="9"/>
  <c r="U4" i="9"/>
  <c r="T4" i="9"/>
  <c r="O4" i="9"/>
  <c r="N4" i="9"/>
  <c r="M4" i="9"/>
  <c r="L4" i="9"/>
  <c r="V8" i="9"/>
  <c r="U8" i="9"/>
  <c r="T8" i="9"/>
  <c r="O8" i="9"/>
  <c r="N8" i="9"/>
  <c r="M8" i="9"/>
  <c r="L8" i="9"/>
  <c r="V12" i="9" l="1"/>
  <c r="U12" i="9"/>
  <c r="T12" i="9"/>
  <c r="O12" i="9"/>
  <c r="N12" i="9"/>
  <c r="M12" i="9"/>
  <c r="L12" i="9"/>
  <c r="V11" i="9"/>
  <c r="U11" i="9"/>
  <c r="T11" i="9"/>
  <c r="O11" i="9"/>
  <c r="N11" i="9"/>
  <c r="M11" i="9"/>
  <c r="L11" i="9"/>
  <c r="V9" i="9"/>
  <c r="U9" i="9"/>
  <c r="T9" i="9"/>
  <c r="O9" i="9"/>
  <c r="N9" i="9"/>
  <c r="M9" i="9"/>
  <c r="L9" i="9"/>
  <c r="X2" i="9" l="1"/>
  <c r="V6" i="9"/>
  <c r="U6" i="9"/>
  <c r="T6" i="9"/>
  <c r="O6" i="9"/>
  <c r="N6" i="9"/>
  <c r="M6" i="9"/>
  <c r="L6" i="9"/>
  <c r="B25" i="13"/>
  <c r="T3" i="9" l="1"/>
  <c r="U3" i="9"/>
  <c r="V3" i="9"/>
  <c r="L2" i="9"/>
  <c r="M2" i="9"/>
  <c r="N2" i="9"/>
  <c r="O2" i="9"/>
  <c r="T2" i="9"/>
  <c r="U2" i="9"/>
  <c r="V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<sst xmlns="http://schemas.openxmlformats.org/spreadsheetml/2006/main" count="1100" uniqueCount="271">
  <si>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</si>
  <si>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</si>
  <si>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</si>
  <si>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</si>
  <si>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</si>
  <si>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</si>
  <si>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</si>
  <si>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</si>
  <si>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</si>
  <si>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</si>
  <si>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</si>
  <si>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</si>
  <si>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</si>
  <si>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</si>
  <si>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</si>
  <si>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</si>
  <si>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</si>
  <si>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</si>
  <si>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</si>
  <si>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</si>
  <si>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</si>
  <si>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</si>
  <si>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</si>
  <si>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</si>
  <si>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</si>
  <si>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</si>
  <si>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</si>
  <si>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</si>
  <si>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</si>
  <si>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</si>
  <si>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</si>
  <si>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</si>
  <si>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</si>
  <si>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</si>
  <si>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</si>
  <si>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</si>
  <si>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</si>
  <si>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</si>
  <si>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</si>
  <si>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</si>
  <si>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</si>
  <si>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</si>
  <si>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</si>
  <si>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</si>
  <si>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</si>
  <si>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</si>
  <si>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</si>
  <si>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</si>
  <si>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</si>
  <si>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</si>
  <si>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</si>
  <si>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</si>
  <si>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</si>
  <si>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</si>
  <si>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</si>
  <si>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</si>
  <si>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</si>
  <si>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</si>
  <si>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</si>
  <si>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</si>
  <si>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</si>
  <si>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</si>
  <si>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</si>
  <si>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</si>
  <si>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</si>
  <si>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</si>
  <si>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</si>
  <si>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</si>
  <si>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</si>
  <si>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</si>
  <si>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</si>
  <si>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</si>
  <si>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</si>
  <si>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</si>
  <si>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</si>
  <si>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</si>
  <si>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</si>
  <si>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</si>
  <si>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</si>
  <si>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</si>
  <si>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</si>
  <si>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</si>
  <si>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</si>
  <si>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</si>
  <si>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</si>
  <si>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</si>
  <si>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</si>
  <si>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</si>
  <si>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</si>
  <si>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</si>
  <si>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</si>
  <si>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</si>
  <si>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</si>
  <si>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</si>
  <si>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</si>
  <si>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</si>
  <si>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</si>
  <si>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</si>
  <si>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</si>
  <si>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</si>
  <si>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</si>
  <si>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</si>
  <si>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</si>
  <si>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</si>
  <si>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</si>
  <si>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</si>
  <si>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</si>
  <si>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</si>
  <si>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</si>
  <si>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</si>
  <si>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</si>
  <si>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</si>
  <si>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</si>
  <si>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</si>
  <si>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</si>
  <si>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</si>
  <si>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</si>
  <si>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</si>
  <si>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</si>
  <si>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</si>
  <si>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</si>
  <si>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</si>
  <si>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</si>
  <si>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</si>
  <si>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</si>
  <si>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</si>
  <si>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</si>
  <si>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</si>
  <si>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</si>
  <si>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</si>
  <si>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</si>
  <si>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</si>
  <si>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</si>
  <si>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</si>
  <si>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</si>
  <si>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</si>
  <si>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</si>
  <si>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</si>
  <si>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</si>
  <si>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</si>
  <si>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</si>
  <si>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</si>
  <si>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</si>
  <si>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</si>
  <si>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agente.de</t>
  </si>
  <si>
    <t>"Projeto_A"</t>
  </si>
  <si>
    <t>Projeto</t>
  </si>
  <si>
    <t>Linguagem</t>
  </si>
  <si>
    <t>Sintaxe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</si>
  <si>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</si>
  <si>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</si>
  <si>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</si>
  <si>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</si>
  <si>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</si>
  <si>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</si>
  <si>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</si>
  <si>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</si>
  <si>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</si>
  <si>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</si>
  <si>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</si>
  <si>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</si>
  <si>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</si>
  <si>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</si>
  <si>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</si>
  <si>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</si>
  <si>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Computacionais</t>
  </si>
  <si>
    <t>Agêntica.Artificial</t>
  </si>
  <si>
    <t>Orquestações</t>
  </si>
  <si>
    <t>Agentes.Humanos</t>
  </si>
  <si>
    <t>Agentes.Artificiais</t>
  </si>
  <si>
    <t>Projetista</t>
  </si>
  <si>
    <t>Agente.IA</t>
  </si>
  <si>
    <t>Sintática</t>
  </si>
  <si>
    <t>Semântica</t>
  </si>
  <si>
    <t>Inteligente</t>
  </si>
  <si>
    <t>Declara um projetista humano que trabalha no projeto.</t>
  </si>
  <si>
    <t>Declara um agente artificial utilizado para o projeto.</t>
  </si>
  <si>
    <t>Semântico</t>
  </si>
  <si>
    <t>Declara uma semântica específca utilizada para dar significado aos elementos do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</si>
  <si>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</si>
  <si>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</si>
  <si>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</si>
  <si>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</si>
  <si>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</si>
  <si>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</si>
  <si>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</si>
  <si>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</si>
  <si>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Agêntica.Natural</t>
  </si>
  <si>
    <t>Calculista</t>
  </si>
  <si>
    <t>Declara um idioma natural utilizado em tarefas do projeto.</t>
  </si>
  <si>
    <t>Declara uma linguagem computacional utilizada para automatizar tarefas do projeto.</t>
  </si>
  <si>
    <t>Declara uma sintaxe artificial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</si>
  <si>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</si>
  <si>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</si>
  <si>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</si>
  <si>
    <t>Declares to a Human Agent</t>
  </si>
  <si>
    <t>Declares to an Artificial Agent</t>
  </si>
  <si>
    <t>Declares the Gherkin language, for BDD (Behaviour-Driven Development) processes.</t>
  </si>
  <si>
    <t>Declares a computational syntax used (e.g. Manchester, TTL).</t>
  </si>
  <si>
    <t>Declares a computational semantics used (e.g. KML, OKF, etc).</t>
  </si>
  <si>
    <t>Declares a human designer working on the project.</t>
  </si>
  <si>
    <t>Declares a human calculator working on the project.</t>
  </si>
  <si>
    <t>Declares an artificial agent used for the project.</t>
  </si>
  <si>
    <t>Declares a natural language used in project tasks.</t>
  </si>
  <si>
    <t>Declares a computer language used to automate project tasks.</t>
  </si>
  <si>
    <t>Declares an artificial syntax used to automate project tasks.</t>
  </si>
  <si>
    <t>Declares a specific semantics used to give meaning to the elements of the project.</t>
  </si>
  <si>
    <t>Declara a un agente humano</t>
  </si>
  <si>
    <t>Declara a un agente artificial</t>
  </si>
  <si>
    <t>Declara el lenguaje Gherkin, para procesos BDD (Desarrollo Impulsado por el Comportamiento).</t>
  </si>
  <si>
    <t>Declara una sintaxis computacional utilizada (por ejemplo, Manchester, TTL).</t>
  </si>
  <si>
    <t>Declara una semántica computacional utilizada (por ejemplo, KML, OKF, etc.).</t>
  </si>
  <si>
    <t>Declara un diseñador humano que trabaja en el proyecto.</t>
  </si>
  <si>
    <t>Declara una calculadora humana trabajando en el proyecto.</t>
  </si>
  <si>
    <t>Declara un agente artificial utilizado para el proyecto.</t>
  </si>
  <si>
    <t>Declara un lenguaje natural utilizado en tareas de proyecto.</t>
  </si>
  <si>
    <t>Declara un lenguaje de ordenador utilizado para automatizar tareas de proyecto.</t>
  </si>
  <si>
    <t>Declara una sintaxis artificial usada para automatizar tareas del proyecto.</t>
  </si>
  <si>
    <t>Declara una semántica específica usada para dar significado a los elementos del proyecto.</t>
  </si>
  <si>
    <t>Categoria Rvt</t>
  </si>
  <si>
    <t>Parâmetro Rvt</t>
  </si>
  <si>
    <t>Classe IFC</t>
  </si>
  <si>
    <t>Atributo IFC</t>
  </si>
  <si>
    <t>De.API</t>
  </si>
  <si>
    <t>Métodos</t>
  </si>
  <si>
    <t>Macros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</si>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</sst>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E89F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2" fontId="9" fillId="8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12" fillId="0" borderId="0" xfId="0" applyFont="1"/>
    <xf numFmtId="0" fontId="2" fillId="25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vertical="center"/>
    </xf>
    <xf numFmtId="1" fontId="4" fillId="10" borderId="4" xfId="0" applyNumberFormat="1" applyFont="1" applyFill="1" applyBorder="1" applyAlignment="1">
      <alignment vertical="center"/>
    </xf>
    <xf numFmtId="2" fontId="4" fillId="10" borderId="4" xfId="0" applyNumberFormat="1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horizontal="left" vertical="center"/>
    </xf>
    <xf numFmtId="0" fontId="2" fillId="26" borderId="4" xfId="0" applyFont="1" applyFill="1" applyBorder="1" applyAlignment="1">
      <alignment horizontal="left" vertical="center"/>
    </xf>
    <xf numFmtId="0" fontId="2" fillId="27" borderId="4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/>
    </xf>
    <xf numFmtId="0" fontId="2" fillId="27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53" customWidth="1"/>
    <col min="2" max="2" width="51.7109375" style="53" bestFit="1" customWidth="1"/>
    <col min="3" max="3" width="3.42578125" style="45" bestFit="1" customWidth="1"/>
    <col min="4" max="16384" width="9.28515625" style="53"/>
  </cols>
  <sheetData>
    <row r="1" spans="1:3" ht="14.25" customHeight="1" x14ac:dyDescent="0.25">
      <c r="A1" s="17" t="s">
        <v>46</v>
      </c>
      <c r="B1" s="17" t="s">
        <v>47</v>
      </c>
      <c r="C1" s="43" t="s">
        <v>84</v>
      </c>
    </row>
    <row r="2" spans="1:3" ht="9" customHeight="1" x14ac:dyDescent="0.25">
      <c r="A2" s="18" t="s">
        <v>48</v>
      </c>
      <c r="B2" s="18" t="s">
        <v>49</v>
      </c>
      <c r="C2" s="44" t="s">
        <v>85</v>
      </c>
    </row>
    <row r="3" spans="1:3" ht="9" customHeight="1" x14ac:dyDescent="0.25">
      <c r="A3" s="18" t="s">
        <v>50</v>
      </c>
      <c r="B3" s="18" t="s">
        <v>92</v>
      </c>
      <c r="C3" s="44" t="s">
        <v>85</v>
      </c>
    </row>
    <row r="4" spans="1:3" ht="9" customHeight="1" x14ac:dyDescent="0.25">
      <c r="A4" s="19" t="s">
        <v>51</v>
      </c>
      <c r="B4" s="19" t="s">
        <v>33</v>
      </c>
      <c r="C4" s="44" t="s">
        <v>85</v>
      </c>
    </row>
    <row r="5" spans="1:3" ht="9" customHeight="1" x14ac:dyDescent="0.25">
      <c r="A5" s="19" t="s">
        <v>52</v>
      </c>
      <c r="B5" s="19" t="str">
        <f>_xlfn.CONCAT(B4,"Prop")</f>
        <v>BIMProp</v>
      </c>
      <c r="C5" s="44" t="s">
        <v>85</v>
      </c>
    </row>
    <row r="6" spans="1:3" ht="9" customHeight="1" x14ac:dyDescent="0.25">
      <c r="A6" s="19" t="s">
        <v>53</v>
      </c>
      <c r="B6" s="19" t="str">
        <f>_xlfn.CONCAT(B4,"Data")</f>
        <v>BIMData</v>
      </c>
      <c r="C6" s="44" t="s">
        <v>85</v>
      </c>
    </row>
    <row r="7" spans="1:3" ht="9" customHeight="1" x14ac:dyDescent="0.25">
      <c r="A7" s="19" t="s">
        <v>54</v>
      </c>
      <c r="B7" s="19" t="s">
        <v>55</v>
      </c>
      <c r="C7" s="44" t="s">
        <v>85</v>
      </c>
    </row>
    <row r="8" spans="1:3" ht="9" customHeight="1" x14ac:dyDescent="0.25">
      <c r="A8" s="19" t="s">
        <v>56</v>
      </c>
      <c r="B8" s="19" t="s">
        <v>82</v>
      </c>
      <c r="C8" s="44" t="s">
        <v>85</v>
      </c>
    </row>
    <row r="9" spans="1:3" ht="9" customHeight="1" x14ac:dyDescent="0.25">
      <c r="A9" s="19" t="s">
        <v>57</v>
      </c>
      <c r="B9" s="19" t="s">
        <v>58</v>
      </c>
      <c r="C9" s="44" t="s">
        <v>85</v>
      </c>
    </row>
    <row r="10" spans="1:3" ht="9" customHeight="1" x14ac:dyDescent="0.25">
      <c r="A10" s="19" t="s">
        <v>59</v>
      </c>
      <c r="B10" s="19" t="s">
        <v>60</v>
      </c>
      <c r="C10" s="44" t="s">
        <v>85</v>
      </c>
    </row>
    <row r="11" spans="1:3" ht="9" customHeight="1" x14ac:dyDescent="0.25">
      <c r="A11" s="19" t="s">
        <v>61</v>
      </c>
      <c r="B11" s="19" t="s">
        <v>60</v>
      </c>
      <c r="C11" s="44" t="s">
        <v>85</v>
      </c>
    </row>
    <row r="12" spans="1:3" ht="9" customHeight="1" x14ac:dyDescent="0.25">
      <c r="A12" s="19" t="s">
        <v>62</v>
      </c>
      <c r="B12" s="19" t="s">
        <v>60</v>
      </c>
      <c r="C12" s="44" t="s">
        <v>85</v>
      </c>
    </row>
    <row r="13" spans="1:3" ht="9" customHeight="1" x14ac:dyDescent="0.25">
      <c r="A13" s="19" t="s">
        <v>63</v>
      </c>
      <c r="B13" s="19" t="s">
        <v>60</v>
      </c>
      <c r="C13" s="44" t="s">
        <v>85</v>
      </c>
    </row>
    <row r="14" spans="1:3" ht="9" customHeight="1" x14ac:dyDescent="0.25">
      <c r="A14" s="19" t="s">
        <v>64</v>
      </c>
      <c r="B14" s="19" t="s">
        <v>60</v>
      </c>
      <c r="C14" s="44" t="s">
        <v>85</v>
      </c>
    </row>
    <row r="15" spans="1:3" ht="9" customHeight="1" x14ac:dyDescent="0.25">
      <c r="A15" s="19" t="s">
        <v>65</v>
      </c>
      <c r="B15" s="19" t="s">
        <v>60</v>
      </c>
      <c r="C15" s="44" t="s">
        <v>85</v>
      </c>
    </row>
    <row r="16" spans="1:3" ht="9" customHeight="1" x14ac:dyDescent="0.25">
      <c r="A16" s="19" t="s">
        <v>66</v>
      </c>
      <c r="B16" s="19" t="s">
        <v>60</v>
      </c>
      <c r="C16" s="44" t="s">
        <v>85</v>
      </c>
    </row>
    <row r="17" spans="1:3" ht="9" customHeight="1" x14ac:dyDescent="0.25">
      <c r="A17" s="19" t="s">
        <v>67</v>
      </c>
      <c r="B17" s="19" t="s">
        <v>93</v>
      </c>
      <c r="C17" s="44" t="s">
        <v>85</v>
      </c>
    </row>
    <row r="18" spans="1:3" ht="9" customHeight="1" x14ac:dyDescent="0.25">
      <c r="A18" s="19" t="s">
        <v>68</v>
      </c>
      <c r="B18" s="20">
        <f ca="1">NOW()</f>
        <v>46268.698605324076</v>
      </c>
      <c r="C18" s="44" t="s">
        <v>85</v>
      </c>
    </row>
    <row r="19" spans="1:3" ht="9" customHeight="1" x14ac:dyDescent="0.25">
      <c r="A19" s="19" t="s">
        <v>88</v>
      </c>
      <c r="B19" s="20" t="s">
        <v>91</v>
      </c>
      <c r="C19" s="44" t="s">
        <v>85</v>
      </c>
    </row>
    <row r="20" spans="1:3" ht="9" customHeight="1" x14ac:dyDescent="0.25">
      <c r="A20" s="19" t="s">
        <v>89</v>
      </c>
      <c r="B20" s="20" t="str">
        <f>_xlfn.TRANSLATE(B19,"pt","es")</f>
        <v>Traducciones al español e inglés incorporadas. Las traducciones deben revisarse constantemente</v>
      </c>
      <c r="C20" s="44" t="s">
        <v>86</v>
      </c>
    </row>
    <row r="21" spans="1:3" ht="9" customHeight="1" x14ac:dyDescent="0.25">
      <c r="A21" s="19" t="s">
        <v>90</v>
      </c>
      <c r="B21" s="20" t="str">
        <f>_xlfn.TRANSLATE(B19,"pt","es")</f>
        <v>Traducciones al español e inglés incorporadas. Las traducciones deben revisarse constantemente</v>
      </c>
      <c r="C21" s="44" t="s">
        <v>87</v>
      </c>
    </row>
    <row r="22" spans="1:3" ht="9" customHeight="1" x14ac:dyDescent="0.25">
      <c r="A22" s="19" t="s">
        <v>69</v>
      </c>
      <c r="B22" s="19" t="s">
        <v>60</v>
      </c>
      <c r="C22" s="44" t="s">
        <v>85</v>
      </c>
    </row>
    <row r="23" spans="1:3" ht="9" customHeight="1" x14ac:dyDescent="0.25">
      <c r="A23" s="19" t="s">
        <v>70</v>
      </c>
      <c r="B23" s="19" t="s">
        <v>60</v>
      </c>
      <c r="C23" s="44" t="s">
        <v>85</v>
      </c>
    </row>
    <row r="24" spans="1:3" ht="9" customHeight="1" x14ac:dyDescent="0.25">
      <c r="A24" s="19" t="s">
        <v>71</v>
      </c>
      <c r="B24" s="21" t="s">
        <v>94</v>
      </c>
      <c r="C24" s="44" t="s">
        <v>85</v>
      </c>
    </row>
    <row r="25" spans="1:3" ht="9" customHeight="1" x14ac:dyDescent="0.25">
      <c r="A25" s="19" t="s">
        <v>72</v>
      </c>
      <c r="B25" s="21" t="str">
        <f>_xlfn.TRANSLATE(B24,"pt","es")</f>
        <v>Formaliza las clases para agentes.</v>
      </c>
      <c r="C25" s="44" t="s">
        <v>86</v>
      </c>
    </row>
    <row r="26" spans="1:3" ht="9" customHeight="1" x14ac:dyDescent="0.25">
      <c r="A26" s="19" t="s">
        <v>83</v>
      </c>
      <c r="B26" s="21" t="str">
        <f>_xlfn.TRANSLATE(B24,"pt","en")</f>
        <v>Formalize agent classes.</v>
      </c>
      <c r="C26" s="44" t="s">
        <v>87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D18"/>
  <sheetViews>
    <sheetView tabSelected="1" topLeftCell="S1" zoomScale="220" zoomScaleNormal="220" workbookViewId="0">
      <pane ySplit="1" topLeftCell="A8" activePane="bottomLeft" state="frozen"/>
      <selection pane="bottomLeft" activeCell="F17" sqref="F17"/>
    </sheetView>
  </sheetViews>
  <sheetFormatPr defaultColWidth="9.140625" defaultRowHeight="8.25" customHeight="1" x14ac:dyDescent="0.2"/>
  <cols>
    <col min="1" max="1" width="2.42578125" style="2" bestFit="1" customWidth="1"/>
    <col min="2" max="2" width="6.28515625" style="13" bestFit="1" customWidth="1"/>
    <col min="3" max="3" width="13.42578125" style="2" bestFit="1" customWidth="1"/>
    <col min="4" max="4" width="10.28515625" style="13" bestFit="1" customWidth="1"/>
    <col min="5" max="5" width="10.5703125" style="2" bestFit="1" customWidth="1"/>
    <col min="6" max="6" width="10" style="13" bestFit="1" customWidth="1"/>
    <col min="7" max="11" width="10.140625" style="13" bestFit="1" customWidth="1"/>
    <col min="12" max="12" width="13.42578125" style="13" bestFit="1" customWidth="1"/>
    <col min="13" max="13" width="10.28515625" style="12" bestFit="1" customWidth="1"/>
    <col min="14" max="14" width="10.5703125" style="2" bestFit="1" customWidth="1"/>
    <col min="15" max="15" width="10" style="2" bestFit="1" customWidth="1"/>
    <col min="16" max="16" width="47.85546875" style="13" bestFit="1" customWidth="1"/>
    <col min="17" max="17" width="51.5703125" style="13" bestFit="1" customWidth="1"/>
    <col min="18" max="18" width="45.28515625" style="2" bestFit="1" customWidth="1"/>
    <col min="19" max="19" width="8.7109375" style="2" bestFit="1" customWidth="1"/>
    <col min="20" max="20" width="13.42578125" style="2" bestFit="1" customWidth="1"/>
    <col min="21" max="21" width="10.28515625" style="13" bestFit="1" customWidth="1"/>
    <col min="22" max="22" width="10.5703125" style="2" bestFit="1" customWidth="1"/>
    <col min="23" max="23" width="10.42578125" style="13" bestFit="1" customWidth="1"/>
    <col min="24" max="24" width="8.140625" style="52" bestFit="1" customWidth="1"/>
    <col min="25" max="25" width="6" style="32" bestFit="1" customWidth="1"/>
    <col min="26" max="26" width="6.85546875" style="32" bestFit="1" customWidth="1"/>
    <col min="27" max="27" width="5.5703125" style="32" bestFit="1" customWidth="1"/>
    <col min="28" max="28" width="6" style="31" bestFit="1" customWidth="1"/>
    <col min="29" max="30" width="5.140625" style="31" bestFit="1" customWidth="1"/>
    <col min="31" max="16384" width="9.140625" style="2"/>
  </cols>
  <sheetData>
    <row r="1" spans="1:30" s="28" customFormat="1" ht="39.950000000000003" customHeight="1" x14ac:dyDescent="0.25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42" t="s">
        <v>81</v>
      </c>
      <c r="S1" s="54" t="s">
        <v>40</v>
      </c>
      <c r="T1" s="16" t="s">
        <v>34</v>
      </c>
      <c r="U1" s="16" t="s">
        <v>39</v>
      </c>
      <c r="V1" s="16" t="s">
        <v>36</v>
      </c>
      <c r="W1" s="16" t="s">
        <v>35</v>
      </c>
      <c r="X1" s="50" t="s">
        <v>9</v>
      </c>
      <c r="Y1" s="30" t="s">
        <v>219</v>
      </c>
      <c r="Z1" s="30" t="s">
        <v>220</v>
      </c>
      <c r="AA1" s="30" t="s">
        <v>221</v>
      </c>
      <c r="AB1" s="30" t="s">
        <v>222</v>
      </c>
      <c r="AC1" s="46" t="s">
        <v>80</v>
      </c>
      <c r="AD1" s="46" t="s">
        <v>270</v>
      </c>
    </row>
    <row r="2" spans="1:30" customFormat="1" ht="7.5" customHeight="1" x14ac:dyDescent="0.25">
      <c r="A2" s="33">
        <v>2</v>
      </c>
      <c r="B2" s="79" t="s">
        <v>143</v>
      </c>
      <c r="C2" s="79" t="s">
        <v>164</v>
      </c>
      <c r="D2" s="79" t="s">
        <v>167</v>
      </c>
      <c r="E2" s="79" t="s">
        <v>168</v>
      </c>
      <c r="F2" s="81" t="s">
        <v>95</v>
      </c>
      <c r="G2" s="57" t="s">
        <v>10</v>
      </c>
      <c r="H2" s="57" t="s">
        <v>10</v>
      </c>
      <c r="I2" s="57" t="s">
        <v>10</v>
      </c>
      <c r="J2" s="57" t="s">
        <v>10</v>
      </c>
      <c r="K2" s="57" t="s">
        <v>10</v>
      </c>
      <c r="L2" s="35" t="str">
        <f t="shared" ref="L2" si="0">CONCATENATE("", C2)</f>
        <v>De.Inteligência.Projetual</v>
      </c>
      <c r="M2" s="35" t="str">
        <f t="shared" ref="M2" si="1">CONCATENATE("", D2)</f>
        <v>Orquestações</v>
      </c>
      <c r="N2" s="35" t="str">
        <f t="shared" ref="N2:O2" si="2">(SUBSTITUTE(SUBSTITUTE(CONCATENATE("",E2),"."," ")," De "," de "))</f>
        <v>Agentes Humanos</v>
      </c>
      <c r="O2" s="35" t="str">
        <f t="shared" si="2"/>
        <v>Agente Humano</v>
      </c>
      <c r="P2" s="36" t="s">
        <v>101</v>
      </c>
      <c r="Q2" s="36" t="s">
        <v>207</v>
      </c>
      <c r="R2" s="36" t="s">
        <v>195</v>
      </c>
      <c r="S2" s="37" t="s">
        <v>10</v>
      </c>
      <c r="T2" s="37" t="str">
        <f t="shared" ref="T2:V2" si="3">SUBSTITUTE(C2, ".", " ")</f>
        <v>De Inteligência Projetual</v>
      </c>
      <c r="U2" s="37" t="str">
        <f t="shared" si="3"/>
        <v>Orquestações</v>
      </c>
      <c r="V2" s="37" t="str">
        <f t="shared" si="3"/>
        <v>Agentes Humanos</v>
      </c>
      <c r="W2" s="36" t="s">
        <v>142</v>
      </c>
      <c r="X2" s="51" t="str">
        <f t="shared" ref="X2:X9" si="4">CONCATENATE("Key-AGEN-",A2)</f>
        <v>Key-AGEN-2</v>
      </c>
      <c r="Y2" s="63" t="s">
        <v>10</v>
      </c>
      <c r="Z2" s="63" t="s">
        <v>10</v>
      </c>
      <c r="AA2" s="63" t="s">
        <v>10</v>
      </c>
      <c r="AB2" s="63" t="s">
        <v>10</v>
      </c>
      <c r="AC2" s="63" t="s">
        <v>10</v>
      </c>
      <c r="AD2" s="63" t="s">
        <v>10</v>
      </c>
    </row>
    <row r="3" spans="1:30" customFormat="1" ht="7.5" customHeight="1" x14ac:dyDescent="0.25">
      <c r="A3" s="33">
        <v>3</v>
      </c>
      <c r="B3" s="79" t="s">
        <v>143</v>
      </c>
      <c r="C3" s="79" t="s">
        <v>164</v>
      </c>
      <c r="D3" s="79" t="s">
        <v>167</v>
      </c>
      <c r="E3" s="79" t="s">
        <v>169</v>
      </c>
      <c r="F3" s="81" t="s">
        <v>99</v>
      </c>
      <c r="G3" s="57" t="s">
        <v>10</v>
      </c>
      <c r="H3" s="57" t="s">
        <v>10</v>
      </c>
      <c r="I3" s="57" t="s">
        <v>10</v>
      </c>
      <c r="J3" s="57" t="s">
        <v>10</v>
      </c>
      <c r="K3" s="57" t="s">
        <v>10</v>
      </c>
      <c r="L3" s="35" t="str">
        <f t="shared" ref="L3:M5" si="5">CONCATENATE("", C3)</f>
        <v>De.Inteligência.Projetual</v>
      </c>
      <c r="M3" s="35" t="str">
        <f t="shared" si="5"/>
        <v>Orquestações</v>
      </c>
      <c r="N3" s="35" t="str">
        <f t="shared" ref="N3:O5" si="6">(SUBSTITUTE(SUBSTITUTE(CONCATENATE("",E3),"."," ")," De "," de "))</f>
        <v>Agentes Artificiais</v>
      </c>
      <c r="O3" s="35" t="str">
        <f t="shared" si="6"/>
        <v>Agente Artificial</v>
      </c>
      <c r="P3" s="36" t="s">
        <v>102</v>
      </c>
      <c r="Q3" s="36" t="s">
        <v>208</v>
      </c>
      <c r="R3" s="36" t="s">
        <v>196</v>
      </c>
      <c r="S3" s="37" t="s">
        <v>10</v>
      </c>
      <c r="T3" s="37" t="str">
        <f t="shared" ref="T3:T5" si="7">SUBSTITUTE(C3, ".", " ")</f>
        <v>De Inteligência Projetual</v>
      </c>
      <c r="U3" s="37" t="str">
        <f t="shared" ref="U3:U5" si="8">SUBSTITUTE(D3, ".", " ")</f>
        <v>Orquestações</v>
      </c>
      <c r="V3" s="37" t="str">
        <f t="shared" ref="V3:V5" si="9">SUBSTITUTE(E3, ".", " ")</f>
        <v>Agentes Artificiais</v>
      </c>
      <c r="W3" s="36" t="s">
        <v>142</v>
      </c>
      <c r="X3" s="51" t="str">
        <f t="shared" si="4"/>
        <v>Key-AGEN-3</v>
      </c>
      <c r="Y3" s="63" t="s">
        <v>10</v>
      </c>
      <c r="Z3" s="63" t="s">
        <v>10</v>
      </c>
      <c r="AA3" s="63" t="s">
        <v>10</v>
      </c>
      <c r="AB3" s="63" t="s">
        <v>10</v>
      </c>
      <c r="AC3" s="63" t="s">
        <v>10</v>
      </c>
      <c r="AD3" s="63" t="s">
        <v>10</v>
      </c>
    </row>
    <row r="4" spans="1:30" customFormat="1" ht="7.5" customHeight="1" x14ac:dyDescent="0.25">
      <c r="A4" s="33">
        <v>4</v>
      </c>
      <c r="B4" s="79" t="s">
        <v>143</v>
      </c>
      <c r="C4" s="79" t="s">
        <v>164</v>
      </c>
      <c r="D4" s="79" t="s">
        <v>167</v>
      </c>
      <c r="E4" s="79" t="s">
        <v>165</v>
      </c>
      <c r="F4" s="81" t="s">
        <v>100</v>
      </c>
      <c r="G4" s="57" t="s">
        <v>10</v>
      </c>
      <c r="H4" s="57" t="s">
        <v>10</v>
      </c>
      <c r="I4" s="57" t="s">
        <v>10</v>
      </c>
      <c r="J4" s="57" t="s">
        <v>10</v>
      </c>
      <c r="K4" s="57" t="s">
        <v>10</v>
      </c>
      <c r="L4" s="35" t="str">
        <f t="shared" si="5"/>
        <v>De.Inteligência.Projetual</v>
      </c>
      <c r="M4" s="35" t="str">
        <f t="shared" si="5"/>
        <v>Orquestações</v>
      </c>
      <c r="N4" s="35" t="str">
        <f t="shared" si="6"/>
        <v>Computacionais</v>
      </c>
      <c r="O4" s="35" t="str">
        <f t="shared" si="6"/>
        <v>Gherkin</v>
      </c>
      <c r="P4" s="36" t="s">
        <v>134</v>
      </c>
      <c r="Q4" s="36" t="s">
        <v>209</v>
      </c>
      <c r="R4" s="36" t="s">
        <v>197</v>
      </c>
      <c r="S4" s="37" t="s">
        <v>10</v>
      </c>
      <c r="T4" s="37" t="str">
        <f t="shared" si="7"/>
        <v>De Inteligência Projetual</v>
      </c>
      <c r="U4" s="37" t="str">
        <f t="shared" si="8"/>
        <v>Orquestações</v>
      </c>
      <c r="V4" s="37" t="str">
        <f t="shared" si="9"/>
        <v>Computacionais</v>
      </c>
      <c r="W4" s="36" t="s">
        <v>142</v>
      </c>
      <c r="X4" s="51" t="str">
        <f t="shared" si="4"/>
        <v>Key-AGEN-4</v>
      </c>
      <c r="Y4" s="63" t="s">
        <v>10</v>
      </c>
      <c r="Z4" s="63" t="s">
        <v>10</v>
      </c>
      <c r="AA4" s="63" t="s">
        <v>10</v>
      </c>
      <c r="AB4" s="63" t="s">
        <v>10</v>
      </c>
      <c r="AC4" s="63" t="s">
        <v>10</v>
      </c>
      <c r="AD4" s="63" t="s">
        <v>10</v>
      </c>
    </row>
    <row r="5" spans="1:30" customFormat="1" ht="7.5" customHeight="1" x14ac:dyDescent="0.25">
      <c r="A5" s="33">
        <v>5</v>
      </c>
      <c r="B5" s="79" t="s">
        <v>143</v>
      </c>
      <c r="C5" s="79" t="s">
        <v>164</v>
      </c>
      <c r="D5" s="79" t="s">
        <v>167</v>
      </c>
      <c r="E5" s="79" t="s">
        <v>165</v>
      </c>
      <c r="F5" s="81" t="s">
        <v>172</v>
      </c>
      <c r="G5" s="57" t="s">
        <v>10</v>
      </c>
      <c r="H5" s="57" t="s">
        <v>10</v>
      </c>
      <c r="I5" s="57" t="s">
        <v>10</v>
      </c>
      <c r="J5" s="57" t="s">
        <v>10</v>
      </c>
      <c r="K5" s="57" t="s">
        <v>10</v>
      </c>
      <c r="L5" s="35" t="str">
        <f t="shared" si="5"/>
        <v>De.Inteligência.Projetual</v>
      </c>
      <c r="M5" s="35" t="str">
        <f t="shared" si="5"/>
        <v>Orquestações</v>
      </c>
      <c r="N5" s="35" t="str">
        <f t="shared" si="6"/>
        <v>Computacionais</v>
      </c>
      <c r="O5" s="35" t="str">
        <f t="shared" si="6"/>
        <v>Sintática</v>
      </c>
      <c r="P5" s="36" t="s">
        <v>194</v>
      </c>
      <c r="Q5" s="36" t="s">
        <v>210</v>
      </c>
      <c r="R5" s="36" t="s">
        <v>198</v>
      </c>
      <c r="S5" s="37" t="s">
        <v>10</v>
      </c>
      <c r="T5" s="37" t="str">
        <f t="shared" si="7"/>
        <v>De Inteligência Projetual</v>
      </c>
      <c r="U5" s="37" t="str">
        <f t="shared" si="8"/>
        <v>Orquestações</v>
      </c>
      <c r="V5" s="37" t="str">
        <f t="shared" si="9"/>
        <v>Computacionais</v>
      </c>
      <c r="W5" s="36" t="s">
        <v>142</v>
      </c>
      <c r="X5" s="51" t="str">
        <f t="shared" si="4"/>
        <v>Key-AGEN-5</v>
      </c>
      <c r="Y5" s="63" t="s">
        <v>10</v>
      </c>
      <c r="Z5" s="63" t="s">
        <v>10</v>
      </c>
      <c r="AA5" s="63" t="s">
        <v>10</v>
      </c>
      <c r="AB5" s="63" t="s">
        <v>10</v>
      </c>
      <c r="AC5" s="63" t="s">
        <v>10</v>
      </c>
      <c r="AD5" s="63" t="s">
        <v>10</v>
      </c>
    </row>
    <row r="6" spans="1:30" customFormat="1" ht="7.5" customHeight="1" x14ac:dyDescent="0.25">
      <c r="A6" s="33">
        <v>6</v>
      </c>
      <c r="B6" s="79" t="s">
        <v>143</v>
      </c>
      <c r="C6" s="79" t="s">
        <v>164</v>
      </c>
      <c r="D6" s="79" t="s">
        <v>167</v>
      </c>
      <c r="E6" s="79" t="s">
        <v>165</v>
      </c>
      <c r="F6" s="81" t="s">
        <v>173</v>
      </c>
      <c r="G6" s="57" t="s">
        <v>10</v>
      </c>
      <c r="H6" s="57" t="s">
        <v>10</v>
      </c>
      <c r="I6" s="57" t="s">
        <v>10</v>
      </c>
      <c r="J6" s="57" t="s">
        <v>10</v>
      </c>
      <c r="K6" s="57" t="s">
        <v>10</v>
      </c>
      <c r="L6" s="35" t="str">
        <f t="shared" ref="L6:M10" si="10">CONCATENATE("", C6)</f>
        <v>De.Inteligência.Projetual</v>
      </c>
      <c r="M6" s="35" t="str">
        <f t="shared" ref="M6:M8" si="11">CONCATENATE("", D6)</f>
        <v>Orquestações</v>
      </c>
      <c r="N6" s="35" t="str">
        <f t="shared" ref="N6:O10" si="12">(SUBSTITUTE(SUBSTITUTE(CONCATENATE("",E6),"."," ")," De "," de "))</f>
        <v>Computacionais</v>
      </c>
      <c r="O6" s="35" t="str">
        <f t="shared" ref="O6:O8" si="13">(SUBSTITUTE(SUBSTITUTE(CONCATENATE("",F6),"."," ")," De "," de "))</f>
        <v>Semântica</v>
      </c>
      <c r="P6" s="36" t="s">
        <v>193</v>
      </c>
      <c r="Q6" s="36" t="s">
        <v>211</v>
      </c>
      <c r="R6" s="36" t="s">
        <v>199</v>
      </c>
      <c r="S6" s="37" t="s">
        <v>10</v>
      </c>
      <c r="T6" s="37" t="str">
        <f t="shared" ref="T6:V10" si="14">SUBSTITUTE(C6, ".", " ")</f>
        <v>De Inteligência Projetual</v>
      </c>
      <c r="U6" s="37" t="str">
        <f t="shared" ref="U6:U8" si="15">SUBSTITUTE(D6, ".", " ")</f>
        <v>Orquestações</v>
      </c>
      <c r="V6" s="37" t="str">
        <f t="shared" ref="V6:V8" si="16">SUBSTITUTE(E6, ".", " ")</f>
        <v>Computacionais</v>
      </c>
      <c r="W6" s="36" t="s">
        <v>142</v>
      </c>
      <c r="X6" s="51" t="str">
        <f t="shared" si="4"/>
        <v>Key-AGEN-6</v>
      </c>
      <c r="Y6" s="63" t="s">
        <v>10</v>
      </c>
      <c r="Z6" s="63" t="s">
        <v>10</v>
      </c>
      <c r="AA6" s="63" t="s">
        <v>10</v>
      </c>
      <c r="AB6" s="63" t="s">
        <v>10</v>
      </c>
      <c r="AC6" s="63" t="s">
        <v>10</v>
      </c>
      <c r="AD6" s="63" t="s">
        <v>10</v>
      </c>
    </row>
    <row r="7" spans="1:30" s="39" customFormat="1" ht="6.75" customHeight="1" x14ac:dyDescent="0.25">
      <c r="A7" s="33">
        <v>7</v>
      </c>
      <c r="B7" s="79" t="s">
        <v>146</v>
      </c>
      <c r="C7" s="79" t="s">
        <v>174</v>
      </c>
      <c r="D7" s="79" t="s">
        <v>187</v>
      </c>
      <c r="E7" s="79" t="s">
        <v>128</v>
      </c>
      <c r="F7" s="81" t="s">
        <v>170</v>
      </c>
      <c r="G7" s="57" t="s">
        <v>10</v>
      </c>
      <c r="H7" s="57" t="s">
        <v>10</v>
      </c>
      <c r="I7" s="57" t="s">
        <v>10</v>
      </c>
      <c r="J7" s="57" t="s">
        <v>10</v>
      </c>
      <c r="K7" s="57" t="s">
        <v>10</v>
      </c>
      <c r="L7" s="35" t="str">
        <f t="shared" si="10"/>
        <v>Inteligente</v>
      </c>
      <c r="M7" s="35" t="str">
        <f t="shared" ref="M7" si="17">CONCATENATE("", D7)</f>
        <v>Agêntica.Natural</v>
      </c>
      <c r="N7" s="35" t="str">
        <f t="shared" si="12"/>
        <v>Humanos</v>
      </c>
      <c r="O7" s="35" t="str">
        <f t="shared" ref="O7" si="18">(SUBSTITUTE(SUBSTITUTE(CONCATENATE("",F7),"."," ")," De "," de "))</f>
        <v>Projetista</v>
      </c>
      <c r="P7" s="36" t="s">
        <v>175</v>
      </c>
      <c r="Q7" s="36" t="s">
        <v>212</v>
      </c>
      <c r="R7" s="36" t="s">
        <v>200</v>
      </c>
      <c r="S7" s="36" t="s">
        <v>10</v>
      </c>
      <c r="T7" s="36" t="str">
        <f t="shared" si="14"/>
        <v>Inteligente</v>
      </c>
      <c r="U7" s="36" t="str">
        <f t="shared" ref="U7" si="19">SUBSTITUTE(D7, ".", " ")</f>
        <v>Agêntica Natural</v>
      </c>
      <c r="V7" s="36" t="str">
        <f t="shared" ref="V7" si="20">SUBSTITUTE(E7, ".", " ")</f>
        <v>Humanos</v>
      </c>
      <c r="W7" s="36" t="s">
        <v>142</v>
      </c>
      <c r="X7" s="51" t="str">
        <f t="shared" ref="X7" si="21">CONCATENATE("Key-AGEN-",A7)</f>
        <v>Key-AGEN-7</v>
      </c>
      <c r="Y7" s="63" t="s">
        <v>10</v>
      </c>
      <c r="Z7" s="63" t="s">
        <v>10</v>
      </c>
      <c r="AA7" s="63" t="s">
        <v>10</v>
      </c>
      <c r="AB7" s="63" t="s">
        <v>10</v>
      </c>
      <c r="AC7" s="63" t="s">
        <v>10</v>
      </c>
      <c r="AD7" s="63" t="s">
        <v>10</v>
      </c>
    </row>
    <row r="8" spans="1:30" s="39" customFormat="1" ht="6.75" customHeight="1" x14ac:dyDescent="0.25">
      <c r="A8" s="33">
        <v>8</v>
      </c>
      <c r="B8" s="79" t="s">
        <v>146</v>
      </c>
      <c r="C8" s="79" t="s">
        <v>174</v>
      </c>
      <c r="D8" s="79" t="s">
        <v>187</v>
      </c>
      <c r="E8" s="79" t="s">
        <v>128</v>
      </c>
      <c r="F8" s="81" t="s">
        <v>188</v>
      </c>
      <c r="G8" s="57" t="s">
        <v>10</v>
      </c>
      <c r="H8" s="57" t="s">
        <v>10</v>
      </c>
      <c r="I8" s="57" t="s">
        <v>10</v>
      </c>
      <c r="J8" s="57" t="s">
        <v>10</v>
      </c>
      <c r="K8" s="57" t="s">
        <v>10</v>
      </c>
      <c r="L8" s="35" t="str">
        <f t="shared" ref="L8" si="22">CONCATENATE("", C8)</f>
        <v>Inteligente</v>
      </c>
      <c r="M8" s="35" t="str">
        <f t="shared" si="11"/>
        <v>Agêntica.Natural</v>
      </c>
      <c r="N8" s="35" t="str">
        <f t="shared" ref="N8" si="23">(SUBSTITUTE(SUBSTITUTE(CONCATENATE("",E8),"."," ")," De "," de "))</f>
        <v>Humanos</v>
      </c>
      <c r="O8" s="35" t="str">
        <f t="shared" si="13"/>
        <v>Calculista</v>
      </c>
      <c r="P8" s="36" t="s">
        <v>192</v>
      </c>
      <c r="Q8" s="36" t="s">
        <v>213</v>
      </c>
      <c r="R8" s="36" t="s">
        <v>201</v>
      </c>
      <c r="S8" s="36" t="s">
        <v>10</v>
      </c>
      <c r="T8" s="36" t="str">
        <f t="shared" ref="T8" si="24">SUBSTITUTE(C8, ".", " ")</f>
        <v>Inteligente</v>
      </c>
      <c r="U8" s="36" t="str">
        <f t="shared" si="15"/>
        <v>Agêntica Natural</v>
      </c>
      <c r="V8" s="36" t="str">
        <f t="shared" si="16"/>
        <v>Humanos</v>
      </c>
      <c r="W8" s="36" t="s">
        <v>142</v>
      </c>
      <c r="X8" s="51" t="str">
        <f t="shared" si="4"/>
        <v>Key-AGEN-8</v>
      </c>
      <c r="Y8" s="63" t="s">
        <v>10</v>
      </c>
      <c r="Z8" s="63" t="s">
        <v>10</v>
      </c>
      <c r="AA8" s="63" t="s">
        <v>10</v>
      </c>
      <c r="AB8" s="63" t="s">
        <v>10</v>
      </c>
      <c r="AC8" s="63" t="s">
        <v>10</v>
      </c>
      <c r="AD8" s="63" t="s">
        <v>10</v>
      </c>
    </row>
    <row r="9" spans="1:30" s="39" customFormat="1" ht="6.75" customHeight="1" x14ac:dyDescent="0.25">
      <c r="A9" s="33">
        <v>9</v>
      </c>
      <c r="B9" s="79" t="s">
        <v>146</v>
      </c>
      <c r="C9" s="79" t="s">
        <v>174</v>
      </c>
      <c r="D9" s="79" t="s">
        <v>166</v>
      </c>
      <c r="E9" s="79" t="s">
        <v>129</v>
      </c>
      <c r="F9" s="81" t="s">
        <v>171</v>
      </c>
      <c r="G9" s="57" t="s">
        <v>10</v>
      </c>
      <c r="H9" s="57" t="s">
        <v>10</v>
      </c>
      <c r="I9" s="57" t="s">
        <v>10</v>
      </c>
      <c r="J9" s="57" t="s">
        <v>10</v>
      </c>
      <c r="K9" s="57" t="s">
        <v>10</v>
      </c>
      <c r="L9" s="35" t="str">
        <f t="shared" si="10"/>
        <v>Inteligente</v>
      </c>
      <c r="M9" s="35" t="str">
        <f t="shared" si="10"/>
        <v>Agêntica.Artificial</v>
      </c>
      <c r="N9" s="35" t="str">
        <f t="shared" si="12"/>
        <v>Artificiais</v>
      </c>
      <c r="O9" s="35" t="str">
        <f t="shared" si="12"/>
        <v>Agente IA</v>
      </c>
      <c r="P9" s="36" t="s">
        <v>176</v>
      </c>
      <c r="Q9" s="36" t="s">
        <v>214</v>
      </c>
      <c r="R9" s="36" t="s">
        <v>202</v>
      </c>
      <c r="S9" s="36" t="s">
        <v>10</v>
      </c>
      <c r="T9" s="36" t="str">
        <f t="shared" si="14"/>
        <v>Inteligente</v>
      </c>
      <c r="U9" s="36" t="str">
        <f t="shared" si="14"/>
        <v>Agêntica Artificial</v>
      </c>
      <c r="V9" s="36" t="str">
        <f t="shared" si="14"/>
        <v>Artificiais</v>
      </c>
      <c r="W9" s="36" t="s">
        <v>142</v>
      </c>
      <c r="X9" s="51" t="str">
        <f t="shared" si="4"/>
        <v>Key-AGEN-9</v>
      </c>
      <c r="Y9" s="63" t="s">
        <v>10</v>
      </c>
      <c r="Z9" s="63" t="s">
        <v>10</v>
      </c>
      <c r="AA9" s="63" t="s">
        <v>10</v>
      </c>
      <c r="AB9" s="63" t="s">
        <v>10</v>
      </c>
      <c r="AC9" s="63" t="s">
        <v>10</v>
      </c>
      <c r="AD9" s="63" t="s">
        <v>10</v>
      </c>
    </row>
    <row r="10" spans="1:30" s="39" customFormat="1" ht="6.75" customHeight="1" x14ac:dyDescent="0.25">
      <c r="A10" s="33">
        <v>10</v>
      </c>
      <c r="B10" s="79" t="s">
        <v>146</v>
      </c>
      <c r="C10" s="79" t="s">
        <v>174</v>
      </c>
      <c r="D10" s="79" t="s">
        <v>166</v>
      </c>
      <c r="E10" s="81" t="s">
        <v>135</v>
      </c>
      <c r="F10" s="81" t="s">
        <v>84</v>
      </c>
      <c r="G10" s="57" t="s">
        <v>10</v>
      </c>
      <c r="H10" s="57" t="s">
        <v>10</v>
      </c>
      <c r="I10" s="57" t="s">
        <v>10</v>
      </c>
      <c r="J10" s="57" t="s">
        <v>10</v>
      </c>
      <c r="K10" s="57" t="s">
        <v>10</v>
      </c>
      <c r="L10" s="35" t="str">
        <f t="shared" si="10"/>
        <v>Inteligente</v>
      </c>
      <c r="M10" s="35" t="str">
        <f t="shared" si="10"/>
        <v>Agêntica.Artificial</v>
      </c>
      <c r="N10" s="35" t="str">
        <f t="shared" si="12"/>
        <v>Linguagens</v>
      </c>
      <c r="O10" s="35" t="str">
        <f t="shared" si="12"/>
        <v>Idioma</v>
      </c>
      <c r="P10" s="36" t="s">
        <v>189</v>
      </c>
      <c r="Q10" s="36" t="s">
        <v>215</v>
      </c>
      <c r="R10" s="36" t="s">
        <v>203</v>
      </c>
      <c r="S10" s="36" t="s">
        <v>10</v>
      </c>
      <c r="T10" s="36" t="str">
        <f t="shared" si="14"/>
        <v>Inteligente</v>
      </c>
      <c r="U10" s="36" t="str">
        <f t="shared" si="14"/>
        <v>Agêntica Artificial</v>
      </c>
      <c r="V10" s="36" t="str">
        <f t="shared" si="14"/>
        <v>Linguagens</v>
      </c>
      <c r="W10" s="36" t="s">
        <v>142</v>
      </c>
      <c r="X10" s="51" t="str">
        <f t="shared" ref="X10:X18" si="25">CONCATENATE("Key-AGEN-",A10)</f>
        <v>Key-AGEN-10</v>
      </c>
      <c r="Y10" s="63" t="s">
        <v>10</v>
      </c>
      <c r="Z10" s="63" t="s">
        <v>10</v>
      </c>
      <c r="AA10" s="63" t="s">
        <v>10</v>
      </c>
      <c r="AB10" s="63" t="s">
        <v>10</v>
      </c>
      <c r="AC10" s="63" t="s">
        <v>10</v>
      </c>
      <c r="AD10" s="63" t="s">
        <v>10</v>
      </c>
    </row>
    <row r="11" spans="1:30" s="39" customFormat="1" ht="6.75" customHeight="1" x14ac:dyDescent="0.25">
      <c r="A11" s="33">
        <v>11</v>
      </c>
      <c r="B11" s="79" t="s">
        <v>146</v>
      </c>
      <c r="C11" s="79" t="s">
        <v>174</v>
      </c>
      <c r="D11" s="79" t="s">
        <v>166</v>
      </c>
      <c r="E11" s="81" t="s">
        <v>135</v>
      </c>
      <c r="F11" s="81" t="s">
        <v>147</v>
      </c>
      <c r="G11" s="57" t="s">
        <v>10</v>
      </c>
      <c r="H11" s="57" t="s">
        <v>10</v>
      </c>
      <c r="I11" s="57" t="s">
        <v>10</v>
      </c>
      <c r="J11" s="57" t="s">
        <v>10</v>
      </c>
      <c r="K11" s="57" t="s">
        <v>10</v>
      </c>
      <c r="L11" s="35" t="str">
        <f t="shared" ref="L11:L12" si="26">CONCATENATE("", C11)</f>
        <v>Inteligente</v>
      </c>
      <c r="M11" s="35" t="str">
        <f t="shared" ref="M11:M12" si="27">CONCATENATE("", D11)</f>
        <v>Agêntica.Artificial</v>
      </c>
      <c r="N11" s="35" t="str">
        <f t="shared" ref="N11:N12" si="28">(SUBSTITUTE(SUBSTITUTE(CONCATENATE("",E11),"."," ")," De "," de "))</f>
        <v>Linguagens</v>
      </c>
      <c r="O11" s="35" t="str">
        <f t="shared" ref="O11:O12" si="29">(SUBSTITUTE(SUBSTITUTE(CONCATENATE("",F11),"."," ")," De "," de "))</f>
        <v>Linguagem</v>
      </c>
      <c r="P11" s="36" t="s">
        <v>190</v>
      </c>
      <c r="Q11" s="36" t="s">
        <v>216</v>
      </c>
      <c r="R11" s="36" t="s">
        <v>204</v>
      </c>
      <c r="S11" s="36" t="s">
        <v>10</v>
      </c>
      <c r="T11" s="36" t="str">
        <f t="shared" ref="T11:T12" si="30">SUBSTITUTE(C11, ".", " ")</f>
        <v>Inteligente</v>
      </c>
      <c r="U11" s="36" t="str">
        <f t="shared" ref="U11:U12" si="31">SUBSTITUTE(D11, ".", " ")</f>
        <v>Agêntica Artificial</v>
      </c>
      <c r="V11" s="36" t="str">
        <f t="shared" ref="V11:V12" si="32">SUBSTITUTE(E11, ".", " ")</f>
        <v>Linguagens</v>
      </c>
      <c r="W11" s="36" t="s">
        <v>142</v>
      </c>
      <c r="X11" s="51" t="str">
        <f t="shared" si="25"/>
        <v>Key-AGEN-11</v>
      </c>
      <c r="Y11" s="63" t="s">
        <v>10</v>
      </c>
      <c r="Z11" s="63" t="s">
        <v>10</v>
      </c>
      <c r="AA11" s="63" t="s">
        <v>10</v>
      </c>
      <c r="AB11" s="63" t="s">
        <v>10</v>
      </c>
      <c r="AC11" s="63" t="s">
        <v>10</v>
      </c>
      <c r="AD11" s="63" t="s">
        <v>10</v>
      </c>
    </row>
    <row r="12" spans="1:30" s="39" customFormat="1" ht="6.75" customHeight="1" x14ac:dyDescent="0.25">
      <c r="A12" s="33">
        <v>12</v>
      </c>
      <c r="B12" s="79" t="s">
        <v>146</v>
      </c>
      <c r="C12" s="79" t="s">
        <v>174</v>
      </c>
      <c r="D12" s="79" t="s">
        <v>166</v>
      </c>
      <c r="E12" s="81" t="s">
        <v>135</v>
      </c>
      <c r="F12" s="81" t="s">
        <v>148</v>
      </c>
      <c r="G12" s="57" t="s">
        <v>10</v>
      </c>
      <c r="H12" s="57" t="s">
        <v>10</v>
      </c>
      <c r="I12" s="57" t="s">
        <v>10</v>
      </c>
      <c r="J12" s="57" t="s">
        <v>10</v>
      </c>
      <c r="K12" s="57" t="s">
        <v>10</v>
      </c>
      <c r="L12" s="35" t="str">
        <f t="shared" si="26"/>
        <v>Inteligente</v>
      </c>
      <c r="M12" s="35" t="str">
        <f t="shared" si="27"/>
        <v>Agêntica.Artificial</v>
      </c>
      <c r="N12" s="35" t="str">
        <f t="shared" si="28"/>
        <v>Linguagens</v>
      </c>
      <c r="O12" s="35" t="str">
        <f t="shared" si="29"/>
        <v>Sintaxe</v>
      </c>
      <c r="P12" s="36" t="s">
        <v>191</v>
      </c>
      <c r="Q12" s="36" t="s">
        <v>217</v>
      </c>
      <c r="R12" s="36" t="s">
        <v>205</v>
      </c>
      <c r="S12" s="36" t="s">
        <v>10</v>
      </c>
      <c r="T12" s="36" t="str">
        <f t="shared" si="30"/>
        <v>Inteligente</v>
      </c>
      <c r="U12" s="36" t="str">
        <f t="shared" si="31"/>
        <v>Agêntica Artificial</v>
      </c>
      <c r="V12" s="36" t="str">
        <f t="shared" si="32"/>
        <v>Linguagens</v>
      </c>
      <c r="W12" s="36" t="s">
        <v>142</v>
      </c>
      <c r="X12" s="51" t="str">
        <f t="shared" si="25"/>
        <v>Key-AGEN-12</v>
      </c>
      <c r="Y12" s="63" t="s">
        <v>10</v>
      </c>
      <c r="Z12" s="63" t="s">
        <v>10</v>
      </c>
      <c r="AA12" s="63" t="s">
        <v>10</v>
      </c>
      <c r="AB12" s="63" t="s">
        <v>10</v>
      </c>
      <c r="AC12" s="63" t="s">
        <v>10</v>
      </c>
      <c r="AD12" s="63" t="s">
        <v>10</v>
      </c>
    </row>
    <row r="13" spans="1:30" s="39" customFormat="1" ht="6.75" customHeight="1" x14ac:dyDescent="0.25">
      <c r="A13" s="33">
        <v>13</v>
      </c>
      <c r="B13" s="79" t="s">
        <v>146</v>
      </c>
      <c r="C13" s="79" t="s">
        <v>174</v>
      </c>
      <c r="D13" s="79" t="s">
        <v>166</v>
      </c>
      <c r="E13" s="81" t="s">
        <v>135</v>
      </c>
      <c r="F13" s="81" t="s">
        <v>177</v>
      </c>
      <c r="G13" s="57" t="s">
        <v>10</v>
      </c>
      <c r="H13" s="57" t="s">
        <v>10</v>
      </c>
      <c r="I13" s="57" t="s">
        <v>10</v>
      </c>
      <c r="J13" s="57" t="s">
        <v>10</v>
      </c>
      <c r="K13" s="57" t="s">
        <v>10</v>
      </c>
      <c r="L13" s="35" t="str">
        <f t="shared" ref="L13" si="33">CONCATENATE("", C13)</f>
        <v>Inteligente</v>
      </c>
      <c r="M13" s="35" t="str">
        <f t="shared" ref="M13" si="34">CONCATENATE("", D13)</f>
        <v>Agêntica.Artificial</v>
      </c>
      <c r="N13" s="35" t="str">
        <f t="shared" ref="N13" si="35">(SUBSTITUTE(SUBSTITUTE(CONCATENATE("",E13),"."," ")," De "," de "))</f>
        <v>Linguagens</v>
      </c>
      <c r="O13" s="35" t="str">
        <f t="shared" ref="O13" si="36">(SUBSTITUTE(SUBSTITUTE(CONCATENATE("",F13),"."," ")," De "," de "))</f>
        <v>Semântico</v>
      </c>
      <c r="P13" s="36" t="s">
        <v>178</v>
      </c>
      <c r="Q13" s="36" t="s">
        <v>218</v>
      </c>
      <c r="R13" s="36" t="s">
        <v>206</v>
      </c>
      <c r="S13" s="36" t="s">
        <v>10</v>
      </c>
      <c r="T13" s="36" t="str">
        <f t="shared" ref="T13:V18" si="37">SUBSTITUTE(C13, ".", " ")</f>
        <v>Inteligente</v>
      </c>
      <c r="U13" s="36" t="str">
        <f t="shared" ref="U13" si="38">SUBSTITUTE(D13, ".", " ")</f>
        <v>Agêntica Artificial</v>
      </c>
      <c r="V13" s="36" t="str">
        <f t="shared" ref="V13" si="39">SUBSTITUTE(E13, ".", " ")</f>
        <v>Linguagens</v>
      </c>
      <c r="W13" s="36" t="s">
        <v>142</v>
      </c>
      <c r="X13" s="51" t="str">
        <f t="shared" si="25"/>
        <v>Key-AGEN-13</v>
      </c>
      <c r="Y13" s="63" t="s">
        <v>10</v>
      </c>
      <c r="Z13" s="63" t="s">
        <v>10</v>
      </c>
      <c r="AA13" s="63" t="s">
        <v>10</v>
      </c>
      <c r="AB13" s="63" t="s">
        <v>10</v>
      </c>
      <c r="AC13" s="63" t="s">
        <v>10</v>
      </c>
      <c r="AD13" s="63" t="s">
        <v>10</v>
      </c>
    </row>
    <row r="14" spans="1:30" s="64" customFormat="1" ht="6.75" customHeight="1" x14ac:dyDescent="0.2">
      <c r="A14" s="33">
        <v>14</v>
      </c>
      <c r="B14" s="79" t="s">
        <v>146</v>
      </c>
      <c r="C14" s="80" t="s">
        <v>223</v>
      </c>
      <c r="D14" s="80" t="s">
        <v>225</v>
      </c>
      <c r="E14" s="80" t="s">
        <v>224</v>
      </c>
      <c r="F14" s="80" t="s">
        <v>249</v>
      </c>
      <c r="G14" s="57" t="s">
        <v>10</v>
      </c>
      <c r="H14" s="57" t="s">
        <v>10</v>
      </c>
      <c r="I14" s="57" t="s">
        <v>10</v>
      </c>
      <c r="J14" s="57" t="s">
        <v>10</v>
      </c>
      <c r="K14" s="57" t="s">
        <v>10</v>
      </c>
      <c r="L14" s="35" t="str">
        <f t="shared" ref="L14:O18" si="40">SUBSTITUTE(CONCATENATE("", C14), ".", " ")</f>
        <v>De API</v>
      </c>
      <c r="M14" s="35" t="str">
        <f t="shared" si="40"/>
        <v>Macros</v>
      </c>
      <c r="N14" s="35" t="str">
        <f t="shared" si="40"/>
        <v>Métodos</v>
      </c>
      <c r="O14" s="35" t="str">
        <f t="shared" si="40"/>
        <v>Função Auxiliar</v>
      </c>
      <c r="P14" s="36" t="s">
        <v>250</v>
      </c>
      <c r="Q14" s="36" t="s">
        <v>251</v>
      </c>
      <c r="R14" s="36" t="s">
        <v>252</v>
      </c>
      <c r="S14" s="36" t="s">
        <v>10</v>
      </c>
      <c r="T14" s="36" t="str">
        <f t="shared" si="37"/>
        <v>De API</v>
      </c>
      <c r="U14" s="36" t="str">
        <f t="shared" si="37"/>
        <v>Macros</v>
      </c>
      <c r="V14" s="37" t="str">
        <f t="shared" si="37"/>
        <v>Métodos</v>
      </c>
      <c r="W14" s="36" t="s">
        <v>142</v>
      </c>
      <c r="X14" s="51" t="str">
        <f t="shared" si="25"/>
        <v>Key-AGEN-14</v>
      </c>
      <c r="Y14" s="63" t="s">
        <v>10</v>
      </c>
      <c r="Z14" s="63" t="s">
        <v>10</v>
      </c>
      <c r="AA14" s="63" t="s">
        <v>10</v>
      </c>
      <c r="AB14" s="63" t="s">
        <v>10</v>
      </c>
      <c r="AC14" s="63" t="s">
        <v>10</v>
      </c>
      <c r="AD14" s="63" t="s">
        <v>10</v>
      </c>
    </row>
    <row r="15" spans="1:30" s="64" customFormat="1" ht="6.75" customHeight="1" x14ac:dyDescent="0.2">
      <c r="A15" s="33">
        <v>15</v>
      </c>
      <c r="B15" s="79" t="s">
        <v>146</v>
      </c>
      <c r="C15" s="80" t="s">
        <v>223</v>
      </c>
      <c r="D15" s="80" t="s">
        <v>225</v>
      </c>
      <c r="E15" s="80" t="s">
        <v>224</v>
      </c>
      <c r="F15" s="80" t="s">
        <v>253</v>
      </c>
      <c r="G15" s="57" t="s">
        <v>10</v>
      </c>
      <c r="H15" s="57" t="s">
        <v>10</v>
      </c>
      <c r="I15" s="57" t="s">
        <v>10</v>
      </c>
      <c r="J15" s="57" t="s">
        <v>10</v>
      </c>
      <c r="K15" s="57" t="s">
        <v>10</v>
      </c>
      <c r="L15" s="35" t="str">
        <f t="shared" si="40"/>
        <v>De API</v>
      </c>
      <c r="M15" s="35" t="str">
        <f t="shared" si="40"/>
        <v>Macros</v>
      </c>
      <c r="N15" s="35" t="str">
        <f t="shared" si="40"/>
        <v>Métodos</v>
      </c>
      <c r="O15" s="35" t="str">
        <f t="shared" si="40"/>
        <v>Função Global</v>
      </c>
      <c r="P15" s="36" t="s">
        <v>254</v>
      </c>
      <c r="Q15" s="36" t="s">
        <v>255</v>
      </c>
      <c r="R15" s="36" t="s">
        <v>256</v>
      </c>
      <c r="S15" s="36" t="s">
        <v>10</v>
      </c>
      <c r="T15" s="36" t="str">
        <f t="shared" si="37"/>
        <v>De API</v>
      </c>
      <c r="U15" s="36" t="str">
        <f t="shared" si="37"/>
        <v>Macros</v>
      </c>
      <c r="V15" s="37" t="str">
        <f t="shared" si="37"/>
        <v>Métodos</v>
      </c>
      <c r="W15" s="36" t="s">
        <v>142</v>
      </c>
      <c r="X15" s="51" t="str">
        <f t="shared" si="25"/>
        <v>Key-AGEN-15</v>
      </c>
      <c r="Y15" s="63" t="s">
        <v>10</v>
      </c>
      <c r="Z15" s="63" t="s">
        <v>10</v>
      </c>
      <c r="AA15" s="63" t="s">
        <v>10</v>
      </c>
      <c r="AB15" s="63" t="s">
        <v>10</v>
      </c>
      <c r="AC15" s="63" t="s">
        <v>10</v>
      </c>
      <c r="AD15" s="63" t="s">
        <v>10</v>
      </c>
    </row>
    <row r="16" spans="1:30" s="64" customFormat="1" ht="6.75" customHeight="1" x14ac:dyDescent="0.2">
      <c r="A16" s="33">
        <v>16</v>
      </c>
      <c r="B16" s="79" t="s">
        <v>146</v>
      </c>
      <c r="C16" s="80" t="s">
        <v>223</v>
      </c>
      <c r="D16" s="80" t="s">
        <v>225</v>
      </c>
      <c r="E16" s="80" t="s">
        <v>224</v>
      </c>
      <c r="F16" s="80" t="s">
        <v>257</v>
      </c>
      <c r="G16" s="57" t="s">
        <v>10</v>
      </c>
      <c r="H16" s="57" t="s">
        <v>10</v>
      </c>
      <c r="I16" s="57" t="s">
        <v>10</v>
      </c>
      <c r="J16" s="57" t="s">
        <v>10</v>
      </c>
      <c r="K16" s="57" t="s">
        <v>10</v>
      </c>
      <c r="L16" s="35" t="str">
        <f t="shared" si="40"/>
        <v>De API</v>
      </c>
      <c r="M16" s="35" t="str">
        <f t="shared" si="40"/>
        <v>Macros</v>
      </c>
      <c r="N16" s="35" t="str">
        <f t="shared" si="40"/>
        <v>Métodos</v>
      </c>
      <c r="O16" s="35" t="str">
        <f t="shared" si="40"/>
        <v>Função Local</v>
      </c>
      <c r="P16" s="36" t="s">
        <v>258</v>
      </c>
      <c r="Q16" s="36" t="s">
        <v>259</v>
      </c>
      <c r="R16" s="36" t="s">
        <v>260</v>
      </c>
      <c r="S16" s="36" t="s">
        <v>10</v>
      </c>
      <c r="T16" s="36" t="str">
        <f t="shared" si="37"/>
        <v>De API</v>
      </c>
      <c r="U16" s="36" t="str">
        <f t="shared" si="37"/>
        <v>Macros</v>
      </c>
      <c r="V16" s="37" t="str">
        <f t="shared" si="37"/>
        <v>Métodos</v>
      </c>
      <c r="W16" s="36" t="s">
        <v>142</v>
      </c>
      <c r="X16" s="51" t="str">
        <f t="shared" si="25"/>
        <v>Key-AGEN-16</v>
      </c>
      <c r="Y16" s="63" t="s">
        <v>10</v>
      </c>
      <c r="Z16" s="63" t="s">
        <v>10</v>
      </c>
      <c r="AA16" s="63" t="s">
        <v>10</v>
      </c>
      <c r="AB16" s="63" t="s">
        <v>10</v>
      </c>
      <c r="AC16" s="63" t="s">
        <v>10</v>
      </c>
      <c r="AD16" s="63" t="s">
        <v>10</v>
      </c>
    </row>
    <row r="17" spans="1:30" s="64" customFormat="1" ht="6.75" customHeight="1" x14ac:dyDescent="0.2">
      <c r="A17" s="33">
        <v>17</v>
      </c>
      <c r="B17" s="79" t="s">
        <v>146</v>
      </c>
      <c r="C17" s="80" t="s">
        <v>223</v>
      </c>
      <c r="D17" s="80" t="s">
        <v>225</v>
      </c>
      <c r="E17" s="80" t="s">
        <v>224</v>
      </c>
      <c r="F17" s="80" t="s">
        <v>261</v>
      </c>
      <c r="G17" s="57" t="s">
        <v>10</v>
      </c>
      <c r="H17" s="57" t="s">
        <v>10</v>
      </c>
      <c r="I17" s="57" t="s">
        <v>10</v>
      </c>
      <c r="J17" s="57" t="s">
        <v>10</v>
      </c>
      <c r="K17" s="57" t="s">
        <v>10</v>
      </c>
      <c r="L17" s="35" t="str">
        <f t="shared" si="40"/>
        <v>De API</v>
      </c>
      <c r="M17" s="35" t="str">
        <f t="shared" si="40"/>
        <v>Macros</v>
      </c>
      <c r="N17" s="35" t="str">
        <f t="shared" si="40"/>
        <v>Métodos</v>
      </c>
      <c r="O17" s="35" t="str">
        <f t="shared" si="40"/>
        <v>Função Filtro</v>
      </c>
      <c r="P17" s="36" t="s">
        <v>262</v>
      </c>
      <c r="Q17" s="36" t="s">
        <v>263</v>
      </c>
      <c r="R17" s="36" t="s">
        <v>264</v>
      </c>
      <c r="S17" s="36" t="s">
        <v>10</v>
      </c>
      <c r="T17" s="36" t="str">
        <f t="shared" si="37"/>
        <v>De API</v>
      </c>
      <c r="U17" s="36" t="str">
        <f t="shared" si="37"/>
        <v>Macros</v>
      </c>
      <c r="V17" s="37" t="str">
        <f t="shared" si="37"/>
        <v>Métodos</v>
      </c>
      <c r="W17" s="36" t="s">
        <v>142</v>
      </c>
      <c r="X17" s="51" t="str">
        <f t="shared" si="25"/>
        <v>Key-AGEN-17</v>
      </c>
      <c r="Y17" s="63" t="s">
        <v>10</v>
      </c>
      <c r="Z17" s="63" t="s">
        <v>10</v>
      </c>
      <c r="AA17" s="63" t="s">
        <v>10</v>
      </c>
      <c r="AB17" s="63" t="s">
        <v>10</v>
      </c>
      <c r="AC17" s="63" t="s">
        <v>10</v>
      </c>
      <c r="AD17" s="63" t="s">
        <v>10</v>
      </c>
    </row>
    <row r="18" spans="1:30" s="64" customFormat="1" ht="6.75" customHeight="1" x14ac:dyDescent="0.2">
      <c r="A18" s="33">
        <v>18</v>
      </c>
      <c r="B18" s="79" t="s">
        <v>146</v>
      </c>
      <c r="C18" s="80" t="s">
        <v>223</v>
      </c>
      <c r="D18" s="80" t="s">
        <v>225</v>
      </c>
      <c r="E18" s="80" t="s">
        <v>265</v>
      </c>
      <c r="F18" s="80" t="s">
        <v>266</v>
      </c>
      <c r="G18" s="57" t="s">
        <v>10</v>
      </c>
      <c r="H18" s="57" t="s">
        <v>10</v>
      </c>
      <c r="I18" s="57" t="s">
        <v>10</v>
      </c>
      <c r="J18" s="57" t="s">
        <v>10</v>
      </c>
      <c r="K18" s="57" t="s">
        <v>10</v>
      </c>
      <c r="L18" s="35" t="str">
        <f t="shared" si="40"/>
        <v>De API</v>
      </c>
      <c r="M18" s="35" t="str">
        <f t="shared" si="40"/>
        <v>Macros</v>
      </c>
      <c r="N18" s="35" t="str">
        <f t="shared" si="40"/>
        <v>Códigos Visuais</v>
      </c>
      <c r="O18" s="35" t="str">
        <f t="shared" si="40"/>
        <v>Bloco de Código</v>
      </c>
      <c r="P18" s="36" t="s">
        <v>267</v>
      </c>
      <c r="Q18" s="36" t="s">
        <v>268</v>
      </c>
      <c r="R18" s="36" t="s">
        <v>269</v>
      </c>
      <c r="S18" s="36" t="s">
        <v>10</v>
      </c>
      <c r="T18" s="36" t="str">
        <f t="shared" si="37"/>
        <v>De API</v>
      </c>
      <c r="U18" s="36" t="str">
        <f t="shared" si="37"/>
        <v>Macros</v>
      </c>
      <c r="V18" s="37" t="str">
        <f t="shared" si="37"/>
        <v>Códigos Visuais</v>
      </c>
      <c r="W18" s="36" t="s">
        <v>142</v>
      </c>
      <c r="X18" s="51" t="str">
        <f t="shared" si="25"/>
        <v>Key-AGEN-18</v>
      </c>
      <c r="Y18" s="63" t="s">
        <v>10</v>
      </c>
      <c r="Z18" s="63" t="s">
        <v>10</v>
      </c>
      <c r="AA18" s="63" t="s">
        <v>10</v>
      </c>
      <c r="AB18" s="63" t="s">
        <v>10</v>
      </c>
      <c r="AC18" s="63" t="s">
        <v>10</v>
      </c>
      <c r="AD18" s="63" t="s">
        <v>10</v>
      </c>
    </row>
  </sheetData>
  <phoneticPr fontId="1" type="noConversion"/>
  <conditionalFormatting sqref="A2:B18">
    <cfRule type="cellIs" dxfId="18" priority="1" operator="equal">
      <formula>"null"</formula>
    </cfRule>
  </conditionalFormatting>
  <conditionalFormatting sqref="E18:F18">
    <cfRule type="duplicateValues" dxfId="17" priority="2"/>
  </conditionalFormatting>
  <conditionalFormatting sqref="F1:F13 F19:F1048576">
    <cfRule type="duplicateValues" dxfId="16" priority="11"/>
  </conditionalFormatting>
  <conditionalFormatting sqref="F2:F6 L3:O6 AE3:XFD6">
    <cfRule type="cellIs" dxfId="15" priority="85" operator="equal">
      <formula>"null"</formula>
    </cfRule>
  </conditionalFormatting>
  <conditionalFormatting sqref="F2:F6">
    <cfRule type="duplicateValues" dxfId="14" priority="640"/>
    <cfRule type="duplicateValues" dxfId="13" priority="672"/>
    <cfRule type="duplicateValues" dxfId="12" priority="673"/>
    <cfRule type="duplicateValues" dxfId="11" priority="674"/>
    <cfRule type="duplicateValues" dxfId="10" priority="675"/>
    <cfRule type="duplicateValues" dxfId="9" priority="676"/>
    <cfRule type="duplicateValues" dxfId="8" priority="682"/>
  </conditionalFormatting>
  <conditionalFormatting sqref="F7:F13">
    <cfRule type="duplicateValues" dxfId="7" priority="13"/>
  </conditionalFormatting>
  <conditionalFormatting sqref="F14:F17">
    <cfRule type="duplicateValues" dxfId="6" priority="3"/>
  </conditionalFormatting>
  <conditionalFormatting sqref="F19:F1048576 F1:F6">
    <cfRule type="duplicateValues" dxfId="5" priority="28"/>
  </conditionalFormatting>
  <conditionalFormatting sqref="R1:R13">
    <cfRule type="cellIs" dxfId="4" priority="4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O15"/>
  <sheetViews>
    <sheetView zoomScale="205" zoomScaleNormal="205" workbookViewId="0">
      <pane ySplit="1" topLeftCell="A2" activePane="bottomLeft" state="frozen"/>
      <selection pane="bottomLeft" activeCell="I14" sqref="I14"/>
    </sheetView>
  </sheetViews>
  <sheetFormatPr defaultColWidth="4.85546875" defaultRowHeight="7.35" customHeight="1" x14ac:dyDescent="0.25"/>
  <cols>
    <col min="1" max="1" width="2.5703125" style="49" bestFit="1" customWidth="1"/>
    <col min="2" max="2" width="8.42578125" style="41" bestFit="1" customWidth="1"/>
    <col min="3" max="3" width="5.85546875" style="39" bestFit="1" customWidth="1"/>
    <col min="4" max="4" width="6.85546875" style="39" customWidth="1"/>
    <col min="5" max="5" width="6.42578125" style="39" bestFit="1" customWidth="1"/>
    <col min="6" max="6" width="5" style="39" customWidth="1"/>
    <col min="7" max="7" width="5.85546875" style="39" customWidth="1"/>
    <col min="8" max="8" width="3.42578125" style="39" customWidth="1"/>
    <col min="9" max="9" width="8.7109375" style="39" customWidth="1"/>
    <col min="10" max="10" width="6.5703125" style="39" bestFit="1" customWidth="1"/>
    <col min="11" max="11" width="10" style="39" customWidth="1"/>
    <col min="12" max="12" width="9.42578125" style="39" customWidth="1"/>
    <col min="13" max="13" width="11.140625" style="39" bestFit="1" customWidth="1"/>
    <col min="14" max="14" width="8.140625" style="39" customWidth="1"/>
    <col min="15" max="15" width="13.7109375" style="39" customWidth="1"/>
    <col min="16" max="16" width="4.28515625" style="39" bestFit="1" customWidth="1"/>
    <col min="17" max="17" width="9.42578125" style="39" customWidth="1"/>
    <col min="18" max="18" width="6.5703125" style="39" bestFit="1" customWidth="1"/>
    <col min="19" max="19" width="4" style="39" bestFit="1" customWidth="1"/>
    <col min="20" max="20" width="5.28515625" style="39" bestFit="1" customWidth="1"/>
    <col min="21" max="21" width="11.7109375" style="39" customWidth="1"/>
    <col min="22" max="22" width="6.140625" style="39" customWidth="1"/>
    <col min="23" max="23" width="8.5703125" style="39" customWidth="1"/>
    <col min="24" max="24" width="6" style="39" bestFit="1" customWidth="1"/>
    <col min="25" max="25" width="48.42578125" style="39" customWidth="1"/>
    <col min="26" max="26" width="7.42578125" style="53" customWidth="1"/>
    <col min="27" max="27" width="39.7109375" style="53" customWidth="1"/>
    <col min="28" max="28" width="5.7109375" style="53" bestFit="1" customWidth="1"/>
    <col min="29" max="29" width="15" style="53" customWidth="1"/>
    <col min="30" max="30" width="7.28515625" style="39" bestFit="1" customWidth="1"/>
    <col min="31" max="31" width="7.7109375" style="39" customWidth="1"/>
    <col min="32" max="32" width="4.28515625" style="39" bestFit="1" customWidth="1"/>
    <col min="33" max="33" width="4.7109375" style="39" bestFit="1" customWidth="1"/>
    <col min="34" max="34" width="4.28515625" style="39" bestFit="1" customWidth="1"/>
    <col min="35" max="35" width="4.7109375" style="39" bestFit="1" customWidth="1"/>
    <col min="36" max="36" width="4.28515625" style="39" bestFit="1" customWidth="1"/>
    <col min="37" max="37" width="4.7109375" style="39" bestFit="1" customWidth="1"/>
    <col min="38" max="38" width="4.28515625" style="39" bestFit="1" customWidth="1"/>
    <col min="39" max="39" width="4.7109375" style="39" bestFit="1" customWidth="1"/>
    <col min="40" max="40" width="4.28515625" style="39" bestFit="1" customWidth="1"/>
    <col min="41" max="41" width="4.7109375" style="39" bestFit="1" customWidth="1"/>
    <col min="42" max="16384" width="4.85546875" style="39"/>
  </cols>
  <sheetData>
    <row r="1" spans="1:41" ht="20.65" customHeight="1" x14ac:dyDescent="0.25">
      <c r="A1" s="47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2"/>
      <c r="G1" s="22"/>
      <c r="H1" s="24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  <c r="R1" s="22" t="s">
        <v>75</v>
      </c>
      <c r="S1" s="22" t="s">
        <v>78</v>
      </c>
      <c r="T1" s="22" t="s">
        <v>75</v>
      </c>
      <c r="U1" s="22" t="s">
        <v>78</v>
      </c>
      <c r="V1" s="22" t="s">
        <v>75</v>
      </c>
      <c r="W1" s="22" t="s">
        <v>78</v>
      </c>
      <c r="X1" s="22" t="s">
        <v>75</v>
      </c>
      <c r="Y1" s="22" t="s">
        <v>78</v>
      </c>
      <c r="Z1" s="60" t="s">
        <v>75</v>
      </c>
      <c r="AA1" s="72" t="s">
        <v>156</v>
      </c>
      <c r="AB1" s="60" t="s">
        <v>75</v>
      </c>
      <c r="AC1" s="72" t="s">
        <v>156</v>
      </c>
      <c r="AD1" s="22" t="s">
        <v>75</v>
      </c>
      <c r="AE1" s="77" t="s">
        <v>156</v>
      </c>
      <c r="AF1" s="60" t="s">
        <v>75</v>
      </c>
      <c r="AG1" s="59" t="s">
        <v>156</v>
      </c>
      <c r="AH1" s="60" t="s">
        <v>75</v>
      </c>
      <c r="AI1" s="59" t="s">
        <v>156</v>
      </c>
      <c r="AJ1" s="60" t="s">
        <v>75</v>
      </c>
      <c r="AK1" s="59" t="s">
        <v>156</v>
      </c>
      <c r="AL1" s="60" t="s">
        <v>75</v>
      </c>
      <c r="AM1" s="59" t="s">
        <v>156</v>
      </c>
      <c r="AN1" s="60" t="s">
        <v>75</v>
      </c>
      <c r="AO1" s="59" t="s">
        <v>156</v>
      </c>
    </row>
    <row r="2" spans="1:41" ht="7.35" customHeight="1" x14ac:dyDescent="0.25">
      <c r="A2" s="48">
        <v>2</v>
      </c>
      <c r="B2" s="40" t="s">
        <v>149</v>
      </c>
      <c r="C2" s="34" t="s">
        <v>146</v>
      </c>
      <c r="D2" s="38" t="s">
        <v>10</v>
      </c>
      <c r="E2" s="78" t="s">
        <v>10</v>
      </c>
      <c r="F2" s="29" t="s">
        <v>10</v>
      </c>
      <c r="G2" s="23" t="s">
        <v>10</v>
      </c>
      <c r="H2" s="29" t="s">
        <v>77</v>
      </c>
      <c r="I2" s="23" t="s">
        <v>150</v>
      </c>
      <c r="J2" s="29" t="s">
        <v>141</v>
      </c>
      <c r="K2" s="23" t="s">
        <v>151</v>
      </c>
      <c r="L2" s="29" t="s">
        <v>153</v>
      </c>
      <c r="M2" s="23" t="s">
        <v>154</v>
      </c>
      <c r="N2" s="29" t="s">
        <v>10</v>
      </c>
      <c r="O2" s="23" t="s">
        <v>10</v>
      </c>
      <c r="P2" s="29" t="s">
        <v>110</v>
      </c>
      <c r="Q2" s="23" t="s">
        <v>163</v>
      </c>
      <c r="R2" s="29" t="s">
        <v>10</v>
      </c>
      <c r="S2" s="23" t="s">
        <v>10</v>
      </c>
      <c r="T2" s="29" t="s">
        <v>10</v>
      </c>
      <c r="U2" s="23" t="s">
        <v>10</v>
      </c>
      <c r="V2" s="29" t="s">
        <v>10</v>
      </c>
      <c r="W2" s="23" t="s">
        <v>10</v>
      </c>
      <c r="X2" s="29" t="s">
        <v>76</v>
      </c>
      <c r="Y2" s="23" t="s">
        <v>152</v>
      </c>
      <c r="Z2" s="61" t="s">
        <v>157</v>
      </c>
      <c r="AA2" s="73" t="s">
        <v>158</v>
      </c>
      <c r="AB2" s="61" t="s">
        <v>159</v>
      </c>
      <c r="AC2" s="74" t="s">
        <v>160</v>
      </c>
      <c r="AD2" s="62" t="s">
        <v>161</v>
      </c>
      <c r="AE2" s="23" t="s">
        <v>162</v>
      </c>
      <c r="AF2" s="65" t="s">
        <v>10</v>
      </c>
      <c r="AG2" s="66" t="s">
        <v>10</v>
      </c>
      <c r="AH2" s="65" t="s">
        <v>10</v>
      </c>
      <c r="AI2" s="66" t="s">
        <v>10</v>
      </c>
      <c r="AJ2" s="65" t="s">
        <v>10</v>
      </c>
      <c r="AK2" s="66" t="s">
        <v>10</v>
      </c>
      <c r="AL2" s="65" t="s">
        <v>10</v>
      </c>
      <c r="AM2" s="66" t="s">
        <v>10</v>
      </c>
      <c r="AN2" s="65" t="s">
        <v>10</v>
      </c>
      <c r="AO2" s="66" t="s">
        <v>10</v>
      </c>
    </row>
    <row r="3" spans="1:41" ht="7.35" customHeight="1" x14ac:dyDescent="0.25">
      <c r="A3" s="48">
        <v>3</v>
      </c>
      <c r="B3" s="40" t="s">
        <v>179</v>
      </c>
      <c r="C3" s="34" t="s">
        <v>170</v>
      </c>
      <c r="D3" s="38" t="s">
        <v>103</v>
      </c>
      <c r="E3" s="78" t="s">
        <v>149</v>
      </c>
      <c r="F3" s="55" t="s">
        <v>144</v>
      </c>
      <c r="G3" s="56" t="s">
        <v>145</v>
      </c>
      <c r="H3" s="29" t="s">
        <v>77</v>
      </c>
      <c r="I3" s="23" t="s">
        <v>180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10</v>
      </c>
      <c r="S3" s="23" t="s">
        <v>10</v>
      </c>
      <c r="T3" s="29" t="s">
        <v>10</v>
      </c>
      <c r="U3" s="23" t="s">
        <v>10</v>
      </c>
      <c r="V3" s="29" t="s">
        <v>10</v>
      </c>
      <c r="W3" s="23" t="s">
        <v>10</v>
      </c>
      <c r="X3" s="29" t="s">
        <v>76</v>
      </c>
      <c r="Y3" s="23" t="s">
        <v>181</v>
      </c>
      <c r="Z3" s="61" t="s">
        <v>10</v>
      </c>
      <c r="AA3" s="75" t="s">
        <v>10</v>
      </c>
      <c r="AB3" s="61" t="s">
        <v>10</v>
      </c>
      <c r="AC3" s="75" t="s">
        <v>10</v>
      </c>
      <c r="AD3" s="62" t="s">
        <v>161</v>
      </c>
      <c r="AE3" s="23" t="s">
        <v>185</v>
      </c>
      <c r="AF3" s="65" t="s">
        <v>10</v>
      </c>
      <c r="AG3" s="66" t="s">
        <v>10</v>
      </c>
      <c r="AH3" s="65" t="s">
        <v>10</v>
      </c>
      <c r="AI3" s="66" t="s">
        <v>10</v>
      </c>
      <c r="AJ3" s="65" t="s">
        <v>10</v>
      </c>
      <c r="AK3" s="66" t="s">
        <v>10</v>
      </c>
      <c r="AL3" s="65" t="s">
        <v>10</v>
      </c>
      <c r="AM3" s="66" t="s">
        <v>10</v>
      </c>
      <c r="AN3" s="65" t="s">
        <v>10</v>
      </c>
      <c r="AO3" s="66" t="s">
        <v>10</v>
      </c>
    </row>
    <row r="4" spans="1:41" ht="7.35" customHeight="1" x14ac:dyDescent="0.25">
      <c r="A4" s="48">
        <v>4</v>
      </c>
      <c r="B4" s="40" t="s">
        <v>182</v>
      </c>
      <c r="C4" s="34" t="s">
        <v>188</v>
      </c>
      <c r="D4" s="38" t="s">
        <v>103</v>
      </c>
      <c r="E4" s="78" t="s">
        <v>149</v>
      </c>
      <c r="F4" s="55" t="s">
        <v>144</v>
      </c>
      <c r="G4" s="56" t="s">
        <v>145</v>
      </c>
      <c r="H4" s="29" t="s">
        <v>77</v>
      </c>
      <c r="I4" s="23" t="s">
        <v>183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10</v>
      </c>
      <c r="S4" s="23" t="s">
        <v>10</v>
      </c>
      <c r="T4" s="29" t="s">
        <v>10</v>
      </c>
      <c r="U4" s="23" t="s">
        <v>10</v>
      </c>
      <c r="V4" s="29" t="s">
        <v>10</v>
      </c>
      <c r="W4" s="23" t="s">
        <v>10</v>
      </c>
      <c r="X4" s="29" t="s">
        <v>76</v>
      </c>
      <c r="Y4" s="23" t="s">
        <v>184</v>
      </c>
      <c r="Z4" s="61" t="s">
        <v>10</v>
      </c>
      <c r="AA4" s="75" t="s">
        <v>10</v>
      </c>
      <c r="AB4" s="61" t="s">
        <v>10</v>
      </c>
      <c r="AC4" s="75" t="s">
        <v>10</v>
      </c>
      <c r="AD4" s="62" t="s">
        <v>161</v>
      </c>
      <c r="AE4" s="23" t="s">
        <v>186</v>
      </c>
      <c r="AF4" s="65" t="s">
        <v>10</v>
      </c>
      <c r="AG4" s="66" t="s">
        <v>10</v>
      </c>
      <c r="AH4" s="65" t="s">
        <v>10</v>
      </c>
      <c r="AI4" s="66" t="s">
        <v>10</v>
      </c>
      <c r="AJ4" s="65" t="s">
        <v>10</v>
      </c>
      <c r="AK4" s="66" t="s">
        <v>10</v>
      </c>
      <c r="AL4" s="65" t="s">
        <v>10</v>
      </c>
      <c r="AM4" s="66" t="s">
        <v>10</v>
      </c>
      <c r="AN4" s="65" t="s">
        <v>10</v>
      </c>
      <c r="AO4" s="66" t="s">
        <v>10</v>
      </c>
    </row>
    <row r="5" spans="1:41" ht="7.35" customHeight="1" x14ac:dyDescent="0.25">
      <c r="A5" s="48">
        <v>5</v>
      </c>
      <c r="B5" s="40" t="s">
        <v>96</v>
      </c>
      <c r="C5" s="34" t="s">
        <v>171</v>
      </c>
      <c r="D5" s="38" t="s">
        <v>103</v>
      </c>
      <c r="E5" s="78" t="s">
        <v>149</v>
      </c>
      <c r="F5" s="55" t="s">
        <v>144</v>
      </c>
      <c r="G5" s="56" t="s">
        <v>145</v>
      </c>
      <c r="H5" s="29" t="s">
        <v>77</v>
      </c>
      <c r="I5" s="23" t="s">
        <v>104</v>
      </c>
      <c r="J5" s="29" t="s">
        <v>141</v>
      </c>
      <c r="K5" s="23" t="s">
        <v>109</v>
      </c>
      <c r="L5" s="29" t="s">
        <v>139</v>
      </c>
      <c r="M5" s="23" t="s">
        <v>119</v>
      </c>
      <c r="N5" s="29" t="s">
        <v>140</v>
      </c>
      <c r="O5" s="23" t="s">
        <v>130</v>
      </c>
      <c r="P5" s="29" t="s">
        <v>110</v>
      </c>
      <c r="Q5" s="23" t="s">
        <v>117</v>
      </c>
      <c r="R5" s="29" t="s">
        <v>10</v>
      </c>
      <c r="S5" s="23" t="s">
        <v>10</v>
      </c>
      <c r="T5" s="29" t="s">
        <v>10</v>
      </c>
      <c r="U5" s="23" t="s">
        <v>10</v>
      </c>
      <c r="V5" s="29" t="s">
        <v>10</v>
      </c>
      <c r="W5" s="23" t="s">
        <v>10</v>
      </c>
      <c r="X5" s="29" t="s">
        <v>76</v>
      </c>
      <c r="Y5" s="23" t="s">
        <v>121</v>
      </c>
      <c r="Z5" s="61" t="s">
        <v>10</v>
      </c>
      <c r="AA5" s="75" t="s">
        <v>10</v>
      </c>
      <c r="AB5" s="61" t="s">
        <v>10</v>
      </c>
      <c r="AC5" s="75" t="s">
        <v>10</v>
      </c>
      <c r="AD5" s="62" t="s">
        <v>10</v>
      </c>
      <c r="AE5" s="23" t="s">
        <v>10</v>
      </c>
      <c r="AF5" s="65" t="s">
        <v>10</v>
      </c>
      <c r="AG5" s="66" t="s">
        <v>10</v>
      </c>
      <c r="AH5" s="65" t="s">
        <v>10</v>
      </c>
      <c r="AI5" s="66" t="s">
        <v>10</v>
      </c>
      <c r="AJ5" s="65" t="s">
        <v>10</v>
      </c>
      <c r="AK5" s="66" t="s">
        <v>10</v>
      </c>
      <c r="AL5" s="65" t="s">
        <v>10</v>
      </c>
      <c r="AM5" s="66" t="s">
        <v>10</v>
      </c>
      <c r="AN5" s="65" t="s">
        <v>10</v>
      </c>
      <c r="AO5" s="66" t="s">
        <v>10</v>
      </c>
    </row>
    <row r="6" spans="1:41" ht="7.35" customHeight="1" x14ac:dyDescent="0.25">
      <c r="A6" s="48">
        <v>6</v>
      </c>
      <c r="B6" s="40" t="s">
        <v>97</v>
      </c>
      <c r="C6" s="34" t="s">
        <v>171</v>
      </c>
      <c r="D6" s="38" t="s">
        <v>103</v>
      </c>
      <c r="E6" s="78" t="s">
        <v>149</v>
      </c>
      <c r="F6" s="55" t="s">
        <v>144</v>
      </c>
      <c r="G6" s="56" t="s">
        <v>145</v>
      </c>
      <c r="H6" s="29" t="s">
        <v>77</v>
      </c>
      <c r="I6" s="23" t="s">
        <v>104</v>
      </c>
      <c r="J6" s="29" t="s">
        <v>141</v>
      </c>
      <c r="K6" s="23" t="s">
        <v>109</v>
      </c>
      <c r="L6" s="29" t="s">
        <v>139</v>
      </c>
      <c r="M6" s="23" t="s">
        <v>120</v>
      </c>
      <c r="N6" s="29" t="s">
        <v>140</v>
      </c>
      <c r="O6" s="23" t="s">
        <v>131</v>
      </c>
      <c r="P6" s="29" t="s">
        <v>110</v>
      </c>
      <c r="Q6" s="23" t="s">
        <v>117</v>
      </c>
      <c r="R6" s="29" t="s">
        <v>10</v>
      </c>
      <c r="S6" s="23" t="s">
        <v>10</v>
      </c>
      <c r="T6" s="29" t="s">
        <v>10</v>
      </c>
      <c r="U6" s="23" t="s">
        <v>10</v>
      </c>
      <c r="V6" s="29" t="s">
        <v>10</v>
      </c>
      <c r="W6" s="23" t="s">
        <v>10</v>
      </c>
      <c r="X6" s="29" t="s">
        <v>76</v>
      </c>
      <c r="Y6" s="23" t="s">
        <v>122</v>
      </c>
      <c r="Z6" s="61" t="s">
        <v>10</v>
      </c>
      <c r="AA6" s="75" t="s">
        <v>10</v>
      </c>
      <c r="AB6" s="61" t="s">
        <v>10</v>
      </c>
      <c r="AC6" s="75" t="s">
        <v>10</v>
      </c>
      <c r="AD6" s="62" t="s">
        <v>10</v>
      </c>
      <c r="AE6" s="23" t="s">
        <v>10</v>
      </c>
      <c r="AF6" s="65" t="s">
        <v>10</v>
      </c>
      <c r="AG6" s="66" t="s">
        <v>10</v>
      </c>
      <c r="AH6" s="65" t="s">
        <v>10</v>
      </c>
      <c r="AI6" s="66" t="s">
        <v>10</v>
      </c>
      <c r="AJ6" s="65" t="s">
        <v>10</v>
      </c>
      <c r="AK6" s="66" t="s">
        <v>10</v>
      </c>
      <c r="AL6" s="65" t="s">
        <v>10</v>
      </c>
      <c r="AM6" s="66" t="s">
        <v>10</v>
      </c>
      <c r="AN6" s="65" t="s">
        <v>10</v>
      </c>
      <c r="AO6" s="66" t="s">
        <v>10</v>
      </c>
    </row>
    <row r="7" spans="1:41" ht="7.35" customHeight="1" x14ac:dyDescent="0.25">
      <c r="A7" s="48">
        <v>7</v>
      </c>
      <c r="B7" s="40" t="s">
        <v>98</v>
      </c>
      <c r="C7" s="34" t="s">
        <v>171</v>
      </c>
      <c r="D7" s="38" t="s">
        <v>103</v>
      </c>
      <c r="E7" s="78" t="s">
        <v>149</v>
      </c>
      <c r="F7" s="55" t="s">
        <v>144</v>
      </c>
      <c r="G7" s="56" t="s">
        <v>145</v>
      </c>
      <c r="H7" s="29" t="s">
        <v>77</v>
      </c>
      <c r="I7" s="23" t="s">
        <v>104</v>
      </c>
      <c r="J7" s="29" t="s">
        <v>141</v>
      </c>
      <c r="K7" s="23" t="s">
        <v>109</v>
      </c>
      <c r="L7" s="29" t="s">
        <v>139</v>
      </c>
      <c r="M7" s="23" t="s">
        <v>118</v>
      </c>
      <c r="N7" s="29" t="s">
        <v>140</v>
      </c>
      <c r="O7" s="23" t="s">
        <v>132</v>
      </c>
      <c r="P7" s="29" t="s">
        <v>110</v>
      </c>
      <c r="Q7" s="23" t="s">
        <v>117</v>
      </c>
      <c r="R7" s="29" t="s">
        <v>10</v>
      </c>
      <c r="S7" s="23" t="s">
        <v>10</v>
      </c>
      <c r="T7" s="29" t="s">
        <v>10</v>
      </c>
      <c r="U7" s="23" t="s">
        <v>10</v>
      </c>
      <c r="V7" s="29" t="s">
        <v>10</v>
      </c>
      <c r="W7" s="23" t="s">
        <v>10</v>
      </c>
      <c r="X7" s="29" t="s">
        <v>76</v>
      </c>
      <c r="Y7" s="23" t="s">
        <v>123</v>
      </c>
      <c r="Z7" s="61" t="s">
        <v>10</v>
      </c>
      <c r="AA7" s="75" t="s">
        <v>10</v>
      </c>
      <c r="AB7" s="61" t="s">
        <v>10</v>
      </c>
      <c r="AC7" s="75" t="s">
        <v>10</v>
      </c>
      <c r="AD7" s="62" t="s">
        <v>10</v>
      </c>
      <c r="AE7" s="23" t="s">
        <v>10</v>
      </c>
      <c r="AF7" s="65" t="s">
        <v>10</v>
      </c>
      <c r="AG7" s="66" t="s">
        <v>10</v>
      </c>
      <c r="AH7" s="65" t="s">
        <v>10</v>
      </c>
      <c r="AI7" s="66" t="s">
        <v>10</v>
      </c>
      <c r="AJ7" s="65" t="s">
        <v>10</v>
      </c>
      <c r="AK7" s="66" t="s">
        <v>10</v>
      </c>
      <c r="AL7" s="65" t="s">
        <v>10</v>
      </c>
      <c r="AM7" s="66" t="s">
        <v>10</v>
      </c>
      <c r="AN7" s="65" t="s">
        <v>10</v>
      </c>
      <c r="AO7" s="66" t="s">
        <v>10</v>
      </c>
    </row>
    <row r="8" spans="1:41" ht="7.35" customHeight="1" x14ac:dyDescent="0.25">
      <c r="A8" s="48">
        <v>8</v>
      </c>
      <c r="B8" s="40" t="s">
        <v>112</v>
      </c>
      <c r="C8" s="34" t="s">
        <v>171</v>
      </c>
      <c r="D8" s="38" t="s">
        <v>103</v>
      </c>
      <c r="E8" s="78" t="s">
        <v>149</v>
      </c>
      <c r="F8" s="55" t="s">
        <v>144</v>
      </c>
      <c r="G8" s="56" t="s">
        <v>145</v>
      </c>
      <c r="H8" s="29" t="s">
        <v>77</v>
      </c>
      <c r="I8" s="23" t="s">
        <v>105</v>
      </c>
      <c r="J8" s="29" t="s">
        <v>141</v>
      </c>
      <c r="K8" s="23" t="s">
        <v>107</v>
      </c>
      <c r="L8" s="29" t="s">
        <v>139</v>
      </c>
      <c r="M8" s="23" t="s">
        <v>125</v>
      </c>
      <c r="N8" s="29" t="s">
        <v>140</v>
      </c>
      <c r="O8" s="23" t="s">
        <v>133</v>
      </c>
      <c r="P8" s="29" t="s">
        <v>110</v>
      </c>
      <c r="Q8" s="23" t="s">
        <v>116</v>
      </c>
      <c r="R8" s="29" t="s">
        <v>10</v>
      </c>
      <c r="S8" s="23" t="s">
        <v>10</v>
      </c>
      <c r="T8" s="29" t="s">
        <v>10</v>
      </c>
      <c r="U8" s="23" t="s">
        <v>10</v>
      </c>
      <c r="V8" s="29" t="s">
        <v>10</v>
      </c>
      <c r="W8" s="23" t="s">
        <v>10</v>
      </c>
      <c r="X8" s="29" t="s">
        <v>76</v>
      </c>
      <c r="Y8" s="23" t="s">
        <v>126</v>
      </c>
      <c r="Z8" s="61" t="s">
        <v>10</v>
      </c>
      <c r="AA8" s="75" t="s">
        <v>10</v>
      </c>
      <c r="AB8" s="61" t="s">
        <v>10</v>
      </c>
      <c r="AC8" s="75" t="s">
        <v>10</v>
      </c>
      <c r="AD8" s="62" t="s">
        <v>10</v>
      </c>
      <c r="AE8" s="23" t="s">
        <v>10</v>
      </c>
      <c r="AF8" s="65" t="s">
        <v>10</v>
      </c>
      <c r="AG8" s="66" t="s">
        <v>10</v>
      </c>
      <c r="AH8" s="65" t="s">
        <v>10</v>
      </c>
      <c r="AI8" s="66" t="s">
        <v>10</v>
      </c>
      <c r="AJ8" s="65" t="s">
        <v>10</v>
      </c>
      <c r="AK8" s="66" t="s">
        <v>10</v>
      </c>
      <c r="AL8" s="65" t="s">
        <v>10</v>
      </c>
      <c r="AM8" s="66" t="s">
        <v>10</v>
      </c>
      <c r="AN8" s="65" t="s">
        <v>10</v>
      </c>
      <c r="AO8" s="66" t="s">
        <v>10</v>
      </c>
    </row>
    <row r="9" spans="1:41" ht="7.35" customHeight="1" x14ac:dyDescent="0.25">
      <c r="A9" s="48">
        <v>9</v>
      </c>
      <c r="B9" s="40" t="s">
        <v>137</v>
      </c>
      <c r="C9" s="34" t="s">
        <v>171</v>
      </c>
      <c r="D9" s="38" t="s">
        <v>103</v>
      </c>
      <c r="E9" s="78" t="s">
        <v>149</v>
      </c>
      <c r="F9" s="55" t="s">
        <v>144</v>
      </c>
      <c r="G9" s="56" t="s">
        <v>145</v>
      </c>
      <c r="H9" s="29" t="s">
        <v>77</v>
      </c>
      <c r="I9" s="23" t="s">
        <v>106</v>
      </c>
      <c r="J9" s="29" t="s">
        <v>141</v>
      </c>
      <c r="K9" s="23" t="s">
        <v>108</v>
      </c>
      <c r="L9" s="29" t="s">
        <v>139</v>
      </c>
      <c r="M9" s="23" t="s">
        <v>124</v>
      </c>
      <c r="N9" s="29" t="s">
        <v>140</v>
      </c>
      <c r="O9" s="23" t="s">
        <v>133</v>
      </c>
      <c r="P9" s="29" t="s">
        <v>110</v>
      </c>
      <c r="Q9" s="23" t="s">
        <v>111</v>
      </c>
      <c r="R9" s="29" t="s">
        <v>10</v>
      </c>
      <c r="S9" s="23" t="s">
        <v>10</v>
      </c>
      <c r="T9" s="29" t="s">
        <v>10</v>
      </c>
      <c r="U9" s="23" t="s">
        <v>10</v>
      </c>
      <c r="V9" s="29" t="s">
        <v>10</v>
      </c>
      <c r="W9" s="23" t="s">
        <v>10</v>
      </c>
      <c r="X9" s="29" t="s">
        <v>76</v>
      </c>
      <c r="Y9" s="23" t="s">
        <v>127</v>
      </c>
      <c r="Z9" s="61" t="s">
        <v>10</v>
      </c>
      <c r="AA9" s="75" t="s">
        <v>10</v>
      </c>
      <c r="AB9" s="61" t="s">
        <v>10</v>
      </c>
      <c r="AC9" s="75" t="s">
        <v>10</v>
      </c>
      <c r="AD9" s="62" t="s">
        <v>10</v>
      </c>
      <c r="AE9" s="23" t="s">
        <v>10</v>
      </c>
      <c r="AF9" s="65" t="s">
        <v>10</v>
      </c>
      <c r="AG9" s="66" t="s">
        <v>10</v>
      </c>
      <c r="AH9" s="65" t="s">
        <v>10</v>
      </c>
      <c r="AI9" s="66" t="s">
        <v>10</v>
      </c>
      <c r="AJ9" s="65" t="s">
        <v>10</v>
      </c>
      <c r="AK9" s="66" t="s">
        <v>10</v>
      </c>
      <c r="AL9" s="65" t="s">
        <v>10</v>
      </c>
      <c r="AM9" s="66" t="s">
        <v>10</v>
      </c>
      <c r="AN9" s="65" t="s">
        <v>10</v>
      </c>
      <c r="AO9" s="66" t="s">
        <v>10</v>
      </c>
    </row>
    <row r="10" spans="1:41" ht="7.35" customHeight="1" x14ac:dyDescent="0.25">
      <c r="A10" s="48">
        <v>10</v>
      </c>
      <c r="B10" s="40" t="s">
        <v>138</v>
      </c>
      <c r="C10" s="34" t="s">
        <v>171</v>
      </c>
      <c r="D10" s="38" t="s">
        <v>103</v>
      </c>
      <c r="E10" s="78" t="s">
        <v>149</v>
      </c>
      <c r="F10" s="55" t="s">
        <v>144</v>
      </c>
      <c r="G10" s="56" t="s">
        <v>145</v>
      </c>
      <c r="H10" s="29" t="s">
        <v>77</v>
      </c>
      <c r="I10" s="23" t="s">
        <v>113</v>
      </c>
      <c r="J10" s="29" t="s">
        <v>141</v>
      </c>
      <c r="K10" s="23" t="s">
        <v>115</v>
      </c>
      <c r="L10" s="29" t="s">
        <v>10</v>
      </c>
      <c r="M10" s="23" t="s">
        <v>10</v>
      </c>
      <c r="N10" s="29" t="s">
        <v>140</v>
      </c>
      <c r="O10" s="23" t="s">
        <v>155</v>
      </c>
      <c r="P10" s="29" t="s">
        <v>110</v>
      </c>
      <c r="Q10" s="23" t="s">
        <v>114</v>
      </c>
      <c r="R10" s="29" t="s">
        <v>10</v>
      </c>
      <c r="S10" s="23" t="s">
        <v>10</v>
      </c>
      <c r="T10" s="29" t="s">
        <v>10</v>
      </c>
      <c r="U10" s="23" t="s">
        <v>10</v>
      </c>
      <c r="V10" s="29" t="s">
        <v>10</v>
      </c>
      <c r="W10" s="23" t="s">
        <v>10</v>
      </c>
      <c r="X10" s="29" t="s">
        <v>76</v>
      </c>
      <c r="Y10" s="23" t="s">
        <v>136</v>
      </c>
      <c r="Z10" s="61" t="s">
        <v>10</v>
      </c>
      <c r="AA10" s="75" t="s">
        <v>10</v>
      </c>
      <c r="AB10" s="61" t="s">
        <v>10</v>
      </c>
      <c r="AC10" s="75" t="s">
        <v>10</v>
      </c>
      <c r="AD10" s="62" t="s">
        <v>10</v>
      </c>
      <c r="AE10" s="23" t="s">
        <v>10</v>
      </c>
      <c r="AF10" s="65" t="s">
        <v>10</v>
      </c>
      <c r="AG10" s="66" t="s">
        <v>10</v>
      </c>
      <c r="AH10" s="65" t="s">
        <v>10</v>
      </c>
      <c r="AI10" s="66" t="s">
        <v>10</v>
      </c>
      <c r="AJ10" s="65" t="s">
        <v>10</v>
      </c>
      <c r="AK10" s="66" t="s">
        <v>10</v>
      </c>
      <c r="AL10" s="65" t="s">
        <v>10</v>
      </c>
      <c r="AM10" s="66" t="s">
        <v>10</v>
      </c>
      <c r="AN10" s="65" t="s">
        <v>10</v>
      </c>
      <c r="AO10" s="66" t="s">
        <v>10</v>
      </c>
    </row>
    <row r="11" spans="1:41" s="70" customFormat="1" ht="6.75" customHeight="1" x14ac:dyDescent="0.2">
      <c r="A11" s="48">
        <v>11</v>
      </c>
      <c r="B11" s="71" t="s">
        <v>226</v>
      </c>
      <c r="C11" s="80" t="s">
        <v>261</v>
      </c>
      <c r="D11" s="65" t="s">
        <v>10</v>
      </c>
      <c r="E11" s="78" t="s">
        <v>10</v>
      </c>
      <c r="F11" s="29" t="s">
        <v>10</v>
      </c>
      <c r="G11" s="23" t="s">
        <v>10</v>
      </c>
      <c r="H11" s="29" t="s">
        <v>10</v>
      </c>
      <c r="I11" s="23" t="s">
        <v>10</v>
      </c>
      <c r="J11" s="29" t="s">
        <v>10</v>
      </c>
      <c r="K11" s="23" t="s">
        <v>10</v>
      </c>
      <c r="L11" s="29" t="s">
        <v>10</v>
      </c>
      <c r="M11" s="23" t="s">
        <v>10</v>
      </c>
      <c r="N11" s="29" t="s">
        <v>10</v>
      </c>
      <c r="O11" s="23" t="s">
        <v>10</v>
      </c>
      <c r="P11" s="29" t="s">
        <v>10</v>
      </c>
      <c r="Q11" s="23" t="s">
        <v>10</v>
      </c>
      <c r="R11" s="29" t="s">
        <v>227</v>
      </c>
      <c r="S11" s="23" t="s">
        <v>228</v>
      </c>
      <c r="T11" s="29" t="s">
        <v>229</v>
      </c>
      <c r="U11" s="23" t="s">
        <v>230</v>
      </c>
      <c r="V11" s="68" t="str">
        <f t="shared" ref="V11:V15" si="0">IF(W11="null", "null", "método.revit")</f>
        <v>método.revit</v>
      </c>
      <c r="W11" s="69" t="s">
        <v>232</v>
      </c>
      <c r="X11" s="67" t="s">
        <v>76</v>
      </c>
      <c r="Y11" s="23" t="s">
        <v>231</v>
      </c>
      <c r="Z11" s="76" t="s">
        <v>10</v>
      </c>
      <c r="AA11" s="75" t="s">
        <v>10</v>
      </c>
      <c r="AB11" s="76" t="s">
        <v>10</v>
      </c>
      <c r="AC11" s="75" t="s">
        <v>10</v>
      </c>
      <c r="AD11" s="62" t="s">
        <v>10</v>
      </c>
      <c r="AE11" s="23" t="s">
        <v>10</v>
      </c>
      <c r="AF11" s="65" t="s">
        <v>10</v>
      </c>
      <c r="AG11" s="66" t="s">
        <v>10</v>
      </c>
      <c r="AH11" s="65" t="s">
        <v>10</v>
      </c>
      <c r="AI11" s="66" t="s">
        <v>10</v>
      </c>
      <c r="AJ11" s="65" t="s">
        <v>10</v>
      </c>
      <c r="AK11" s="66" t="s">
        <v>10</v>
      </c>
      <c r="AL11" s="65" t="s">
        <v>10</v>
      </c>
      <c r="AM11" s="66" t="s">
        <v>10</v>
      </c>
      <c r="AN11" s="65" t="s">
        <v>10</v>
      </c>
      <c r="AO11" s="66" t="s">
        <v>10</v>
      </c>
    </row>
    <row r="12" spans="1:41" s="70" customFormat="1" ht="6.75" customHeight="1" x14ac:dyDescent="0.2">
      <c r="A12" s="48">
        <v>12</v>
      </c>
      <c r="B12" s="71" t="s">
        <v>233</v>
      </c>
      <c r="C12" s="80" t="s">
        <v>261</v>
      </c>
      <c r="D12" s="65" t="s">
        <v>10</v>
      </c>
      <c r="E12" s="78" t="s">
        <v>10</v>
      </c>
      <c r="F12" s="29" t="s">
        <v>10</v>
      </c>
      <c r="G12" s="23" t="s">
        <v>10</v>
      </c>
      <c r="H12" s="29" t="s">
        <v>10</v>
      </c>
      <c r="I12" s="23" t="s">
        <v>10</v>
      </c>
      <c r="J12" s="29" t="s">
        <v>10</v>
      </c>
      <c r="K12" s="23" t="s">
        <v>10</v>
      </c>
      <c r="L12" s="29" t="s">
        <v>10</v>
      </c>
      <c r="M12" s="23" t="s">
        <v>10</v>
      </c>
      <c r="N12" s="29" t="s">
        <v>10</v>
      </c>
      <c r="O12" s="23" t="s">
        <v>10</v>
      </c>
      <c r="P12" s="29" t="s">
        <v>10</v>
      </c>
      <c r="Q12" s="23" t="s">
        <v>10</v>
      </c>
      <c r="R12" s="29" t="s">
        <v>227</v>
      </c>
      <c r="S12" s="23" t="s">
        <v>228</v>
      </c>
      <c r="T12" s="29" t="s">
        <v>229</v>
      </c>
      <c r="U12" s="23" t="s">
        <v>234</v>
      </c>
      <c r="V12" s="68" t="str">
        <f t="shared" si="0"/>
        <v>método.revit</v>
      </c>
      <c r="W12" s="69" t="s">
        <v>236</v>
      </c>
      <c r="X12" s="67" t="s">
        <v>76</v>
      </c>
      <c r="Y12" s="23" t="s">
        <v>235</v>
      </c>
      <c r="Z12" s="76" t="s">
        <v>10</v>
      </c>
      <c r="AA12" s="75" t="s">
        <v>10</v>
      </c>
      <c r="AB12" s="76" t="s">
        <v>10</v>
      </c>
      <c r="AC12" s="75" t="s">
        <v>10</v>
      </c>
      <c r="AD12" s="62" t="s">
        <v>10</v>
      </c>
      <c r="AE12" s="23" t="s">
        <v>10</v>
      </c>
      <c r="AF12" s="65" t="s">
        <v>10</v>
      </c>
      <c r="AG12" s="66" t="s">
        <v>10</v>
      </c>
      <c r="AH12" s="65" t="s">
        <v>10</v>
      </c>
      <c r="AI12" s="66" t="s">
        <v>10</v>
      </c>
      <c r="AJ12" s="65" t="s">
        <v>10</v>
      </c>
      <c r="AK12" s="66" t="s">
        <v>10</v>
      </c>
      <c r="AL12" s="65" t="s">
        <v>10</v>
      </c>
      <c r="AM12" s="66" t="s">
        <v>10</v>
      </c>
      <c r="AN12" s="65" t="s">
        <v>10</v>
      </c>
      <c r="AO12" s="66" t="s">
        <v>10</v>
      </c>
    </row>
    <row r="13" spans="1:41" s="70" customFormat="1" ht="6.75" customHeight="1" x14ac:dyDescent="0.2">
      <c r="A13" s="48">
        <v>13</v>
      </c>
      <c r="B13" s="71" t="s">
        <v>237</v>
      </c>
      <c r="C13" s="80" t="s">
        <v>261</v>
      </c>
      <c r="D13" s="65" t="s">
        <v>10</v>
      </c>
      <c r="E13" s="78" t="s">
        <v>10</v>
      </c>
      <c r="F13" s="29" t="s">
        <v>10</v>
      </c>
      <c r="G13" s="23" t="s">
        <v>10</v>
      </c>
      <c r="H13" s="29" t="s">
        <v>10</v>
      </c>
      <c r="I13" s="23" t="s">
        <v>10</v>
      </c>
      <c r="J13" s="29" t="s">
        <v>10</v>
      </c>
      <c r="K13" s="23" t="s">
        <v>10</v>
      </c>
      <c r="L13" s="29" t="s">
        <v>10</v>
      </c>
      <c r="M13" s="23" t="s">
        <v>10</v>
      </c>
      <c r="N13" s="29" t="s">
        <v>10</v>
      </c>
      <c r="O13" s="23" t="s">
        <v>10</v>
      </c>
      <c r="P13" s="29" t="s">
        <v>10</v>
      </c>
      <c r="Q13" s="23" t="s">
        <v>10</v>
      </c>
      <c r="R13" s="29" t="s">
        <v>227</v>
      </c>
      <c r="S13" s="23" t="s">
        <v>228</v>
      </c>
      <c r="T13" s="29" t="s">
        <v>229</v>
      </c>
      <c r="U13" s="23" t="s">
        <v>238</v>
      </c>
      <c r="V13" s="68" t="str">
        <f t="shared" si="0"/>
        <v>método.revit</v>
      </c>
      <c r="W13" s="69" t="s">
        <v>240</v>
      </c>
      <c r="X13" s="67" t="s">
        <v>76</v>
      </c>
      <c r="Y13" s="23" t="s">
        <v>239</v>
      </c>
      <c r="Z13" s="76" t="s">
        <v>10</v>
      </c>
      <c r="AA13" s="75" t="s">
        <v>10</v>
      </c>
      <c r="AB13" s="76" t="s">
        <v>10</v>
      </c>
      <c r="AC13" s="75" t="s">
        <v>10</v>
      </c>
      <c r="AD13" s="62" t="s">
        <v>10</v>
      </c>
      <c r="AE13" s="23" t="s">
        <v>10</v>
      </c>
      <c r="AF13" s="65" t="s">
        <v>10</v>
      </c>
      <c r="AG13" s="66" t="s">
        <v>10</v>
      </c>
      <c r="AH13" s="65" t="s">
        <v>10</v>
      </c>
      <c r="AI13" s="66" t="s">
        <v>10</v>
      </c>
      <c r="AJ13" s="65" t="s">
        <v>10</v>
      </c>
      <c r="AK13" s="66" t="s">
        <v>10</v>
      </c>
      <c r="AL13" s="65" t="s">
        <v>10</v>
      </c>
      <c r="AM13" s="66" t="s">
        <v>10</v>
      </c>
      <c r="AN13" s="65" t="s">
        <v>10</v>
      </c>
      <c r="AO13" s="66" t="s">
        <v>10</v>
      </c>
    </row>
    <row r="14" spans="1:41" s="70" customFormat="1" ht="6.75" customHeight="1" x14ac:dyDescent="0.2">
      <c r="A14" s="48">
        <v>14</v>
      </c>
      <c r="B14" s="71" t="s">
        <v>241</v>
      </c>
      <c r="C14" s="80" t="s">
        <v>261</v>
      </c>
      <c r="D14" s="65" t="s">
        <v>10</v>
      </c>
      <c r="E14" s="78" t="s">
        <v>10</v>
      </c>
      <c r="F14" s="29" t="s">
        <v>10</v>
      </c>
      <c r="G14" s="23" t="s">
        <v>10</v>
      </c>
      <c r="H14" s="29" t="s">
        <v>10</v>
      </c>
      <c r="I14" s="23" t="s">
        <v>10</v>
      </c>
      <c r="J14" s="29" t="s">
        <v>10</v>
      </c>
      <c r="K14" s="23" t="s">
        <v>10</v>
      </c>
      <c r="L14" s="29" t="s">
        <v>10</v>
      </c>
      <c r="M14" s="23" t="s">
        <v>10</v>
      </c>
      <c r="N14" s="29" t="s">
        <v>10</v>
      </c>
      <c r="O14" s="23" t="s">
        <v>10</v>
      </c>
      <c r="P14" s="29" t="s">
        <v>10</v>
      </c>
      <c r="Q14" s="23" t="s">
        <v>10</v>
      </c>
      <c r="R14" s="29" t="s">
        <v>227</v>
      </c>
      <c r="S14" s="23" t="s">
        <v>228</v>
      </c>
      <c r="T14" s="29" t="s">
        <v>229</v>
      </c>
      <c r="U14" s="23" t="s">
        <v>242</v>
      </c>
      <c r="V14" s="68" t="str">
        <f t="shared" si="0"/>
        <v>método.revit</v>
      </c>
      <c r="W14" s="69" t="s">
        <v>244</v>
      </c>
      <c r="X14" s="67" t="s">
        <v>76</v>
      </c>
      <c r="Y14" s="23" t="s">
        <v>243</v>
      </c>
      <c r="Z14" s="76" t="s">
        <v>10</v>
      </c>
      <c r="AA14" s="75" t="s">
        <v>10</v>
      </c>
      <c r="AB14" s="76" t="s">
        <v>10</v>
      </c>
      <c r="AC14" s="75" t="s">
        <v>10</v>
      </c>
      <c r="AD14" s="62" t="s">
        <v>10</v>
      </c>
      <c r="AE14" s="23" t="s">
        <v>10</v>
      </c>
      <c r="AF14" s="65" t="s">
        <v>10</v>
      </c>
      <c r="AG14" s="66" t="s">
        <v>10</v>
      </c>
      <c r="AH14" s="65" t="s">
        <v>10</v>
      </c>
      <c r="AI14" s="66" t="s">
        <v>10</v>
      </c>
      <c r="AJ14" s="65" t="s">
        <v>10</v>
      </c>
      <c r="AK14" s="66" t="s">
        <v>10</v>
      </c>
      <c r="AL14" s="65" t="s">
        <v>10</v>
      </c>
      <c r="AM14" s="66" t="s">
        <v>10</v>
      </c>
      <c r="AN14" s="65" t="s">
        <v>10</v>
      </c>
      <c r="AO14" s="66" t="s">
        <v>10</v>
      </c>
    </row>
    <row r="15" spans="1:41" s="70" customFormat="1" ht="6.75" customHeight="1" x14ac:dyDescent="0.2">
      <c r="A15" s="48">
        <v>15</v>
      </c>
      <c r="B15" s="71" t="s">
        <v>245</v>
      </c>
      <c r="C15" s="80" t="s">
        <v>261</v>
      </c>
      <c r="D15" s="65" t="s">
        <v>10</v>
      </c>
      <c r="E15" s="78" t="s">
        <v>10</v>
      </c>
      <c r="F15" s="29" t="s">
        <v>10</v>
      </c>
      <c r="G15" s="23" t="s">
        <v>10</v>
      </c>
      <c r="H15" s="29" t="s">
        <v>10</v>
      </c>
      <c r="I15" s="23" t="s">
        <v>10</v>
      </c>
      <c r="J15" s="29" t="s">
        <v>10</v>
      </c>
      <c r="K15" s="23" t="s">
        <v>10</v>
      </c>
      <c r="L15" s="29" t="s">
        <v>10</v>
      </c>
      <c r="M15" s="23" t="s">
        <v>10</v>
      </c>
      <c r="N15" s="29" t="s">
        <v>10</v>
      </c>
      <c r="O15" s="23" t="s">
        <v>10</v>
      </c>
      <c r="P15" s="29" t="s">
        <v>10</v>
      </c>
      <c r="Q15" s="23" t="s">
        <v>10</v>
      </c>
      <c r="R15" s="29" t="s">
        <v>227</v>
      </c>
      <c r="S15" s="23" t="s">
        <v>228</v>
      </c>
      <c r="T15" s="29" t="s">
        <v>229</v>
      </c>
      <c r="U15" s="23" t="s">
        <v>246</v>
      </c>
      <c r="V15" s="68" t="str">
        <f t="shared" si="0"/>
        <v>método.revit</v>
      </c>
      <c r="W15" s="69" t="s">
        <v>248</v>
      </c>
      <c r="X15" s="67" t="s">
        <v>76</v>
      </c>
      <c r="Y15" s="23" t="s">
        <v>247</v>
      </c>
      <c r="Z15" s="76" t="s">
        <v>10</v>
      </c>
      <c r="AA15" s="75" t="s">
        <v>10</v>
      </c>
      <c r="AB15" s="76" t="s">
        <v>10</v>
      </c>
      <c r="AC15" s="75" t="s">
        <v>10</v>
      </c>
      <c r="AD15" s="62" t="s">
        <v>10</v>
      </c>
      <c r="AE15" s="23" t="s">
        <v>10</v>
      </c>
      <c r="AF15" s="65" t="s">
        <v>10</v>
      </c>
      <c r="AG15" s="66" t="s">
        <v>10</v>
      </c>
      <c r="AH15" s="65" t="s">
        <v>10</v>
      </c>
      <c r="AI15" s="66" t="s">
        <v>10</v>
      </c>
      <c r="AJ15" s="65" t="s">
        <v>10</v>
      </c>
      <c r="AK15" s="66" t="s">
        <v>10</v>
      </c>
      <c r="AL15" s="65" t="s">
        <v>10</v>
      </c>
      <c r="AM15" s="66" t="s">
        <v>10</v>
      </c>
      <c r="AN15" s="65" t="s">
        <v>10</v>
      </c>
      <c r="AO15" s="66" t="s">
        <v>10</v>
      </c>
    </row>
  </sheetData>
  <phoneticPr fontId="1" type="noConversion"/>
  <conditionalFormatting sqref="B11:B15">
    <cfRule type="duplicateValues" dxfId="2" priority="11"/>
    <cfRule type="duplicateValues" dxfId="1" priority="12"/>
  </conditionalFormatting>
  <conditionalFormatting sqref="Z1:AO15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2026-09-03T19:48:42Z</dcterms:modified>
  <dc:language>pt-BR</dc:language>
</cp:coreProperties>
</file>