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F:\Construtor_Onto\REQU\"/>
    </mc:Choice>
  </mc:AlternateContent>
  <xr:revisionPtr revIDLastSave="0" documentId="8_{FB6DDD2B-1BB0-45F1-942C-2CE9DE318F14}" xr6:coauthVersionLast="47" xr6:coauthVersionMax="47" xr10:uidLastSave="{00000000-0000-0000-0000-000000000000}"/>
  <bookViews>
    <workbookView xWindow="-120" yWindow="-120" windowWidth="24240" windowHeight="13290" tabRatio="577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1" l="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7" i="31"/>
  <c r="U7" i="31"/>
  <c r="T7" i="31"/>
  <c r="S7" i="31"/>
  <c r="O7" i="31"/>
  <c r="N7" i="31"/>
  <c r="M7" i="31"/>
  <c r="L7" i="31"/>
  <c r="W3" i="31"/>
  <c r="W4" i="31"/>
  <c r="W5" i="31"/>
  <c r="W6" i="31"/>
  <c r="W8" i="31"/>
  <c r="W9" i="31"/>
  <c r="W10" i="31"/>
  <c r="W11" i="31"/>
  <c r="W12" i="31"/>
  <c r="W2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AA17" i="31"/>
  <c r="Q17" i="31"/>
  <c r="AA16" i="31"/>
  <c r="Q16" i="31"/>
  <c r="AA15" i="31"/>
  <c r="Q15" i="31"/>
  <c r="AA14" i="31"/>
  <c r="Q14" i="31"/>
  <c r="AA13" i="31"/>
  <c r="Q13" i="31"/>
  <c r="AA7" i="31"/>
  <c r="Q7" i="31"/>
  <c r="Q3" i="31"/>
  <c r="Q4" i="31"/>
  <c r="Q5" i="31"/>
  <c r="Q6" i="31"/>
  <c r="Q12" i="31"/>
  <c r="Q8" i="31"/>
  <c r="Q9" i="31"/>
  <c r="Q10" i="31"/>
  <c r="Q11" i="31"/>
  <c r="Q2" i="31"/>
  <c r="AA12" i="31"/>
  <c r="AA11" i="31"/>
  <c r="AA10" i="31"/>
  <c r="AA9" i="31"/>
  <c r="AA8" i="31"/>
  <c r="B25" i="26"/>
  <c r="AA3" i="31"/>
  <c r="AA5" i="31"/>
  <c r="AA6" i="31"/>
  <c r="AA2" i="31"/>
  <c r="AA4" i="31"/>
  <c r="B18" i="26" l="1"/>
  <c r="B26" i="26"/>
  <c r="B6" i="26" l="1"/>
  <c r="B5" i="26"/>
</calcChain>
</file>

<file path=xl/sharedStrings.xml><?xml version="1.0" encoding="utf-8"?>
<sst xmlns="http://schemas.openxmlformats.org/spreadsheetml/2006/main" count="862" uniqueCount="174">
  <si>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</si>
  <si>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</si>
  <si>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</si>
  <si>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</si>
  <si>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</si>
  <si>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</si>
  <si>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</si>
  <si>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</si>
  <si>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</si>
  <si>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</si>
  <si>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</si>
  <si>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</si>
  <si>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</si>
  <si>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</si>
  <si>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</si>
  <si>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</si>
  <si>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</si>
  <si>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</si>
  <si>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</si>
  <si>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</si>
  <si>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</si>
  <si>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</si>
  <si>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</si>
  <si>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</si>
  <si>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</si>
  <si>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</si>
  <si>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</si>
  <si>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</si>
  <si>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</si>
  <si>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</si>
  <si>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</si>
  <si>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</si>
  <si>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</si>
  <si>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</si>
  <si>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</si>
  <si>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</si>
  <si>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</si>
  <si>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</si>
  <si>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</si>
  <si>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</si>
  <si>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</si>
  <si>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</si>
  <si>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</si>
  <si>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</si>
  <si>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</si>
  <si>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</si>
  <si>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</si>
  <si>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</si>
  <si>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</si>
  <si>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</si>
  <si>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</si>
  <si>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</si>
  <si>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</si>
  <si>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</si>
  <si>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</si>
  <si>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</si>
  <si>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</si>
  <si>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</si>
  <si>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</si>
  <si>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</si>
  <si>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</si>
  <si>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</si>
  <si>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</si>
  <si>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</si>
  <si>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</si>
  <si>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</si>
  <si>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</si>
  <si>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</si>
  <si>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</si>
  <si>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</si>
  <si>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</si>
  <si>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</si>
  <si>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</si>
  <si>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</si>
  <si>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</si>
  <si>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</si>
  <si>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</si>
  <si>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ClasseIFC</t>
  </si>
  <si>
    <t>CategoriaRvt</t>
  </si>
  <si>
    <t>Tipo</t>
  </si>
  <si>
    <t>descrição</t>
  </si>
  <si>
    <t>AA.Indivíduo</t>
  </si>
  <si>
    <t>"-"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</si>
  <si>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</si>
  <si>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</si>
  <si>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</si>
  <si>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</si>
  <si>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</si>
  <si>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</si>
  <si>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</si>
  <si>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</si>
  <si>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</si>
  <si>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</si>
  <si>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</si>
  <si>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</si>
  <si>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</si>
  <si>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</si>
  <si>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</si>
  <si>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</si>
  <si>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</si>
  <si>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</si>
  <si>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</si>
  <si>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</si>
  <si>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Definição do Projeto.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</si>
  <si>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</si>
  <si>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</si>
  <si>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</si>
  <si>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</si>
  <si>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Contêineres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</si>
  <si>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</si>
  <si>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</si>
  <si>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</si>
  <si>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</si>
  <si>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</si>
  <si>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</si>
  <si>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</si>
  <si>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</si>
  <si>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</si>
  <si>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</si>
  <si>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</si>
  <si>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</si>
  <si>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</si>
  <si>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</si>
  <si>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</si>
  <si>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</si>
  <si>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</si>
  <si>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</si>
  <si>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</si>
  <si>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</si>
  <si>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Contêiner.Principal</t>
  </si>
  <si>
    <t>"Contêiner Principal de requisitos do projeto."</t>
  </si>
  <si>
    <t>Requisitos_do_Projeto</t>
  </si>
  <si>
    <t>Conceitos de elementos de Requisitos do Projeto.</t>
  </si>
  <si>
    <t>Formalizar conceitos de elementos de Requisitos do Projeto.</t>
  </si>
  <si>
    <t>Programa.De.Necessidades</t>
  </si>
  <si>
    <t>Necessidades</t>
  </si>
  <si>
    <t>Necessidade.Espacial</t>
  </si>
  <si>
    <t>Necessidade.Mobiliário</t>
  </si>
  <si>
    <t>Necessidade.Equipamento</t>
  </si>
  <si>
    <t>Necessidade.Sistemas</t>
  </si>
  <si>
    <t>Necessidade.Projeto</t>
  </si>
  <si>
    <t>Define o Programa de Necessidades Específico do Projeto.</t>
  </si>
  <si>
    <t>Interdisciplinar</t>
  </si>
  <si>
    <t>De.Informação</t>
  </si>
  <si>
    <t>De.Requisito.Espacial</t>
  </si>
  <si>
    <t>De.Requisito.Mobiliário</t>
  </si>
  <si>
    <t>De.Requisito.Equipamento</t>
  </si>
  <si>
    <t>De.Requisito.Sistemas</t>
  </si>
  <si>
    <t>De.Gestão</t>
  </si>
  <si>
    <t>Necessidade.Equipe</t>
  </si>
  <si>
    <t>Nec.Projeto</t>
  </si>
  <si>
    <t>Nec.Equipe</t>
  </si>
  <si>
    <t>Nec.Espaço</t>
  </si>
  <si>
    <t>Nec.Mobiliário</t>
  </si>
  <si>
    <t>Nec.Equipamento</t>
  </si>
  <si>
    <t>Nec.Sistema.Hidráulico</t>
  </si>
  <si>
    <t>Nec.Sistema.Elétrico</t>
  </si>
  <si>
    <t>Nec.Sistema.Incêndio</t>
  </si>
  <si>
    <t>Nec.Sistema.Sanitário</t>
  </si>
  <si>
    <t>Nec.Sistema.Lógico</t>
  </si>
  <si>
    <t>Nec.Sistema.Avac</t>
  </si>
  <si>
    <t>Req_Avac</t>
  </si>
  <si>
    <t>"Contêiner de requisitos do projeto Sanitário."</t>
  </si>
  <si>
    <t>Req_Elétrica</t>
  </si>
  <si>
    <t>Req_Hidráulica</t>
  </si>
  <si>
    <t>Req_Sanitário</t>
  </si>
  <si>
    <t>Req_Incêndio</t>
  </si>
  <si>
    <t>é.pertencente.a</t>
  </si>
  <si>
    <t>Projeto_A</t>
  </si>
  <si>
    <t>Req_Ppal_A</t>
  </si>
  <si>
    <t>"Contêiner de requisitos do projeto de Hidráulica."</t>
  </si>
  <si>
    <t>"Contêiner de requisitos do projeto de AVAC."</t>
  </si>
  <si>
    <t>"Contêiner de requisitos do projeto de Elétrica."</t>
  </si>
  <si>
    <t>"Contêiner de requisitos do projeto de Incêncio."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</si>
</sst>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12" fillId="8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2" fontId="6" fillId="6" borderId="5" xfId="0" applyNumberFormat="1" applyFont="1" applyFill="1" applyBorder="1" applyAlignment="1">
      <alignment horizontal="left" vertical="center"/>
    </xf>
    <xf numFmtId="0" fontId="12" fillId="4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2" fontId="12" fillId="8" borderId="1" xfId="0" applyNumberFormat="1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2">
    <cellStyle name="Hiperlink" xfId="1" builtinId="8"/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tabSelected="1" zoomScale="205" zoomScaleNormal="205" workbookViewId="0">
      <pane ySplit="1" topLeftCell="A14" activePane="bottomLeft" state="frozen"/>
      <selection activeCell="C18" sqref="C18"/>
      <selection pane="bottomLeft" activeCell="B31" sqref="B31"/>
    </sheetView>
  </sheetViews>
  <sheetFormatPr defaultColWidth="3.28515625" defaultRowHeight="8.25" customHeight="1" x14ac:dyDescent="0.25"/>
  <cols>
    <col min="1" max="1" width="10" style="6" customWidth="1"/>
    <col min="2" max="2" width="68.85546875" style="6" bestFit="1" customWidth="1"/>
    <col min="3" max="3" width="3.42578125" style="56" bestFit="1" customWidth="1"/>
    <col min="4" max="16384" width="3.28515625" style="6"/>
  </cols>
  <sheetData>
    <row r="1" spans="1:3" ht="8.25" customHeight="1" x14ac:dyDescent="0.25">
      <c r="A1" s="7" t="s">
        <v>35</v>
      </c>
      <c r="B1" s="7" t="s">
        <v>34</v>
      </c>
      <c r="C1" s="22" t="s">
        <v>96</v>
      </c>
    </row>
    <row r="2" spans="1:3" ht="8.25" customHeight="1" x14ac:dyDescent="0.25">
      <c r="A2" s="8" t="s">
        <v>44</v>
      </c>
      <c r="B2" s="8" t="s">
        <v>60</v>
      </c>
      <c r="C2" s="55" t="s">
        <v>97</v>
      </c>
    </row>
    <row r="3" spans="1:3" ht="8.25" customHeight="1" x14ac:dyDescent="0.25">
      <c r="A3" s="8" t="s">
        <v>45</v>
      </c>
      <c r="B3" s="9" t="s">
        <v>131</v>
      </c>
      <c r="C3" s="55" t="s">
        <v>97</v>
      </c>
    </row>
    <row r="4" spans="1:3" ht="8.25" customHeight="1" x14ac:dyDescent="0.25">
      <c r="A4" s="8" t="s">
        <v>36</v>
      </c>
      <c r="B4" s="8" t="s">
        <v>46</v>
      </c>
      <c r="C4" s="55" t="s">
        <v>97</v>
      </c>
    </row>
    <row r="5" spans="1:3" ht="8.25" customHeight="1" x14ac:dyDescent="0.25">
      <c r="A5" s="8" t="s">
        <v>37</v>
      </c>
      <c r="B5" s="8" t="str">
        <f>_xlfn.CONCAT(B4,"Prop")</f>
        <v>BIMProp</v>
      </c>
      <c r="C5" s="55" t="s">
        <v>97</v>
      </c>
    </row>
    <row r="6" spans="1:3" ht="8.25" customHeight="1" x14ac:dyDescent="0.25">
      <c r="A6" s="8" t="s">
        <v>38</v>
      </c>
      <c r="B6" s="8" t="str">
        <f>_xlfn.CONCAT(B4,"Data")</f>
        <v>BIMData</v>
      </c>
      <c r="C6" s="55" t="s">
        <v>97</v>
      </c>
    </row>
    <row r="7" spans="1:3" ht="8.25" customHeight="1" x14ac:dyDescent="0.25">
      <c r="A7" s="8" t="s">
        <v>39</v>
      </c>
      <c r="B7" s="8" t="s">
        <v>47</v>
      </c>
      <c r="C7" s="55" t="s">
        <v>97</v>
      </c>
    </row>
    <row r="8" spans="1:3" ht="8.25" customHeight="1" x14ac:dyDescent="0.25">
      <c r="A8" s="8" t="s">
        <v>40</v>
      </c>
      <c r="B8" s="8" t="s">
        <v>95</v>
      </c>
      <c r="C8" s="55" t="s">
        <v>97</v>
      </c>
    </row>
    <row r="9" spans="1:3" ht="8.25" customHeight="1" x14ac:dyDescent="0.25">
      <c r="A9" s="8" t="s">
        <v>48</v>
      </c>
      <c r="B9" s="8" t="s">
        <v>49</v>
      </c>
      <c r="C9" s="55" t="s">
        <v>97</v>
      </c>
    </row>
    <row r="10" spans="1:3" ht="8.25" customHeight="1" x14ac:dyDescent="0.25">
      <c r="A10" s="8" t="s">
        <v>50</v>
      </c>
      <c r="B10" s="8" t="s">
        <v>23</v>
      </c>
      <c r="C10" s="55" t="s">
        <v>97</v>
      </c>
    </row>
    <row r="11" spans="1:3" ht="8.25" customHeight="1" x14ac:dyDescent="0.25">
      <c r="A11" s="8" t="s">
        <v>41</v>
      </c>
      <c r="B11" s="8" t="s">
        <v>23</v>
      </c>
      <c r="C11" s="55" t="s">
        <v>97</v>
      </c>
    </row>
    <row r="12" spans="1:3" ht="8.25" customHeight="1" x14ac:dyDescent="0.25">
      <c r="A12" s="8" t="s">
        <v>42</v>
      </c>
      <c r="B12" s="8" t="s">
        <v>23</v>
      </c>
      <c r="C12" s="55" t="s">
        <v>97</v>
      </c>
    </row>
    <row r="13" spans="1:3" ht="8.25" customHeight="1" x14ac:dyDescent="0.25">
      <c r="A13" s="8" t="s">
        <v>51</v>
      </c>
      <c r="B13" s="8" t="s">
        <v>23</v>
      </c>
      <c r="C13" s="55" t="s">
        <v>97</v>
      </c>
    </row>
    <row r="14" spans="1:3" ht="8.25" customHeight="1" x14ac:dyDescent="0.25">
      <c r="A14" s="8" t="s">
        <v>52</v>
      </c>
      <c r="B14" s="8" t="s">
        <v>23</v>
      </c>
      <c r="C14" s="55" t="s">
        <v>97</v>
      </c>
    </row>
    <row r="15" spans="1:3" ht="8.25" customHeight="1" x14ac:dyDescent="0.25">
      <c r="A15" s="8" t="s">
        <v>53</v>
      </c>
      <c r="B15" s="8" t="s">
        <v>23</v>
      </c>
      <c r="C15" s="55" t="s">
        <v>97</v>
      </c>
    </row>
    <row r="16" spans="1:3" ht="8.25" customHeight="1" x14ac:dyDescent="0.25">
      <c r="A16" s="8" t="s">
        <v>54</v>
      </c>
      <c r="B16" s="8" t="s">
        <v>23</v>
      </c>
      <c r="C16" s="55" t="s">
        <v>97</v>
      </c>
    </row>
    <row r="17" spans="1:3" ht="8.25" customHeight="1" x14ac:dyDescent="0.25">
      <c r="A17" s="8" t="s">
        <v>43</v>
      </c>
      <c r="B17" s="10" t="s">
        <v>132</v>
      </c>
      <c r="C17" s="55" t="s">
        <v>97</v>
      </c>
    </row>
    <row r="18" spans="1:3" ht="8.25" customHeight="1" x14ac:dyDescent="0.25">
      <c r="A18" s="8" t="s">
        <v>55</v>
      </c>
      <c r="B18" s="45">
        <f ca="1">NOW()</f>
        <v>46244.395733449077</v>
      </c>
      <c r="C18" s="55" t="s">
        <v>97</v>
      </c>
    </row>
    <row r="19" spans="1:3" ht="8.25" customHeight="1" x14ac:dyDescent="0.25">
      <c r="A19" s="8" t="s">
        <v>101</v>
      </c>
      <c r="B19" s="8" t="s">
        <v>23</v>
      </c>
      <c r="C19" s="55" t="s">
        <v>97</v>
      </c>
    </row>
    <row r="20" spans="1:3" ht="8.25" customHeight="1" x14ac:dyDescent="0.25">
      <c r="A20" s="8" t="s">
        <v>100</v>
      </c>
      <c r="B20" s="8" t="s">
        <v>23</v>
      </c>
      <c r="C20" s="55" t="s">
        <v>98</v>
      </c>
    </row>
    <row r="21" spans="1:3" ht="8.25" customHeight="1" x14ac:dyDescent="0.25">
      <c r="A21" s="8" t="s">
        <v>102</v>
      </c>
      <c r="B21" s="8" t="s">
        <v>23</v>
      </c>
      <c r="C21" s="55" t="s">
        <v>99</v>
      </c>
    </row>
    <row r="22" spans="1:3" ht="8.25" customHeight="1" x14ac:dyDescent="0.25">
      <c r="A22" s="8" t="s">
        <v>56</v>
      </c>
      <c r="B22" s="8" t="s">
        <v>23</v>
      </c>
      <c r="C22" s="55" t="s">
        <v>97</v>
      </c>
    </row>
    <row r="23" spans="1:3" ht="8.25" customHeight="1" x14ac:dyDescent="0.25">
      <c r="A23" s="8" t="s">
        <v>57</v>
      </c>
      <c r="B23" s="8" t="s">
        <v>23</v>
      </c>
      <c r="C23" s="55" t="s">
        <v>97</v>
      </c>
    </row>
    <row r="24" spans="1:3" ht="8.25" customHeight="1" x14ac:dyDescent="0.25">
      <c r="A24" s="10" t="s">
        <v>58</v>
      </c>
      <c r="B24" s="11" t="s">
        <v>133</v>
      </c>
      <c r="C24" s="55" t="s">
        <v>97</v>
      </c>
    </row>
    <row r="25" spans="1:3" ht="8.25" customHeight="1" x14ac:dyDescent="0.25">
      <c r="A25" s="10" t="s">
        <v>59</v>
      </c>
      <c r="B25" s="11" t="str">
        <f>_xlfn.TRANSLATE(B24,"pt","es")</f>
        <v>Formalizar los conceptos de los elementos de Requisitos del Proyecto.</v>
      </c>
      <c r="C25" s="55" t="s">
        <v>98</v>
      </c>
    </row>
    <row r="26" spans="1:3" ht="8.25" customHeight="1" x14ac:dyDescent="0.25">
      <c r="A26" s="10" t="s">
        <v>94</v>
      </c>
      <c r="B26" s="11" t="str">
        <f>_xlfn.TRANSLATE(B25,"pt","en")</f>
        <v>Formalizar los conceptos de los elementos de Requisitos del Proyecto.</v>
      </c>
      <c r="C26" s="55" t="s">
        <v>99</v>
      </c>
    </row>
    <row r="27" spans="1:3" customFormat="1" ht="8.25" customHeight="1" x14ac:dyDescent="0.25">
      <c r="A27" s="8" t="s">
        <v>109</v>
      </c>
      <c r="B27" s="63" t="s">
        <v>110</v>
      </c>
      <c r="C27" s="55" t="s">
        <v>97</v>
      </c>
    </row>
    <row r="28" spans="1:3" customFormat="1" ht="8.25" customHeight="1" x14ac:dyDescent="0.25">
      <c r="A28" s="8" t="s">
        <v>111</v>
      </c>
      <c r="B28" s="64" t="s">
        <v>112</v>
      </c>
      <c r="C28" s="55" t="s">
        <v>97</v>
      </c>
    </row>
    <row r="29" spans="1:3" customFormat="1" ht="8.25" customHeight="1" x14ac:dyDescent="0.25">
      <c r="A29" s="8" t="s">
        <v>113</v>
      </c>
      <c r="B29" s="64" t="s">
        <v>114</v>
      </c>
      <c r="C29" s="55" t="s">
        <v>97</v>
      </c>
    </row>
    <row r="30" spans="1:3" ht="8.25" customHeight="1" x14ac:dyDescent="0.15">
      <c r="A30" s="8" t="s">
        <v>115</v>
      </c>
      <c r="B30" s="44" t="s">
        <v>87</v>
      </c>
      <c r="C30" s="55" t="s">
        <v>97</v>
      </c>
    </row>
    <row r="31" spans="1:3" ht="8.25" customHeight="1" x14ac:dyDescent="0.15">
      <c r="A31" s="8" t="s">
        <v>116</v>
      </c>
      <c r="B31" s="44" t="s">
        <v>86</v>
      </c>
      <c r="C31" s="55" t="s">
        <v>97</v>
      </c>
    </row>
    <row r="32" spans="1:3" ht="8.25" customHeight="1" x14ac:dyDescent="0.15">
      <c r="A32" s="8" t="s">
        <v>117</v>
      </c>
      <c r="B32" s="44" t="s">
        <v>89</v>
      </c>
      <c r="C32" s="55" t="s">
        <v>97</v>
      </c>
    </row>
    <row r="33" spans="1:3" ht="8.25" customHeight="1" x14ac:dyDescent="0.15">
      <c r="A33" s="8" t="s">
        <v>118</v>
      </c>
      <c r="B33" s="46" t="s">
        <v>85</v>
      </c>
      <c r="C33" s="55" t="s">
        <v>97</v>
      </c>
    </row>
    <row r="34" spans="1:3" ht="8.25" customHeight="1" x14ac:dyDescent="0.15">
      <c r="A34" s="8" t="s">
        <v>119</v>
      </c>
      <c r="B34" s="46" t="s">
        <v>84</v>
      </c>
      <c r="C34" s="55" t="s">
        <v>97</v>
      </c>
    </row>
    <row r="35" spans="1:3" ht="8.25" customHeight="1" x14ac:dyDescent="0.15">
      <c r="A35" s="8" t="s">
        <v>120</v>
      </c>
      <c r="B35" s="44" t="s">
        <v>88</v>
      </c>
      <c r="C35" s="55" t="s">
        <v>97</v>
      </c>
    </row>
    <row r="36" spans="1:3" ht="8.25" customHeight="1" x14ac:dyDescent="0.15">
      <c r="A36" s="8" t="s">
        <v>121</v>
      </c>
      <c r="B36" s="46" t="s">
        <v>83</v>
      </c>
      <c r="C36" s="55" t="s">
        <v>97</v>
      </c>
    </row>
    <row r="37" spans="1:3" ht="8.25" customHeight="1" x14ac:dyDescent="0.15">
      <c r="A37" s="8" t="s">
        <v>122</v>
      </c>
      <c r="B37" s="44" t="s">
        <v>91</v>
      </c>
      <c r="C37" s="55" t="s">
        <v>97</v>
      </c>
    </row>
    <row r="38" spans="1:3" customFormat="1" ht="8.25" customHeight="1" x14ac:dyDescent="0.25">
      <c r="A38" s="10" t="s">
        <v>123</v>
      </c>
      <c r="B38" s="65" t="s">
        <v>124</v>
      </c>
      <c r="C38" s="55" t="s">
        <v>97</v>
      </c>
    </row>
    <row r="39" spans="1:3" s="29" customFormat="1" ht="8.25" customHeight="1" x14ac:dyDescent="0.15">
      <c r="A39" s="8" t="s">
        <v>125</v>
      </c>
      <c r="B39" s="66" t="s">
        <v>126</v>
      </c>
      <c r="C39" s="55" t="s">
        <v>98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A17"/>
  <sheetViews>
    <sheetView zoomScale="220" zoomScaleNormal="220" workbookViewId="0">
      <pane ySplit="1" topLeftCell="A2" activePane="bottomLeft" state="frozen"/>
      <selection pane="bottomLeft" activeCell="A7" sqref="A7:XFD7"/>
    </sheetView>
  </sheetViews>
  <sheetFormatPr defaultColWidth="32.140625" defaultRowHeight="6.6" customHeight="1" x14ac:dyDescent="0.25"/>
  <cols>
    <col min="1" max="1" width="1.85546875" bestFit="1" customWidth="1"/>
    <col min="2" max="2" width="5.7109375" style="28" customWidth="1"/>
    <col min="3" max="3" width="12.28515625" style="28" customWidth="1"/>
    <col min="4" max="4" width="7.28515625" style="28" customWidth="1"/>
    <col min="5" max="5" width="12.140625" style="28" customWidth="1"/>
    <col min="6" max="6" width="12" style="28" customWidth="1"/>
    <col min="7" max="11" width="7.85546875" style="28" customWidth="1"/>
    <col min="12" max="12" width="13.140625" style="28" customWidth="1"/>
    <col min="13" max="13" width="7.140625" style="28" customWidth="1"/>
    <col min="14" max="14" width="12.42578125" style="28" customWidth="1"/>
    <col min="15" max="15" width="11.140625" style="28" customWidth="1"/>
    <col min="16" max="16" width="52.140625" style="28" customWidth="1"/>
    <col min="17" max="17" width="59.85546875" style="28" customWidth="1"/>
    <col min="18" max="18" width="3.7109375" style="28" bestFit="1" customWidth="1"/>
    <col min="19" max="19" width="13" style="28" customWidth="1"/>
    <col min="20" max="20" width="6.7109375" style="28" bestFit="1" customWidth="1"/>
    <col min="21" max="21" width="12.7109375" style="28" customWidth="1"/>
    <col min="22" max="22" width="7.28515625" style="28" bestFit="1" customWidth="1"/>
    <col min="23" max="23" width="6.28515625" style="28" bestFit="1" customWidth="1"/>
    <col min="24" max="24" width="7.85546875" style="28" customWidth="1"/>
    <col min="25" max="25" width="5.7109375" style="28" customWidth="1"/>
    <col min="26" max="26" width="18.5703125" style="28" customWidth="1"/>
    <col min="27" max="27" width="57" style="28" customWidth="1"/>
    <col min="28" max="16384" width="32.140625" style="28"/>
  </cols>
  <sheetData>
    <row r="1" spans="1:27" ht="48.75" customHeight="1" x14ac:dyDescent="0.25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30" t="s">
        <v>24</v>
      </c>
      <c r="H1" s="30" t="s">
        <v>25</v>
      </c>
      <c r="I1" s="30" t="s">
        <v>26</v>
      </c>
      <c r="J1" s="30" t="s">
        <v>27</v>
      </c>
      <c r="K1" s="30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15" t="s">
        <v>71</v>
      </c>
      <c r="S1" s="15" t="s">
        <v>61</v>
      </c>
      <c r="T1" s="15" t="s">
        <v>72</v>
      </c>
      <c r="U1" s="16" t="s">
        <v>63</v>
      </c>
      <c r="V1" s="15" t="s">
        <v>62</v>
      </c>
      <c r="W1" s="60" t="s">
        <v>0</v>
      </c>
      <c r="X1" s="16" t="s">
        <v>78</v>
      </c>
      <c r="Y1" s="15" t="s">
        <v>77</v>
      </c>
      <c r="Z1" s="15" t="s">
        <v>92</v>
      </c>
      <c r="AA1" s="54" t="s">
        <v>93</v>
      </c>
    </row>
    <row r="2" spans="1:27" s="69" customFormat="1" ht="6.75" customHeight="1" x14ac:dyDescent="0.25">
      <c r="A2" s="62">
        <v>2</v>
      </c>
      <c r="B2" s="67" t="s">
        <v>127</v>
      </c>
      <c r="C2" s="67" t="s">
        <v>148</v>
      </c>
      <c r="D2" s="68" t="s">
        <v>108</v>
      </c>
      <c r="E2" s="68" t="s">
        <v>143</v>
      </c>
      <c r="F2" s="68" t="s">
        <v>129</v>
      </c>
      <c r="G2" s="59" t="s">
        <v>1</v>
      </c>
      <c r="H2" s="59" t="s">
        <v>1</v>
      </c>
      <c r="I2" s="59" t="s">
        <v>1</v>
      </c>
      <c r="J2" s="59" t="s">
        <v>1</v>
      </c>
      <c r="K2" s="59" t="s">
        <v>1</v>
      </c>
      <c r="L2" s="23" t="str">
        <f t="shared" ref="L2:M7" si="0">CONCATENATE("", C2)</f>
        <v>De.Gestão</v>
      </c>
      <c r="M2" s="23" t="str">
        <f t="shared" si="0"/>
        <v>Contêineres</v>
      </c>
      <c r="N2" s="23" t="str">
        <f t="shared" ref="N2:O7" si="1">(SUBSTITUTE(SUBSTITUTE(CONCATENATE("",E2),"."," ")," De "," de "))</f>
        <v>De Informação</v>
      </c>
      <c r="O2" s="23" t="str">
        <f t="shared" si="1"/>
        <v>Contêiner Principal</v>
      </c>
      <c r="P2" s="24" t="s">
        <v>103</v>
      </c>
      <c r="Q2" s="24" t="str">
        <f>_xlfn.TRANSLATE(P2,"pt","es")</f>
        <v>Define un contenedor de información de acuerdo con la norma NBR 19650-1. Definición del proyecto.</v>
      </c>
      <c r="R2" s="24" t="s">
        <v>1</v>
      </c>
      <c r="S2" s="24" t="str">
        <f t="shared" ref="S2:U7" si="2">SUBSTITUTE(C2, ".", " ")</f>
        <v>De Gestão</v>
      </c>
      <c r="T2" s="24" t="str">
        <f t="shared" si="2"/>
        <v>Contêineres</v>
      </c>
      <c r="U2" s="24" t="str">
        <f t="shared" si="2"/>
        <v>De Informação</v>
      </c>
      <c r="V2" s="24" t="s">
        <v>142</v>
      </c>
      <c r="W2" s="61" t="str">
        <f>CONCATENATE("Key-REQ-",A2)</f>
        <v>Key-REQ-2</v>
      </c>
      <c r="X2" s="24" t="s">
        <v>1</v>
      </c>
      <c r="Y2" s="24" t="s">
        <v>1</v>
      </c>
      <c r="Z2" s="24" t="s">
        <v>128</v>
      </c>
      <c r="AA2" s="24" t="str">
        <f t="shared" ref="AA2:AA7" si="3">_xlfn.TRANSLATE(P2,"pt","en")</f>
        <v>Defines an information container in accordance with the NBR 19650-1 standard. Project Definition.</v>
      </c>
    </row>
    <row r="3" spans="1:27" s="69" customFormat="1" ht="6.75" customHeight="1" x14ac:dyDescent="0.25">
      <c r="A3" s="62">
        <v>3</v>
      </c>
      <c r="B3" s="67" t="s">
        <v>127</v>
      </c>
      <c r="C3" s="67" t="s">
        <v>148</v>
      </c>
      <c r="D3" s="68" t="s">
        <v>108</v>
      </c>
      <c r="E3" s="68" t="s">
        <v>143</v>
      </c>
      <c r="F3" s="68" t="s">
        <v>144</v>
      </c>
      <c r="G3" s="59" t="s">
        <v>1</v>
      </c>
      <c r="H3" s="59" t="s">
        <v>1</v>
      </c>
      <c r="I3" s="59" t="s">
        <v>1</v>
      </c>
      <c r="J3" s="59" t="s">
        <v>1</v>
      </c>
      <c r="K3" s="59" t="s">
        <v>1</v>
      </c>
      <c r="L3" s="23" t="str">
        <f t="shared" si="0"/>
        <v>De.Gestão</v>
      </c>
      <c r="M3" s="23" t="str">
        <f t="shared" si="0"/>
        <v>Contêineres</v>
      </c>
      <c r="N3" s="23" t="str">
        <f t="shared" si="1"/>
        <v>De Informação</v>
      </c>
      <c r="O3" s="23" t="str">
        <f t="shared" si="1"/>
        <v>De Requisito Espacial</v>
      </c>
      <c r="P3" s="24" t="s">
        <v>104</v>
      </c>
      <c r="Q3" s="24" t="str">
        <f t="shared" ref="Q3:Q17" si="4">_xlfn.TRANSLATE(P3,"pt","es")</f>
        <v>Define un contenedor de información de acuerdo con la norma NBR 19650-1. Requisitos espaciales para el proyecto.</v>
      </c>
      <c r="R3" s="24" t="s">
        <v>1</v>
      </c>
      <c r="S3" s="24" t="str">
        <f t="shared" si="2"/>
        <v>De Gestão</v>
      </c>
      <c r="T3" s="24" t="str">
        <f t="shared" si="2"/>
        <v>Contêineres</v>
      </c>
      <c r="U3" s="24" t="str">
        <f t="shared" si="2"/>
        <v>De Informação</v>
      </c>
      <c r="V3" s="24" t="s">
        <v>142</v>
      </c>
      <c r="W3" s="61" t="str">
        <f t="shared" ref="W3:W12" si="5">CONCATENATE("Key-REQ-",A3)</f>
        <v>Key-REQ-3</v>
      </c>
      <c r="X3" s="24" t="s">
        <v>1</v>
      </c>
      <c r="Y3" s="24" t="s">
        <v>1</v>
      </c>
      <c r="Z3" s="24" t="s">
        <v>128</v>
      </c>
      <c r="AA3" s="24" t="str">
        <f t="shared" si="3"/>
        <v>Defines an information container in accordance with the NBR 19650-1 standard. Spatial Requirements for the Project.</v>
      </c>
    </row>
    <row r="4" spans="1:27" s="69" customFormat="1" ht="6.75" customHeight="1" x14ac:dyDescent="0.25">
      <c r="A4" s="62">
        <v>4</v>
      </c>
      <c r="B4" s="67" t="s">
        <v>127</v>
      </c>
      <c r="C4" s="67" t="s">
        <v>148</v>
      </c>
      <c r="D4" s="68" t="s">
        <v>108</v>
      </c>
      <c r="E4" s="68" t="s">
        <v>143</v>
      </c>
      <c r="F4" s="68" t="s">
        <v>145</v>
      </c>
      <c r="G4" s="59" t="s">
        <v>1</v>
      </c>
      <c r="H4" s="59" t="s">
        <v>1</v>
      </c>
      <c r="I4" s="59" t="s">
        <v>1</v>
      </c>
      <c r="J4" s="59" t="s">
        <v>1</v>
      </c>
      <c r="K4" s="59" t="s">
        <v>1</v>
      </c>
      <c r="L4" s="23" t="str">
        <f t="shared" si="0"/>
        <v>De.Gestão</v>
      </c>
      <c r="M4" s="23" t="str">
        <f t="shared" si="0"/>
        <v>Contêineres</v>
      </c>
      <c r="N4" s="23" t="str">
        <f t="shared" si="1"/>
        <v>De Informação</v>
      </c>
      <c r="O4" s="23" t="str">
        <f t="shared" si="1"/>
        <v>De Requisito Mobiliário</v>
      </c>
      <c r="P4" s="24" t="s">
        <v>105</v>
      </c>
      <c r="Q4" s="24" t="str">
        <f t="shared" si="4"/>
        <v>Define un contenedor de información de acuerdo con la norma NBR 19650-1. Requisitos de mobiliario para el proyecto.</v>
      </c>
      <c r="R4" s="24" t="s">
        <v>1</v>
      </c>
      <c r="S4" s="24" t="str">
        <f t="shared" si="2"/>
        <v>De Gestão</v>
      </c>
      <c r="T4" s="24" t="str">
        <f t="shared" si="2"/>
        <v>Contêineres</v>
      </c>
      <c r="U4" s="24" t="str">
        <f t="shared" si="2"/>
        <v>De Informação</v>
      </c>
      <c r="V4" s="24" t="s">
        <v>142</v>
      </c>
      <c r="W4" s="61" t="str">
        <f t="shared" si="5"/>
        <v>Key-REQ-4</v>
      </c>
      <c r="X4" s="24" t="s">
        <v>1</v>
      </c>
      <c r="Y4" s="24" t="s">
        <v>1</v>
      </c>
      <c r="Z4" s="24" t="s">
        <v>128</v>
      </c>
      <c r="AA4" s="24" t="str">
        <f t="shared" si="3"/>
        <v>Defines an information container in accordance with the NBR 19650-1 standard. Furniture Requirements for the Project.</v>
      </c>
    </row>
    <row r="5" spans="1:27" s="69" customFormat="1" ht="6.75" customHeight="1" x14ac:dyDescent="0.25">
      <c r="A5" s="62">
        <v>5</v>
      </c>
      <c r="B5" s="67" t="s">
        <v>127</v>
      </c>
      <c r="C5" s="67" t="s">
        <v>148</v>
      </c>
      <c r="D5" s="68" t="s">
        <v>108</v>
      </c>
      <c r="E5" s="68" t="s">
        <v>143</v>
      </c>
      <c r="F5" s="68" t="s">
        <v>146</v>
      </c>
      <c r="G5" s="59" t="s">
        <v>1</v>
      </c>
      <c r="H5" s="59" t="s">
        <v>1</v>
      </c>
      <c r="I5" s="59" t="s">
        <v>1</v>
      </c>
      <c r="J5" s="59" t="s">
        <v>1</v>
      </c>
      <c r="K5" s="59" t="s">
        <v>1</v>
      </c>
      <c r="L5" s="23" t="str">
        <f t="shared" si="0"/>
        <v>De.Gestão</v>
      </c>
      <c r="M5" s="23" t="str">
        <f t="shared" si="0"/>
        <v>Contêineres</v>
      </c>
      <c r="N5" s="23" t="str">
        <f t="shared" si="1"/>
        <v>De Informação</v>
      </c>
      <c r="O5" s="23" t="str">
        <f t="shared" si="1"/>
        <v>De Requisito Equipamento</v>
      </c>
      <c r="P5" s="24" t="s">
        <v>106</v>
      </c>
      <c r="Q5" s="24" t="str">
        <f t="shared" si="4"/>
        <v>Define un contenedor de información de acuerdo con la norma NBR 19650-1. Requisitos de equipamiento para el proyecto.</v>
      </c>
      <c r="R5" s="24" t="s">
        <v>1</v>
      </c>
      <c r="S5" s="24" t="str">
        <f t="shared" si="2"/>
        <v>De Gestão</v>
      </c>
      <c r="T5" s="24" t="str">
        <f t="shared" si="2"/>
        <v>Contêineres</v>
      </c>
      <c r="U5" s="24" t="str">
        <f t="shared" si="2"/>
        <v>De Informação</v>
      </c>
      <c r="V5" s="24" t="s">
        <v>142</v>
      </c>
      <c r="W5" s="61" t="str">
        <f t="shared" si="5"/>
        <v>Key-REQ-5</v>
      </c>
      <c r="X5" s="24" t="s">
        <v>1</v>
      </c>
      <c r="Y5" s="24" t="s">
        <v>1</v>
      </c>
      <c r="Z5" s="24" t="s">
        <v>128</v>
      </c>
      <c r="AA5" s="24" t="str">
        <f t="shared" si="3"/>
        <v>Defines an information container in accordance with the NBR 19650-1 standard. Equipment Requirements for the Project.</v>
      </c>
    </row>
    <row r="6" spans="1:27" s="69" customFormat="1" ht="6.75" customHeight="1" x14ac:dyDescent="0.25">
      <c r="A6" s="62">
        <v>6</v>
      </c>
      <c r="B6" s="67" t="s">
        <v>127</v>
      </c>
      <c r="C6" s="67" t="s">
        <v>148</v>
      </c>
      <c r="D6" s="68" t="s">
        <v>108</v>
      </c>
      <c r="E6" s="68" t="s">
        <v>143</v>
      </c>
      <c r="F6" s="68" t="s">
        <v>147</v>
      </c>
      <c r="G6" s="59" t="s">
        <v>1</v>
      </c>
      <c r="H6" s="59" t="s">
        <v>1</v>
      </c>
      <c r="I6" s="59" t="s">
        <v>1</v>
      </c>
      <c r="J6" s="59" t="s">
        <v>1</v>
      </c>
      <c r="K6" s="59" t="s">
        <v>1</v>
      </c>
      <c r="L6" s="23" t="str">
        <f t="shared" si="0"/>
        <v>De.Gestão</v>
      </c>
      <c r="M6" s="23" t="str">
        <f t="shared" si="0"/>
        <v>Contêineres</v>
      </c>
      <c r="N6" s="23" t="str">
        <f t="shared" si="1"/>
        <v>De Informação</v>
      </c>
      <c r="O6" s="23" t="str">
        <f t="shared" si="1"/>
        <v>De Requisito Sistemas</v>
      </c>
      <c r="P6" s="24" t="s">
        <v>107</v>
      </c>
      <c r="Q6" s="24" t="str">
        <f t="shared" si="4"/>
        <v>Define un contenedor de información de acuerdo con la norma NBR 19650-1. Requisitos de los sistemas de construcción para el proyecto.</v>
      </c>
      <c r="R6" s="24" t="s">
        <v>1</v>
      </c>
      <c r="S6" s="24" t="str">
        <f t="shared" si="2"/>
        <v>De Gestão</v>
      </c>
      <c r="T6" s="24" t="str">
        <f t="shared" si="2"/>
        <v>Contêineres</v>
      </c>
      <c r="U6" s="24" t="str">
        <f t="shared" si="2"/>
        <v>De Informação</v>
      </c>
      <c r="V6" s="24" t="s">
        <v>142</v>
      </c>
      <c r="W6" s="61" t="str">
        <f t="shared" si="5"/>
        <v>Key-REQ-6</v>
      </c>
      <c r="X6" s="24" t="s">
        <v>1</v>
      </c>
      <c r="Y6" s="24" t="s">
        <v>1</v>
      </c>
      <c r="Z6" s="24" t="s">
        <v>128</v>
      </c>
      <c r="AA6" s="24" t="str">
        <f t="shared" si="3"/>
        <v>Defines an information container in accordance with the NBR 19650-1 standard. Building Systems Requirements for the Project.</v>
      </c>
    </row>
    <row r="7" spans="1:27" s="69" customFormat="1" ht="6.75" customHeight="1" x14ac:dyDescent="0.25">
      <c r="A7" s="62">
        <v>7</v>
      </c>
      <c r="B7" s="67" t="s">
        <v>74</v>
      </c>
      <c r="C7" s="67" t="s">
        <v>134</v>
      </c>
      <c r="D7" s="68" t="s">
        <v>135</v>
      </c>
      <c r="E7" s="68" t="s">
        <v>140</v>
      </c>
      <c r="F7" s="68" t="s">
        <v>150</v>
      </c>
      <c r="G7" s="59" t="s">
        <v>1</v>
      </c>
      <c r="H7" s="59" t="s">
        <v>1</v>
      </c>
      <c r="I7" s="59" t="s">
        <v>1</v>
      </c>
      <c r="J7" s="59" t="s">
        <v>1</v>
      </c>
      <c r="K7" s="59" t="s">
        <v>1</v>
      </c>
      <c r="L7" s="23" t="str">
        <f t="shared" si="0"/>
        <v>Programa.De.Necessidades</v>
      </c>
      <c r="M7" s="23" t="str">
        <f t="shared" si="0"/>
        <v>Necessidades</v>
      </c>
      <c r="N7" s="23" t="str">
        <f t="shared" si="1"/>
        <v>Necessidade Projeto</v>
      </c>
      <c r="O7" s="23" t="str">
        <f t="shared" si="1"/>
        <v>Nec Projeto</v>
      </c>
      <c r="P7" s="24" t="s">
        <v>141</v>
      </c>
      <c r="Q7" s="24" t="str">
        <f t="shared" si="4"/>
        <v>Define el Programa de Requisitos Específicos del Proyecto.</v>
      </c>
      <c r="R7" s="24" t="s">
        <v>1</v>
      </c>
      <c r="S7" s="24" t="str">
        <f t="shared" si="2"/>
        <v>Programa De Necessidades</v>
      </c>
      <c r="T7" s="24" t="str">
        <f t="shared" si="2"/>
        <v>Necessidades</v>
      </c>
      <c r="U7" s="24" t="str">
        <f t="shared" si="2"/>
        <v>Necessidade Projeto</v>
      </c>
      <c r="V7" s="24" t="s">
        <v>142</v>
      </c>
      <c r="W7" s="61" t="str">
        <f t="shared" ref="W7" si="6">CONCATENATE("Key-REQ-",A7)</f>
        <v>Key-REQ-7</v>
      </c>
      <c r="X7" s="24" t="s">
        <v>1</v>
      </c>
      <c r="Y7" s="24" t="s">
        <v>1</v>
      </c>
      <c r="Z7" s="24" t="s">
        <v>128</v>
      </c>
      <c r="AA7" s="24" t="str">
        <f t="shared" si="3"/>
        <v>Defines the Project-Specific Requirements Program.</v>
      </c>
    </row>
    <row r="8" spans="1:27" s="69" customFormat="1" ht="6.75" customHeight="1" x14ac:dyDescent="0.25">
      <c r="A8" s="62">
        <v>8</v>
      </c>
      <c r="B8" s="67" t="s">
        <v>74</v>
      </c>
      <c r="C8" s="67" t="s">
        <v>134</v>
      </c>
      <c r="D8" s="68" t="s">
        <v>135</v>
      </c>
      <c r="E8" s="68" t="s">
        <v>149</v>
      </c>
      <c r="F8" s="68" t="s">
        <v>151</v>
      </c>
      <c r="G8" s="59" t="s">
        <v>1</v>
      </c>
      <c r="H8" s="59" t="s">
        <v>1</v>
      </c>
      <c r="I8" s="59" t="s">
        <v>1</v>
      </c>
      <c r="J8" s="59" t="s">
        <v>1</v>
      </c>
      <c r="K8" s="59" t="s">
        <v>1</v>
      </c>
      <c r="L8" s="23" t="str">
        <f t="shared" ref="L8:L12" si="7">CONCATENATE("", C8)</f>
        <v>Programa.De.Necessidades</v>
      </c>
      <c r="M8" s="23" t="str">
        <f t="shared" ref="M8:M12" si="8">CONCATENATE("", D8)</f>
        <v>Necessidades</v>
      </c>
      <c r="N8" s="23" t="str">
        <f t="shared" ref="N8:N12" si="9">(SUBSTITUTE(SUBSTITUTE(CONCATENATE("",E8),"."," ")," De "," de "))</f>
        <v>Necessidade Equipe</v>
      </c>
      <c r="O8" s="23" t="str">
        <f t="shared" ref="O8:O12" si="10">(SUBSTITUTE(SUBSTITUTE(CONCATENATE("",F8),"."," ")," De "," de "))</f>
        <v>Nec Equipe</v>
      </c>
      <c r="P8" s="24" t="s">
        <v>141</v>
      </c>
      <c r="Q8" s="24" t="str">
        <f t="shared" si="4"/>
        <v>Define el Programa de Requisitos Específicos del Proyecto.</v>
      </c>
      <c r="R8" s="24" t="s">
        <v>1</v>
      </c>
      <c r="S8" s="24" t="str">
        <f t="shared" ref="S8:S12" si="11">SUBSTITUTE(C8, ".", " ")</f>
        <v>Programa De Necessidades</v>
      </c>
      <c r="T8" s="24" t="str">
        <f t="shared" ref="T8:T12" si="12">SUBSTITUTE(D8, ".", " ")</f>
        <v>Necessidades</v>
      </c>
      <c r="U8" s="24" t="str">
        <f t="shared" ref="U8:U12" si="13">SUBSTITUTE(E8, ".", " ")</f>
        <v>Necessidade Equipe</v>
      </c>
      <c r="V8" s="24" t="s">
        <v>142</v>
      </c>
      <c r="W8" s="61" t="str">
        <f t="shared" si="5"/>
        <v>Key-REQ-8</v>
      </c>
      <c r="X8" s="24" t="s">
        <v>1</v>
      </c>
      <c r="Y8" s="24" t="s">
        <v>1</v>
      </c>
      <c r="Z8" s="24" t="s">
        <v>128</v>
      </c>
      <c r="AA8" s="24" t="str">
        <f t="shared" ref="AA8:AA12" si="14">_xlfn.TRANSLATE(P8,"pt","en")</f>
        <v>Defines the Project-Specific Requirements Program.</v>
      </c>
    </row>
    <row r="9" spans="1:27" s="69" customFormat="1" ht="6.75" customHeight="1" x14ac:dyDescent="0.25">
      <c r="A9" s="62">
        <v>9</v>
      </c>
      <c r="B9" s="67" t="s">
        <v>74</v>
      </c>
      <c r="C9" s="67" t="s">
        <v>134</v>
      </c>
      <c r="D9" s="68" t="s">
        <v>135</v>
      </c>
      <c r="E9" s="68" t="s">
        <v>136</v>
      </c>
      <c r="F9" s="68" t="s">
        <v>152</v>
      </c>
      <c r="G9" s="59" t="s">
        <v>1</v>
      </c>
      <c r="H9" s="59" t="s">
        <v>1</v>
      </c>
      <c r="I9" s="59" t="s">
        <v>1</v>
      </c>
      <c r="J9" s="59" t="s">
        <v>1</v>
      </c>
      <c r="K9" s="59" t="s">
        <v>1</v>
      </c>
      <c r="L9" s="23" t="str">
        <f t="shared" si="7"/>
        <v>Programa.De.Necessidades</v>
      </c>
      <c r="M9" s="23" t="str">
        <f t="shared" si="8"/>
        <v>Necessidades</v>
      </c>
      <c r="N9" s="23" t="str">
        <f t="shared" si="9"/>
        <v>Necessidade Espacial</v>
      </c>
      <c r="O9" s="23" t="str">
        <f t="shared" si="10"/>
        <v>Nec Espaço</v>
      </c>
      <c r="P9" s="24" t="s">
        <v>141</v>
      </c>
      <c r="Q9" s="24" t="str">
        <f t="shared" si="4"/>
        <v>Define el Programa de Requisitos Específicos del Proyecto.</v>
      </c>
      <c r="R9" s="24" t="s">
        <v>1</v>
      </c>
      <c r="S9" s="24" t="str">
        <f t="shared" si="11"/>
        <v>Programa De Necessidades</v>
      </c>
      <c r="T9" s="24" t="str">
        <f t="shared" si="12"/>
        <v>Necessidades</v>
      </c>
      <c r="U9" s="24" t="str">
        <f t="shared" si="13"/>
        <v>Necessidade Espacial</v>
      </c>
      <c r="V9" s="24" t="s">
        <v>142</v>
      </c>
      <c r="W9" s="61" t="str">
        <f t="shared" si="5"/>
        <v>Key-REQ-9</v>
      </c>
      <c r="X9" s="24" t="s">
        <v>1</v>
      </c>
      <c r="Y9" s="24" t="s">
        <v>1</v>
      </c>
      <c r="Z9" s="24" t="s">
        <v>128</v>
      </c>
      <c r="AA9" s="24" t="str">
        <f t="shared" si="14"/>
        <v>Defines the Project-Specific Requirements Program.</v>
      </c>
    </row>
    <row r="10" spans="1:27" s="69" customFormat="1" ht="6.75" customHeight="1" x14ac:dyDescent="0.25">
      <c r="A10" s="62">
        <v>10</v>
      </c>
      <c r="B10" s="67" t="s">
        <v>74</v>
      </c>
      <c r="C10" s="67" t="s">
        <v>134</v>
      </c>
      <c r="D10" s="68" t="s">
        <v>135</v>
      </c>
      <c r="E10" s="68" t="s">
        <v>137</v>
      </c>
      <c r="F10" s="68" t="s">
        <v>153</v>
      </c>
      <c r="G10" s="59" t="s">
        <v>1</v>
      </c>
      <c r="H10" s="59" t="s">
        <v>1</v>
      </c>
      <c r="I10" s="59" t="s">
        <v>1</v>
      </c>
      <c r="J10" s="59" t="s">
        <v>1</v>
      </c>
      <c r="K10" s="59" t="s">
        <v>1</v>
      </c>
      <c r="L10" s="23" t="str">
        <f t="shared" si="7"/>
        <v>Programa.De.Necessidades</v>
      </c>
      <c r="M10" s="23" t="str">
        <f t="shared" si="8"/>
        <v>Necessidades</v>
      </c>
      <c r="N10" s="23" t="str">
        <f t="shared" si="9"/>
        <v>Necessidade Mobiliário</v>
      </c>
      <c r="O10" s="23" t="str">
        <f t="shared" si="10"/>
        <v>Nec Mobiliário</v>
      </c>
      <c r="P10" s="24" t="s">
        <v>141</v>
      </c>
      <c r="Q10" s="24" t="str">
        <f t="shared" si="4"/>
        <v>Define el Programa de Requisitos Específicos del Proyecto.</v>
      </c>
      <c r="R10" s="24" t="s">
        <v>1</v>
      </c>
      <c r="S10" s="24" t="str">
        <f t="shared" si="11"/>
        <v>Programa De Necessidades</v>
      </c>
      <c r="T10" s="24" t="str">
        <f t="shared" si="12"/>
        <v>Necessidades</v>
      </c>
      <c r="U10" s="24" t="str">
        <f t="shared" si="13"/>
        <v>Necessidade Mobiliário</v>
      </c>
      <c r="V10" s="24" t="s">
        <v>142</v>
      </c>
      <c r="W10" s="61" t="str">
        <f t="shared" si="5"/>
        <v>Key-REQ-10</v>
      </c>
      <c r="X10" s="24" t="s">
        <v>1</v>
      </c>
      <c r="Y10" s="24" t="s">
        <v>1</v>
      </c>
      <c r="Z10" s="24" t="s">
        <v>128</v>
      </c>
      <c r="AA10" s="24" t="str">
        <f t="shared" si="14"/>
        <v>Defines the Project-Specific Requirements Program.</v>
      </c>
    </row>
    <row r="11" spans="1:27" s="69" customFormat="1" ht="6.75" customHeight="1" x14ac:dyDescent="0.25">
      <c r="A11" s="62">
        <v>11</v>
      </c>
      <c r="B11" s="67" t="s">
        <v>74</v>
      </c>
      <c r="C11" s="67" t="s">
        <v>134</v>
      </c>
      <c r="D11" s="68" t="s">
        <v>135</v>
      </c>
      <c r="E11" s="68" t="s">
        <v>138</v>
      </c>
      <c r="F11" s="68" t="s">
        <v>154</v>
      </c>
      <c r="G11" s="59" t="s">
        <v>1</v>
      </c>
      <c r="H11" s="59" t="s">
        <v>1</v>
      </c>
      <c r="I11" s="59" t="s">
        <v>1</v>
      </c>
      <c r="J11" s="59" t="s">
        <v>1</v>
      </c>
      <c r="K11" s="59" t="s">
        <v>1</v>
      </c>
      <c r="L11" s="23" t="str">
        <f t="shared" si="7"/>
        <v>Programa.De.Necessidades</v>
      </c>
      <c r="M11" s="23" t="str">
        <f t="shared" si="8"/>
        <v>Necessidades</v>
      </c>
      <c r="N11" s="23" t="str">
        <f t="shared" si="9"/>
        <v>Necessidade Equipamento</v>
      </c>
      <c r="O11" s="23" t="str">
        <f t="shared" si="10"/>
        <v>Nec Equipamento</v>
      </c>
      <c r="P11" s="24" t="s">
        <v>141</v>
      </c>
      <c r="Q11" s="24" t="str">
        <f t="shared" si="4"/>
        <v>Define el Programa de Requisitos Específicos del Proyecto.</v>
      </c>
      <c r="R11" s="24" t="s">
        <v>1</v>
      </c>
      <c r="S11" s="24" t="str">
        <f t="shared" si="11"/>
        <v>Programa De Necessidades</v>
      </c>
      <c r="T11" s="24" t="str">
        <f t="shared" si="12"/>
        <v>Necessidades</v>
      </c>
      <c r="U11" s="24" t="str">
        <f t="shared" si="13"/>
        <v>Necessidade Equipamento</v>
      </c>
      <c r="V11" s="24" t="s">
        <v>142</v>
      </c>
      <c r="W11" s="61" t="str">
        <f t="shared" si="5"/>
        <v>Key-REQ-11</v>
      </c>
      <c r="X11" s="24" t="s">
        <v>1</v>
      </c>
      <c r="Y11" s="24" t="s">
        <v>1</v>
      </c>
      <c r="Z11" s="24" t="s">
        <v>128</v>
      </c>
      <c r="AA11" s="24" t="str">
        <f t="shared" si="14"/>
        <v>Defines the Project-Specific Requirements Program.</v>
      </c>
    </row>
    <row r="12" spans="1:27" s="69" customFormat="1" ht="6.75" customHeight="1" x14ac:dyDescent="0.25">
      <c r="A12" s="62">
        <v>12</v>
      </c>
      <c r="B12" s="67" t="s">
        <v>74</v>
      </c>
      <c r="C12" s="67" t="s">
        <v>134</v>
      </c>
      <c r="D12" s="68" t="s">
        <v>135</v>
      </c>
      <c r="E12" s="68" t="s">
        <v>139</v>
      </c>
      <c r="F12" s="68" t="s">
        <v>160</v>
      </c>
      <c r="G12" s="59" t="s">
        <v>1</v>
      </c>
      <c r="H12" s="59" t="s">
        <v>1</v>
      </c>
      <c r="I12" s="59" t="s">
        <v>1</v>
      </c>
      <c r="J12" s="59" t="s">
        <v>1</v>
      </c>
      <c r="K12" s="59" t="s">
        <v>1</v>
      </c>
      <c r="L12" s="23" t="str">
        <f t="shared" si="7"/>
        <v>Programa.De.Necessidades</v>
      </c>
      <c r="M12" s="23" t="str">
        <f t="shared" si="8"/>
        <v>Necessidades</v>
      </c>
      <c r="N12" s="23" t="str">
        <f t="shared" si="9"/>
        <v>Necessidade Sistemas</v>
      </c>
      <c r="O12" s="23" t="str">
        <f t="shared" si="10"/>
        <v>Nec Sistema Avac</v>
      </c>
      <c r="P12" s="24" t="s">
        <v>141</v>
      </c>
      <c r="Q12" s="24" t="str">
        <f t="shared" si="4"/>
        <v>Define el Programa de Requisitos Específicos del Proyecto.</v>
      </c>
      <c r="R12" s="24" t="s">
        <v>1</v>
      </c>
      <c r="S12" s="24" t="str">
        <f t="shared" si="11"/>
        <v>Programa De Necessidades</v>
      </c>
      <c r="T12" s="24" t="str">
        <f t="shared" si="12"/>
        <v>Necessidades</v>
      </c>
      <c r="U12" s="24" t="str">
        <f t="shared" si="13"/>
        <v>Necessidade Sistemas</v>
      </c>
      <c r="V12" s="24" t="s">
        <v>142</v>
      </c>
      <c r="W12" s="61" t="str">
        <f t="shared" si="5"/>
        <v>Key-REQ-12</v>
      </c>
      <c r="X12" s="24" t="s">
        <v>1</v>
      </c>
      <c r="Y12" s="24" t="s">
        <v>1</v>
      </c>
      <c r="Z12" s="24" t="s">
        <v>128</v>
      </c>
      <c r="AA12" s="24" t="str">
        <f t="shared" si="14"/>
        <v>Defines the Project-Specific Requirements Program.</v>
      </c>
    </row>
    <row r="13" spans="1:27" s="69" customFormat="1" ht="6.75" customHeight="1" x14ac:dyDescent="0.25">
      <c r="A13" s="62">
        <v>13</v>
      </c>
      <c r="B13" s="67" t="s">
        <v>74</v>
      </c>
      <c r="C13" s="67" t="s">
        <v>134</v>
      </c>
      <c r="D13" s="68" t="s">
        <v>135</v>
      </c>
      <c r="E13" s="68" t="s">
        <v>139</v>
      </c>
      <c r="F13" s="68" t="s">
        <v>155</v>
      </c>
      <c r="G13" s="59" t="s">
        <v>1</v>
      </c>
      <c r="H13" s="59" t="s">
        <v>1</v>
      </c>
      <c r="I13" s="59" t="s">
        <v>1</v>
      </c>
      <c r="J13" s="59" t="s">
        <v>1</v>
      </c>
      <c r="K13" s="59" t="s">
        <v>1</v>
      </c>
      <c r="L13" s="23" t="str">
        <f t="shared" ref="L13:L15" si="15">CONCATENATE("", C13)</f>
        <v>Programa.De.Necessidades</v>
      </c>
      <c r="M13" s="23" t="str">
        <f t="shared" ref="M13:M15" si="16">CONCATENATE("", D13)</f>
        <v>Necessidades</v>
      </c>
      <c r="N13" s="23" t="str">
        <f t="shared" ref="N13:N15" si="17">(SUBSTITUTE(SUBSTITUTE(CONCATENATE("",E13),"."," ")," De "," de "))</f>
        <v>Necessidade Sistemas</v>
      </c>
      <c r="O13" s="23" t="str">
        <f t="shared" ref="O13:O15" si="18">(SUBSTITUTE(SUBSTITUTE(CONCATENATE("",F13),"."," ")," De "," de "))</f>
        <v>Nec Sistema Hidráulico</v>
      </c>
      <c r="P13" s="24" t="s">
        <v>141</v>
      </c>
      <c r="Q13" s="24" t="str">
        <f t="shared" si="4"/>
        <v>Define el Programa de Requisitos Específicos del Proyecto.</v>
      </c>
      <c r="R13" s="24" t="s">
        <v>1</v>
      </c>
      <c r="S13" s="24" t="str">
        <f t="shared" ref="S13:S15" si="19">SUBSTITUTE(C13, ".", " ")</f>
        <v>Programa De Necessidades</v>
      </c>
      <c r="T13" s="24" t="str">
        <f t="shared" ref="T13:T15" si="20">SUBSTITUTE(D13, ".", " ")</f>
        <v>Necessidades</v>
      </c>
      <c r="U13" s="24" t="str">
        <f t="shared" ref="U13:U15" si="21">SUBSTITUTE(E13, ".", " ")</f>
        <v>Necessidade Sistemas</v>
      </c>
      <c r="V13" s="24" t="s">
        <v>142</v>
      </c>
      <c r="W13" s="61" t="str">
        <f t="shared" ref="W13:W15" si="22">CONCATENATE("Key-REQ-",A13)</f>
        <v>Key-REQ-13</v>
      </c>
      <c r="X13" s="24" t="s">
        <v>1</v>
      </c>
      <c r="Y13" s="24" t="s">
        <v>1</v>
      </c>
      <c r="Z13" s="24" t="s">
        <v>128</v>
      </c>
      <c r="AA13" s="24" t="str">
        <f t="shared" ref="AA13:AA15" si="23">_xlfn.TRANSLATE(P13,"pt","en")</f>
        <v>Defines the Project-Specific Requirements Program.</v>
      </c>
    </row>
    <row r="14" spans="1:27" s="69" customFormat="1" ht="6.75" customHeight="1" x14ac:dyDescent="0.25">
      <c r="A14" s="62">
        <v>14</v>
      </c>
      <c r="B14" s="67" t="s">
        <v>74</v>
      </c>
      <c r="C14" s="67" t="s">
        <v>134</v>
      </c>
      <c r="D14" s="68" t="s">
        <v>135</v>
      </c>
      <c r="E14" s="68" t="s">
        <v>139</v>
      </c>
      <c r="F14" s="68" t="s">
        <v>156</v>
      </c>
      <c r="G14" s="59" t="s">
        <v>1</v>
      </c>
      <c r="H14" s="59" t="s">
        <v>1</v>
      </c>
      <c r="I14" s="59" t="s">
        <v>1</v>
      </c>
      <c r="J14" s="59" t="s">
        <v>1</v>
      </c>
      <c r="K14" s="59" t="s">
        <v>1</v>
      </c>
      <c r="L14" s="23" t="str">
        <f t="shared" si="15"/>
        <v>Programa.De.Necessidades</v>
      </c>
      <c r="M14" s="23" t="str">
        <f t="shared" si="16"/>
        <v>Necessidades</v>
      </c>
      <c r="N14" s="23" t="str">
        <f t="shared" si="17"/>
        <v>Necessidade Sistemas</v>
      </c>
      <c r="O14" s="23" t="str">
        <f t="shared" si="18"/>
        <v>Nec Sistema Elétrico</v>
      </c>
      <c r="P14" s="24" t="s">
        <v>141</v>
      </c>
      <c r="Q14" s="24" t="str">
        <f t="shared" si="4"/>
        <v>Define el Programa de Requisitos Específicos del Proyecto.</v>
      </c>
      <c r="R14" s="24" t="s">
        <v>1</v>
      </c>
      <c r="S14" s="24" t="str">
        <f t="shared" si="19"/>
        <v>Programa De Necessidades</v>
      </c>
      <c r="T14" s="24" t="str">
        <f t="shared" si="20"/>
        <v>Necessidades</v>
      </c>
      <c r="U14" s="24" t="str">
        <f t="shared" si="21"/>
        <v>Necessidade Sistemas</v>
      </c>
      <c r="V14" s="24" t="s">
        <v>142</v>
      </c>
      <c r="W14" s="61" t="str">
        <f t="shared" si="22"/>
        <v>Key-REQ-14</v>
      </c>
      <c r="X14" s="24" t="s">
        <v>1</v>
      </c>
      <c r="Y14" s="24" t="s">
        <v>1</v>
      </c>
      <c r="Z14" s="24" t="s">
        <v>128</v>
      </c>
      <c r="AA14" s="24" t="str">
        <f t="shared" si="23"/>
        <v>Defines the Project-Specific Requirements Program.</v>
      </c>
    </row>
    <row r="15" spans="1:27" s="69" customFormat="1" ht="6.75" customHeight="1" x14ac:dyDescent="0.25">
      <c r="A15" s="62">
        <v>15</v>
      </c>
      <c r="B15" s="67" t="s">
        <v>74</v>
      </c>
      <c r="C15" s="67" t="s">
        <v>134</v>
      </c>
      <c r="D15" s="68" t="s">
        <v>135</v>
      </c>
      <c r="E15" s="68" t="s">
        <v>139</v>
      </c>
      <c r="F15" s="68" t="s">
        <v>157</v>
      </c>
      <c r="G15" s="59" t="s">
        <v>1</v>
      </c>
      <c r="H15" s="59" t="s">
        <v>1</v>
      </c>
      <c r="I15" s="59" t="s">
        <v>1</v>
      </c>
      <c r="J15" s="59" t="s">
        <v>1</v>
      </c>
      <c r="K15" s="59" t="s">
        <v>1</v>
      </c>
      <c r="L15" s="23" t="str">
        <f t="shared" si="15"/>
        <v>Programa.De.Necessidades</v>
      </c>
      <c r="M15" s="23" t="str">
        <f t="shared" si="16"/>
        <v>Necessidades</v>
      </c>
      <c r="N15" s="23" t="str">
        <f t="shared" si="17"/>
        <v>Necessidade Sistemas</v>
      </c>
      <c r="O15" s="23" t="str">
        <f t="shared" si="18"/>
        <v>Nec Sistema Incêndio</v>
      </c>
      <c r="P15" s="24" t="s">
        <v>141</v>
      </c>
      <c r="Q15" s="24" t="str">
        <f t="shared" si="4"/>
        <v>Define el Programa de Requisitos Específicos del Proyecto.</v>
      </c>
      <c r="R15" s="24" t="s">
        <v>1</v>
      </c>
      <c r="S15" s="24" t="str">
        <f t="shared" si="19"/>
        <v>Programa De Necessidades</v>
      </c>
      <c r="T15" s="24" t="str">
        <f t="shared" si="20"/>
        <v>Necessidades</v>
      </c>
      <c r="U15" s="24" t="str">
        <f t="shared" si="21"/>
        <v>Necessidade Sistemas</v>
      </c>
      <c r="V15" s="24" t="s">
        <v>142</v>
      </c>
      <c r="W15" s="61" t="str">
        <f t="shared" si="22"/>
        <v>Key-REQ-15</v>
      </c>
      <c r="X15" s="24" t="s">
        <v>1</v>
      </c>
      <c r="Y15" s="24" t="s">
        <v>1</v>
      </c>
      <c r="Z15" s="24" t="s">
        <v>128</v>
      </c>
      <c r="AA15" s="24" t="str">
        <f t="shared" si="23"/>
        <v>Defines the Project-Specific Requirements Program.</v>
      </c>
    </row>
    <row r="16" spans="1:27" s="69" customFormat="1" ht="6.75" customHeight="1" x14ac:dyDescent="0.25">
      <c r="A16" s="62">
        <v>16</v>
      </c>
      <c r="B16" s="67" t="s">
        <v>74</v>
      </c>
      <c r="C16" s="67" t="s">
        <v>134</v>
      </c>
      <c r="D16" s="68" t="s">
        <v>135</v>
      </c>
      <c r="E16" s="68" t="s">
        <v>139</v>
      </c>
      <c r="F16" s="68" t="s">
        <v>158</v>
      </c>
      <c r="G16" s="59" t="s">
        <v>1</v>
      </c>
      <c r="H16" s="59" t="s">
        <v>1</v>
      </c>
      <c r="I16" s="59" t="s">
        <v>1</v>
      </c>
      <c r="J16" s="59" t="s">
        <v>1</v>
      </c>
      <c r="K16" s="59" t="s">
        <v>1</v>
      </c>
      <c r="L16" s="23" t="str">
        <f t="shared" ref="L16:L17" si="24">CONCATENATE("", C16)</f>
        <v>Programa.De.Necessidades</v>
      </c>
      <c r="M16" s="23" t="str">
        <f t="shared" ref="M16:M17" si="25">CONCATENATE("", D16)</f>
        <v>Necessidades</v>
      </c>
      <c r="N16" s="23" t="str">
        <f t="shared" ref="N16:N17" si="26">(SUBSTITUTE(SUBSTITUTE(CONCATENATE("",E16),"."," ")," De "," de "))</f>
        <v>Necessidade Sistemas</v>
      </c>
      <c r="O16" s="23" t="str">
        <f t="shared" ref="O16:O17" si="27">(SUBSTITUTE(SUBSTITUTE(CONCATENATE("",F16),"."," ")," De "," de "))</f>
        <v>Nec Sistema Sanitário</v>
      </c>
      <c r="P16" s="24" t="s">
        <v>141</v>
      </c>
      <c r="Q16" s="24" t="str">
        <f t="shared" si="4"/>
        <v>Define el Programa de Requisitos Específicos del Proyecto.</v>
      </c>
      <c r="R16" s="24" t="s">
        <v>1</v>
      </c>
      <c r="S16" s="24" t="str">
        <f t="shared" ref="S16:S17" si="28">SUBSTITUTE(C16, ".", " ")</f>
        <v>Programa De Necessidades</v>
      </c>
      <c r="T16" s="24" t="str">
        <f t="shared" ref="T16:T17" si="29">SUBSTITUTE(D16, ".", " ")</f>
        <v>Necessidades</v>
      </c>
      <c r="U16" s="24" t="str">
        <f t="shared" ref="U16:U17" si="30">SUBSTITUTE(E16, ".", " ")</f>
        <v>Necessidade Sistemas</v>
      </c>
      <c r="V16" s="24" t="s">
        <v>142</v>
      </c>
      <c r="W16" s="61" t="str">
        <f t="shared" ref="W16:W17" si="31">CONCATENATE("Key-REQ-",A16)</f>
        <v>Key-REQ-16</v>
      </c>
      <c r="X16" s="24" t="s">
        <v>1</v>
      </c>
      <c r="Y16" s="24" t="s">
        <v>1</v>
      </c>
      <c r="Z16" s="24" t="s">
        <v>128</v>
      </c>
      <c r="AA16" s="24" t="str">
        <f t="shared" ref="AA16:AA17" si="32">_xlfn.TRANSLATE(P16,"pt","en")</f>
        <v>Defines the Project-Specific Requirements Program.</v>
      </c>
    </row>
    <row r="17" spans="1:27" s="69" customFormat="1" ht="6.75" customHeight="1" x14ac:dyDescent="0.25">
      <c r="A17" s="62">
        <v>17</v>
      </c>
      <c r="B17" s="67" t="s">
        <v>74</v>
      </c>
      <c r="C17" s="67" t="s">
        <v>134</v>
      </c>
      <c r="D17" s="68" t="s">
        <v>135</v>
      </c>
      <c r="E17" s="68" t="s">
        <v>139</v>
      </c>
      <c r="F17" s="68" t="s">
        <v>159</v>
      </c>
      <c r="G17" s="59" t="s">
        <v>1</v>
      </c>
      <c r="H17" s="59" t="s">
        <v>1</v>
      </c>
      <c r="I17" s="59" t="s">
        <v>1</v>
      </c>
      <c r="J17" s="59" t="s">
        <v>1</v>
      </c>
      <c r="K17" s="59" t="s">
        <v>1</v>
      </c>
      <c r="L17" s="23" t="str">
        <f t="shared" si="24"/>
        <v>Programa.De.Necessidades</v>
      </c>
      <c r="M17" s="23" t="str">
        <f t="shared" si="25"/>
        <v>Necessidades</v>
      </c>
      <c r="N17" s="23" t="str">
        <f t="shared" si="26"/>
        <v>Necessidade Sistemas</v>
      </c>
      <c r="O17" s="23" t="str">
        <f t="shared" si="27"/>
        <v>Nec Sistema Lógico</v>
      </c>
      <c r="P17" s="24" t="s">
        <v>141</v>
      </c>
      <c r="Q17" s="24" t="str">
        <f t="shared" si="4"/>
        <v>Define el Programa de Requisitos Específicos del Proyecto.</v>
      </c>
      <c r="R17" s="24" t="s">
        <v>1</v>
      </c>
      <c r="S17" s="24" t="str">
        <f t="shared" si="28"/>
        <v>Programa De Necessidades</v>
      </c>
      <c r="T17" s="24" t="str">
        <f t="shared" si="29"/>
        <v>Necessidades</v>
      </c>
      <c r="U17" s="24" t="str">
        <f t="shared" si="30"/>
        <v>Necessidade Sistemas</v>
      </c>
      <c r="V17" s="24" t="s">
        <v>142</v>
      </c>
      <c r="W17" s="61" t="str">
        <f t="shared" si="31"/>
        <v>Key-REQ-17</v>
      </c>
      <c r="X17" s="24" t="s">
        <v>1</v>
      </c>
      <c r="Y17" s="24" t="s">
        <v>1</v>
      </c>
      <c r="Z17" s="24" t="s">
        <v>128</v>
      </c>
      <c r="AA17" s="24" t="str">
        <f t="shared" si="32"/>
        <v>Defines the Project-Specific Requirements Program.</v>
      </c>
    </row>
  </sheetData>
  <phoneticPr fontId="1" type="noConversion"/>
  <conditionalFormatting sqref="A2:B2 B3:B6 A3:A17">
    <cfRule type="cellIs" dxfId="18" priority="18" operator="equal">
      <formula>"null"</formula>
    </cfRule>
  </conditionalFormatting>
  <conditionalFormatting sqref="A1:C1 L1:W1 Y1:Z1 AB1:XFD1 A18:C1048576 L18:W1048576 Y18:XFD1048576">
    <cfRule type="cellIs" dxfId="17" priority="429" operator="equal">
      <formula>"null"</formula>
    </cfRule>
  </conditionalFormatting>
  <conditionalFormatting sqref="F1:F1048576">
    <cfRule type="duplicateValues" dxfId="16" priority="6"/>
  </conditionalFormatting>
  <conditionalFormatting sqref="AA1:AA17">
    <cfRule type="cellIs" dxfId="15" priority="8" operator="equal">
      <formula>"null"</formula>
    </cfRule>
  </conditionalFormatting>
  <conditionalFormatting sqref="B7:B17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1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42578125" defaultRowHeight="6" customHeight="1" x14ac:dyDescent="0.25"/>
  <cols>
    <col min="1" max="1" width="3" bestFit="1" customWidth="1"/>
    <col min="2" max="2" width="6.7109375" bestFit="1" customWidth="1"/>
    <col min="3" max="4" width="11" bestFit="1" customWidth="1"/>
  </cols>
  <sheetData>
    <row r="1" spans="1:4" ht="12.6" customHeight="1" x14ac:dyDescent="0.25">
      <c r="A1" s="18">
        <v>1</v>
      </c>
      <c r="B1" s="19" t="s">
        <v>75</v>
      </c>
      <c r="C1" s="19" t="s">
        <v>76</v>
      </c>
      <c r="D1" s="19" t="s">
        <v>76</v>
      </c>
    </row>
    <row r="2" spans="1:4" s="29" customFormat="1" ht="8.25" customHeight="1" x14ac:dyDescent="0.15">
      <c r="A2" s="12">
        <v>2</v>
      </c>
      <c r="B2" s="35" t="s">
        <v>1</v>
      </c>
      <c r="C2" s="36" t="s">
        <v>1</v>
      </c>
      <c r="D2" s="36" t="s">
        <v>1</v>
      </c>
    </row>
    <row r="3" spans="1:4" s="29" customFormat="1" ht="8.25" customHeight="1" x14ac:dyDescent="0.15">
      <c r="A3" s="12">
        <v>3</v>
      </c>
      <c r="B3" s="35" t="s">
        <v>1</v>
      </c>
      <c r="C3" s="36" t="s">
        <v>1</v>
      </c>
      <c r="D3" s="36" t="s">
        <v>1</v>
      </c>
    </row>
    <row r="4" spans="1:4" s="29" customFormat="1" ht="8.25" customHeight="1" x14ac:dyDescent="0.15">
      <c r="A4" s="12">
        <v>4</v>
      </c>
      <c r="B4" s="35" t="s">
        <v>1</v>
      </c>
      <c r="C4" s="36" t="s">
        <v>1</v>
      </c>
      <c r="D4" s="36" t="s">
        <v>1</v>
      </c>
    </row>
    <row r="5" spans="1:4" s="29" customFormat="1" ht="6" customHeight="1" x14ac:dyDescent="0.25">
      <c r="A5"/>
      <c r="B5"/>
      <c r="C5"/>
      <c r="D5"/>
    </row>
    <row r="6" spans="1:4" s="29" customFormat="1" ht="6" customHeight="1" x14ac:dyDescent="0.25">
      <c r="A6"/>
      <c r="B6"/>
      <c r="C6"/>
      <c r="D6"/>
    </row>
  </sheetData>
  <conditionalFormatting sqref="A1:A4">
    <cfRule type="cellIs" dxfId="12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BA8"/>
  <sheetViews>
    <sheetView zoomScale="265" zoomScaleNormal="265" workbookViewId="0">
      <pane ySplit="1" topLeftCell="A2" activePane="bottomLeft" state="frozen"/>
      <selection pane="bottomLeft" activeCell="A5" sqref="A5"/>
    </sheetView>
  </sheetViews>
  <sheetFormatPr defaultColWidth="9.28515625" defaultRowHeight="7.35" customHeight="1" x14ac:dyDescent="0.25"/>
  <cols>
    <col min="1" max="1" width="2.140625" style="58" bestFit="1" customWidth="1"/>
    <col min="2" max="2" width="7.5703125" style="58" customWidth="1"/>
    <col min="3" max="3" width="10.7109375" style="58" bestFit="1" customWidth="1"/>
    <col min="4" max="4" width="7.5703125" style="58" customWidth="1"/>
    <col min="5" max="5" width="6.140625" style="58" bestFit="1" customWidth="1"/>
    <col min="6" max="13" width="3" style="58" customWidth="1"/>
    <col min="14" max="14" width="5" style="58" customWidth="1"/>
    <col min="15" max="15" width="20" style="58" customWidth="1"/>
    <col min="16" max="16" width="4.28515625" style="58" bestFit="1" customWidth="1"/>
    <col min="17" max="17" width="4.7109375" style="58" bestFit="1" customWidth="1"/>
    <col min="18" max="18" width="4.28515625" style="58" bestFit="1" customWidth="1"/>
    <col min="19" max="19" width="4.7109375" style="58" bestFit="1" customWidth="1"/>
    <col min="20" max="20" width="4.28515625" style="58" bestFit="1" customWidth="1"/>
    <col min="21" max="21" width="4.7109375" style="58" bestFit="1" customWidth="1"/>
    <col min="22" max="22" width="4.28515625" style="58" bestFit="1" customWidth="1"/>
    <col min="23" max="23" width="4.7109375" style="58" bestFit="1" customWidth="1"/>
    <col min="24" max="24" width="4.28515625" style="58" bestFit="1" customWidth="1"/>
    <col min="25" max="26" width="3.85546875" style="58" bestFit="1" customWidth="1"/>
    <col min="27" max="27" width="4.7109375" style="58" bestFit="1" customWidth="1"/>
    <col min="28" max="28" width="4.28515625" style="58" bestFit="1" customWidth="1"/>
    <col min="29" max="29" width="4.7109375" style="58" bestFit="1" customWidth="1"/>
    <col min="30" max="30" width="4.28515625" style="58" bestFit="1" customWidth="1"/>
    <col min="31" max="31" width="3.85546875" style="58" bestFit="1" customWidth="1"/>
    <col min="32" max="32" width="4.28515625" style="58" bestFit="1" customWidth="1"/>
    <col min="33" max="33" width="4.7109375" style="58" bestFit="1" customWidth="1"/>
    <col min="34" max="34" width="4.28515625" style="58" bestFit="1" customWidth="1"/>
    <col min="35" max="35" width="4.7109375" style="58" bestFit="1" customWidth="1"/>
    <col min="36" max="36" width="4.28515625" style="58" bestFit="1" customWidth="1"/>
    <col min="37" max="37" width="4.7109375" style="58" bestFit="1" customWidth="1"/>
    <col min="38" max="38" width="4.28515625" style="58" bestFit="1" customWidth="1"/>
    <col min="39" max="39" width="4.7109375" style="58" bestFit="1" customWidth="1"/>
    <col min="40" max="40" width="4.28515625" style="58" bestFit="1" customWidth="1"/>
    <col min="41" max="41" width="4.7109375" style="58" bestFit="1" customWidth="1"/>
    <col min="42" max="42" width="4.28515625" style="58" bestFit="1" customWidth="1"/>
    <col min="43" max="43" width="4.7109375" style="58" bestFit="1" customWidth="1"/>
    <col min="44" max="44" width="4.28515625" style="58" bestFit="1" customWidth="1"/>
    <col min="45" max="45" width="4.7109375" style="58" bestFit="1" customWidth="1"/>
    <col min="46" max="46" width="4.28515625" style="58" bestFit="1" customWidth="1"/>
    <col min="47" max="47" width="4.7109375" style="58" bestFit="1" customWidth="1"/>
    <col min="48" max="48" width="4.28515625" style="58" bestFit="1" customWidth="1"/>
    <col min="49" max="49" width="4.7109375" style="58" bestFit="1" customWidth="1"/>
    <col min="50" max="50" width="4.28515625" style="58" bestFit="1" customWidth="1"/>
    <col min="51" max="51" width="4.7109375" style="58" bestFit="1" customWidth="1"/>
    <col min="52" max="52" width="4.28515625" style="58" bestFit="1" customWidth="1"/>
    <col min="53" max="53" width="4.7109375" style="58" bestFit="1" customWidth="1"/>
    <col min="54" max="16384" width="9.28515625" style="58"/>
  </cols>
  <sheetData>
    <row r="1" spans="1:53" ht="16.899999999999999" customHeight="1" x14ac:dyDescent="0.25">
      <c r="A1" s="22">
        <v>1</v>
      </c>
      <c r="B1" s="17" t="s">
        <v>81</v>
      </c>
      <c r="C1" s="42" t="s">
        <v>79</v>
      </c>
      <c r="D1" s="42" t="s">
        <v>33</v>
      </c>
      <c r="E1" s="53" t="s">
        <v>90</v>
      </c>
      <c r="F1" s="17" t="s">
        <v>33</v>
      </c>
      <c r="G1" s="53" t="s">
        <v>90</v>
      </c>
      <c r="H1" s="17" t="s">
        <v>33</v>
      </c>
      <c r="I1" s="53" t="s">
        <v>90</v>
      </c>
      <c r="J1" s="17" t="s">
        <v>33</v>
      </c>
      <c r="K1" s="53" t="s">
        <v>90</v>
      </c>
      <c r="L1" s="17" t="s">
        <v>33</v>
      </c>
      <c r="M1" s="38" t="s">
        <v>90</v>
      </c>
      <c r="N1" s="17" t="s">
        <v>33</v>
      </c>
      <c r="O1" s="38" t="s">
        <v>90</v>
      </c>
      <c r="P1" s="17" t="s">
        <v>33</v>
      </c>
      <c r="Q1" s="38" t="s">
        <v>90</v>
      </c>
      <c r="R1" s="42" t="s">
        <v>33</v>
      </c>
      <c r="S1" s="38" t="s">
        <v>90</v>
      </c>
      <c r="T1" s="42" t="s">
        <v>33</v>
      </c>
      <c r="U1" s="38" t="s">
        <v>90</v>
      </c>
      <c r="V1" s="17" t="s">
        <v>33</v>
      </c>
      <c r="W1" s="53" t="s">
        <v>90</v>
      </c>
      <c r="X1" s="17" t="s">
        <v>33</v>
      </c>
      <c r="Y1" s="53" t="s">
        <v>73</v>
      </c>
      <c r="Z1" s="47"/>
      <c r="AA1" s="38" t="s">
        <v>90</v>
      </c>
      <c r="AB1" s="49" t="s">
        <v>33</v>
      </c>
      <c r="AC1" s="38" t="s">
        <v>90</v>
      </c>
      <c r="AD1" s="17" t="s">
        <v>33</v>
      </c>
      <c r="AE1" s="38" t="s">
        <v>82</v>
      </c>
      <c r="AF1" s="17" t="s">
        <v>33</v>
      </c>
      <c r="AG1" s="38" t="s">
        <v>90</v>
      </c>
      <c r="AH1" s="40" t="s">
        <v>33</v>
      </c>
      <c r="AI1" s="38" t="s">
        <v>90</v>
      </c>
      <c r="AJ1" s="17" t="s">
        <v>33</v>
      </c>
      <c r="AK1" s="38" t="s">
        <v>90</v>
      </c>
      <c r="AL1" s="17" t="s">
        <v>33</v>
      </c>
      <c r="AM1" s="38" t="s">
        <v>90</v>
      </c>
      <c r="AN1" s="17" t="s">
        <v>33</v>
      </c>
      <c r="AO1" s="38" t="s">
        <v>90</v>
      </c>
      <c r="AP1" s="17" t="s">
        <v>33</v>
      </c>
      <c r="AQ1" s="38" t="s">
        <v>90</v>
      </c>
      <c r="AR1" s="17" t="s">
        <v>33</v>
      </c>
      <c r="AS1" s="38" t="s">
        <v>90</v>
      </c>
      <c r="AT1" s="17" t="s">
        <v>33</v>
      </c>
      <c r="AU1" s="38" t="s">
        <v>90</v>
      </c>
      <c r="AV1" s="17" t="s">
        <v>33</v>
      </c>
      <c r="AW1" s="38" t="s">
        <v>90</v>
      </c>
      <c r="AX1" s="17" t="s">
        <v>33</v>
      </c>
      <c r="AY1" s="38" t="s">
        <v>90</v>
      </c>
      <c r="AZ1" s="17" t="s">
        <v>33</v>
      </c>
      <c r="BA1" s="38" t="s">
        <v>90</v>
      </c>
    </row>
    <row r="2" spans="1:53" ht="9" customHeight="1" x14ac:dyDescent="0.25">
      <c r="A2" s="31">
        <v>2</v>
      </c>
      <c r="B2" s="33" t="s">
        <v>168</v>
      </c>
      <c r="C2" s="26" t="s">
        <v>74</v>
      </c>
      <c r="D2" s="57" t="s">
        <v>1</v>
      </c>
      <c r="E2" s="51" t="s">
        <v>1</v>
      </c>
      <c r="F2" s="57" t="s">
        <v>1</v>
      </c>
      <c r="G2" s="51" t="s">
        <v>1</v>
      </c>
      <c r="H2" s="57" t="s">
        <v>1</v>
      </c>
      <c r="I2" s="51" t="s">
        <v>1</v>
      </c>
      <c r="J2" s="57" t="s">
        <v>1</v>
      </c>
      <c r="K2" s="51" t="s">
        <v>1</v>
      </c>
      <c r="L2" s="57" t="s">
        <v>1</v>
      </c>
      <c r="M2" s="51" t="s">
        <v>1</v>
      </c>
      <c r="N2" s="27" t="s">
        <v>80</v>
      </c>
      <c r="O2" s="25" t="s">
        <v>130</v>
      </c>
      <c r="P2" s="37" t="s">
        <v>1</v>
      </c>
      <c r="Q2" s="25" t="s">
        <v>1</v>
      </c>
      <c r="R2" s="37" t="s">
        <v>1</v>
      </c>
      <c r="S2" s="25" t="s">
        <v>1</v>
      </c>
      <c r="T2" s="37" t="s">
        <v>1</v>
      </c>
      <c r="U2" s="39" t="s">
        <v>1</v>
      </c>
      <c r="V2" s="27" t="s">
        <v>1</v>
      </c>
      <c r="W2" s="25" t="s">
        <v>1</v>
      </c>
      <c r="X2" s="27" t="s">
        <v>1</v>
      </c>
      <c r="Y2" s="25" t="s">
        <v>1</v>
      </c>
      <c r="Z2" s="48" t="s">
        <v>1</v>
      </c>
      <c r="AA2" s="39" t="s">
        <v>1</v>
      </c>
      <c r="AB2" s="50" t="s">
        <v>1</v>
      </c>
      <c r="AC2" s="39" t="s">
        <v>1</v>
      </c>
      <c r="AD2" s="27" t="s">
        <v>1</v>
      </c>
      <c r="AE2" s="39" t="s">
        <v>1</v>
      </c>
      <c r="AF2" s="27" t="s">
        <v>1</v>
      </c>
      <c r="AG2" s="39" t="s">
        <v>1</v>
      </c>
      <c r="AH2" s="41" t="s">
        <v>1</v>
      </c>
      <c r="AI2" s="39" t="s">
        <v>1</v>
      </c>
      <c r="AJ2" s="27" t="s">
        <v>1</v>
      </c>
      <c r="AK2" s="34" t="s">
        <v>1</v>
      </c>
      <c r="AL2" s="27" t="s">
        <v>1</v>
      </c>
      <c r="AM2" s="43" t="s">
        <v>1</v>
      </c>
      <c r="AN2" s="27" t="s">
        <v>1</v>
      </c>
      <c r="AO2" s="43" t="s">
        <v>1</v>
      </c>
      <c r="AP2" s="27" t="s">
        <v>1</v>
      </c>
      <c r="AQ2" s="34" t="s">
        <v>1</v>
      </c>
      <c r="AR2" s="27" t="s">
        <v>1</v>
      </c>
      <c r="AS2" s="32" t="s">
        <v>1</v>
      </c>
      <c r="AT2" s="27" t="s">
        <v>1</v>
      </c>
      <c r="AU2" s="52" t="s">
        <v>1</v>
      </c>
      <c r="AV2" s="27" t="s">
        <v>1</v>
      </c>
      <c r="AW2" s="43" t="s">
        <v>1</v>
      </c>
      <c r="AX2" s="27" t="s">
        <v>1</v>
      </c>
      <c r="AY2" s="43" t="s">
        <v>1</v>
      </c>
      <c r="AZ2" s="27" t="s">
        <v>1</v>
      </c>
      <c r="BA2" s="43" t="s">
        <v>1</v>
      </c>
    </row>
    <row r="3" spans="1:53" ht="9" customHeight="1" x14ac:dyDescent="0.25">
      <c r="A3" s="31">
        <v>3</v>
      </c>
      <c r="B3" s="33" t="s">
        <v>169</v>
      </c>
      <c r="C3" s="26" t="s">
        <v>129</v>
      </c>
      <c r="D3" s="57" t="s">
        <v>167</v>
      </c>
      <c r="E3" s="51" t="s">
        <v>168</v>
      </c>
      <c r="F3" s="57" t="s">
        <v>1</v>
      </c>
      <c r="G3" s="51" t="s">
        <v>1</v>
      </c>
      <c r="H3" s="57" t="s">
        <v>1</v>
      </c>
      <c r="I3" s="51" t="s">
        <v>1</v>
      </c>
      <c r="J3" s="57" t="s">
        <v>1</v>
      </c>
      <c r="K3" s="51" t="s">
        <v>1</v>
      </c>
      <c r="L3" s="57" t="s">
        <v>1</v>
      </c>
      <c r="M3" s="51" t="s">
        <v>1</v>
      </c>
      <c r="N3" s="27" t="s">
        <v>80</v>
      </c>
      <c r="O3" s="25" t="s">
        <v>130</v>
      </c>
      <c r="P3" s="37" t="s">
        <v>1</v>
      </c>
      <c r="Q3" s="25" t="s">
        <v>1</v>
      </c>
      <c r="R3" s="37" t="s">
        <v>1</v>
      </c>
      <c r="S3" s="25" t="s">
        <v>1</v>
      </c>
      <c r="T3" s="37" t="s">
        <v>1</v>
      </c>
      <c r="U3" s="39" t="s">
        <v>1</v>
      </c>
      <c r="V3" s="27" t="s">
        <v>1</v>
      </c>
      <c r="W3" s="25" t="s">
        <v>1</v>
      </c>
      <c r="X3" s="27" t="s">
        <v>1</v>
      </c>
      <c r="Y3" s="25" t="s">
        <v>1</v>
      </c>
      <c r="Z3" s="48" t="s">
        <v>1</v>
      </c>
      <c r="AA3" s="39" t="s">
        <v>1</v>
      </c>
      <c r="AB3" s="50" t="s">
        <v>1</v>
      </c>
      <c r="AC3" s="39" t="s">
        <v>1</v>
      </c>
      <c r="AD3" s="27" t="s">
        <v>1</v>
      </c>
      <c r="AE3" s="39" t="s">
        <v>1</v>
      </c>
      <c r="AF3" s="27" t="s">
        <v>1</v>
      </c>
      <c r="AG3" s="39" t="s">
        <v>1</v>
      </c>
      <c r="AH3" s="41" t="s">
        <v>1</v>
      </c>
      <c r="AI3" s="39" t="s">
        <v>1</v>
      </c>
      <c r="AJ3" s="27" t="s">
        <v>1</v>
      </c>
      <c r="AK3" s="34" t="s">
        <v>1</v>
      </c>
      <c r="AL3" s="27" t="s">
        <v>1</v>
      </c>
      <c r="AM3" s="43" t="s">
        <v>1</v>
      </c>
      <c r="AN3" s="27" t="s">
        <v>1</v>
      </c>
      <c r="AO3" s="43" t="s">
        <v>1</v>
      </c>
      <c r="AP3" s="27" t="s">
        <v>1</v>
      </c>
      <c r="AQ3" s="34" t="s">
        <v>1</v>
      </c>
      <c r="AR3" s="27" t="s">
        <v>1</v>
      </c>
      <c r="AS3" s="32" t="s">
        <v>1</v>
      </c>
      <c r="AT3" s="27" t="s">
        <v>1</v>
      </c>
      <c r="AU3" s="52" t="s">
        <v>1</v>
      </c>
      <c r="AV3" s="27" t="s">
        <v>1</v>
      </c>
      <c r="AW3" s="43" t="s">
        <v>1</v>
      </c>
      <c r="AX3" s="27" t="s">
        <v>1</v>
      </c>
      <c r="AY3" s="43" t="s">
        <v>1</v>
      </c>
      <c r="AZ3" s="27" t="s">
        <v>1</v>
      </c>
      <c r="BA3" s="43" t="s">
        <v>1</v>
      </c>
    </row>
    <row r="4" spans="1:53" ht="9" customHeight="1" x14ac:dyDescent="0.25">
      <c r="A4" s="31">
        <v>4</v>
      </c>
      <c r="B4" s="33" t="s">
        <v>161</v>
      </c>
      <c r="C4" s="68" t="s">
        <v>160</v>
      </c>
      <c r="D4" s="57" t="s">
        <v>167</v>
      </c>
      <c r="E4" s="51" t="s">
        <v>169</v>
      </c>
      <c r="F4" s="57" t="s">
        <v>1</v>
      </c>
      <c r="G4" s="51" t="s">
        <v>1</v>
      </c>
      <c r="H4" s="57" t="s">
        <v>1</v>
      </c>
      <c r="I4" s="51" t="s">
        <v>1</v>
      </c>
      <c r="J4" s="57" t="s">
        <v>1</v>
      </c>
      <c r="K4" s="51" t="s">
        <v>1</v>
      </c>
      <c r="L4" s="57" t="s">
        <v>1</v>
      </c>
      <c r="M4" s="51" t="s">
        <v>1</v>
      </c>
      <c r="N4" s="27" t="s">
        <v>80</v>
      </c>
      <c r="O4" s="25" t="s">
        <v>171</v>
      </c>
      <c r="P4" s="37" t="s">
        <v>1</v>
      </c>
      <c r="Q4" s="25" t="s">
        <v>1</v>
      </c>
      <c r="R4" s="37" t="s">
        <v>1</v>
      </c>
      <c r="S4" s="25" t="s">
        <v>1</v>
      </c>
      <c r="T4" s="37" t="s">
        <v>1</v>
      </c>
      <c r="U4" s="39" t="s">
        <v>1</v>
      </c>
      <c r="V4" s="27" t="s">
        <v>1</v>
      </c>
      <c r="W4" s="25" t="s">
        <v>1</v>
      </c>
      <c r="X4" s="27" t="s">
        <v>1</v>
      </c>
      <c r="Y4" s="25" t="s">
        <v>1</v>
      </c>
      <c r="Z4" s="48" t="s">
        <v>1</v>
      </c>
      <c r="AA4" s="39" t="s">
        <v>1</v>
      </c>
      <c r="AB4" s="50" t="s">
        <v>1</v>
      </c>
      <c r="AC4" s="39" t="s">
        <v>1</v>
      </c>
      <c r="AD4" s="27" t="s">
        <v>1</v>
      </c>
      <c r="AE4" s="39" t="s">
        <v>1</v>
      </c>
      <c r="AF4" s="27" t="s">
        <v>1</v>
      </c>
      <c r="AG4" s="39" t="s">
        <v>1</v>
      </c>
      <c r="AH4" s="41" t="s">
        <v>1</v>
      </c>
      <c r="AI4" s="39" t="s">
        <v>1</v>
      </c>
      <c r="AJ4" s="27" t="s">
        <v>1</v>
      </c>
      <c r="AK4" s="34" t="s">
        <v>1</v>
      </c>
      <c r="AL4" s="27" t="s">
        <v>1</v>
      </c>
      <c r="AM4" s="43" t="s">
        <v>1</v>
      </c>
      <c r="AN4" s="27" t="s">
        <v>1</v>
      </c>
      <c r="AO4" s="43" t="s">
        <v>1</v>
      </c>
      <c r="AP4" s="27" t="s">
        <v>1</v>
      </c>
      <c r="AQ4" s="34" t="s">
        <v>1</v>
      </c>
      <c r="AR4" s="27" t="s">
        <v>1</v>
      </c>
      <c r="AS4" s="32" t="s">
        <v>1</v>
      </c>
      <c r="AT4" s="27" t="s">
        <v>1</v>
      </c>
      <c r="AU4" s="52" t="s">
        <v>1</v>
      </c>
      <c r="AV4" s="27" t="s">
        <v>1</v>
      </c>
      <c r="AW4" s="43" t="s">
        <v>1</v>
      </c>
      <c r="AX4" s="27" t="s">
        <v>1</v>
      </c>
      <c r="AY4" s="43" t="s">
        <v>1</v>
      </c>
      <c r="AZ4" s="27" t="s">
        <v>1</v>
      </c>
      <c r="BA4" s="43" t="s">
        <v>1</v>
      </c>
    </row>
    <row r="5" spans="1:53" ht="9" customHeight="1" x14ac:dyDescent="0.25">
      <c r="A5" s="31">
        <v>5</v>
      </c>
      <c r="B5" s="33" t="s">
        <v>164</v>
      </c>
      <c r="C5" s="68" t="s">
        <v>155</v>
      </c>
      <c r="D5" s="57" t="s">
        <v>167</v>
      </c>
      <c r="E5" s="51" t="s">
        <v>169</v>
      </c>
      <c r="F5" s="57" t="s">
        <v>1</v>
      </c>
      <c r="G5" s="51" t="s">
        <v>1</v>
      </c>
      <c r="H5" s="57" t="s">
        <v>1</v>
      </c>
      <c r="I5" s="51" t="s">
        <v>1</v>
      </c>
      <c r="J5" s="57" t="s">
        <v>1</v>
      </c>
      <c r="K5" s="51" t="s">
        <v>1</v>
      </c>
      <c r="L5" s="57" t="s">
        <v>1</v>
      </c>
      <c r="M5" s="51" t="s">
        <v>1</v>
      </c>
      <c r="N5" s="27" t="s">
        <v>80</v>
      </c>
      <c r="O5" s="25" t="s">
        <v>170</v>
      </c>
      <c r="P5" s="37" t="s">
        <v>1</v>
      </c>
      <c r="Q5" s="25" t="s">
        <v>1</v>
      </c>
      <c r="R5" s="37" t="s">
        <v>1</v>
      </c>
      <c r="S5" s="25" t="s">
        <v>1</v>
      </c>
      <c r="T5" s="37" t="s">
        <v>1</v>
      </c>
      <c r="U5" s="39" t="s">
        <v>1</v>
      </c>
      <c r="V5" s="27" t="s">
        <v>1</v>
      </c>
      <c r="W5" s="25" t="s">
        <v>1</v>
      </c>
      <c r="X5" s="27" t="s">
        <v>1</v>
      </c>
      <c r="Y5" s="25" t="s">
        <v>1</v>
      </c>
      <c r="Z5" s="48" t="s">
        <v>1</v>
      </c>
      <c r="AA5" s="39" t="s">
        <v>1</v>
      </c>
      <c r="AB5" s="50" t="s">
        <v>1</v>
      </c>
      <c r="AC5" s="39" t="s">
        <v>1</v>
      </c>
      <c r="AD5" s="27" t="s">
        <v>1</v>
      </c>
      <c r="AE5" s="39" t="s">
        <v>1</v>
      </c>
      <c r="AF5" s="27" t="s">
        <v>1</v>
      </c>
      <c r="AG5" s="39" t="s">
        <v>1</v>
      </c>
      <c r="AH5" s="41" t="s">
        <v>1</v>
      </c>
      <c r="AI5" s="39" t="s">
        <v>1</v>
      </c>
      <c r="AJ5" s="27" t="s">
        <v>1</v>
      </c>
      <c r="AK5" s="34" t="s">
        <v>1</v>
      </c>
      <c r="AL5" s="27" t="s">
        <v>1</v>
      </c>
      <c r="AM5" s="43" t="s">
        <v>1</v>
      </c>
      <c r="AN5" s="27" t="s">
        <v>1</v>
      </c>
      <c r="AO5" s="43" t="s">
        <v>1</v>
      </c>
      <c r="AP5" s="27" t="s">
        <v>1</v>
      </c>
      <c r="AQ5" s="34" t="s">
        <v>1</v>
      </c>
      <c r="AR5" s="27" t="s">
        <v>1</v>
      </c>
      <c r="AS5" s="32" t="s">
        <v>1</v>
      </c>
      <c r="AT5" s="27" t="s">
        <v>1</v>
      </c>
      <c r="AU5" s="52" t="s">
        <v>1</v>
      </c>
      <c r="AV5" s="27" t="s">
        <v>1</v>
      </c>
      <c r="AW5" s="43" t="s">
        <v>1</v>
      </c>
      <c r="AX5" s="27" t="s">
        <v>1</v>
      </c>
      <c r="AY5" s="43" t="s">
        <v>1</v>
      </c>
      <c r="AZ5" s="27" t="s">
        <v>1</v>
      </c>
      <c r="BA5" s="43" t="s">
        <v>1</v>
      </c>
    </row>
    <row r="6" spans="1:53" ht="9" customHeight="1" x14ac:dyDescent="0.25">
      <c r="A6" s="31">
        <v>6</v>
      </c>
      <c r="B6" s="33" t="s">
        <v>163</v>
      </c>
      <c r="C6" s="68" t="s">
        <v>156</v>
      </c>
      <c r="D6" s="57" t="s">
        <v>167</v>
      </c>
      <c r="E6" s="51" t="s">
        <v>169</v>
      </c>
      <c r="F6" s="57" t="s">
        <v>1</v>
      </c>
      <c r="G6" s="51" t="s">
        <v>1</v>
      </c>
      <c r="H6" s="57" t="s">
        <v>1</v>
      </c>
      <c r="I6" s="51" t="s">
        <v>1</v>
      </c>
      <c r="J6" s="57" t="s">
        <v>1</v>
      </c>
      <c r="K6" s="51" t="s">
        <v>1</v>
      </c>
      <c r="L6" s="57" t="s">
        <v>1</v>
      </c>
      <c r="M6" s="51" t="s">
        <v>1</v>
      </c>
      <c r="N6" s="27" t="s">
        <v>80</v>
      </c>
      <c r="O6" s="25" t="s">
        <v>172</v>
      </c>
      <c r="P6" s="37" t="s">
        <v>1</v>
      </c>
      <c r="Q6" s="25" t="s">
        <v>1</v>
      </c>
      <c r="R6" s="37" t="s">
        <v>1</v>
      </c>
      <c r="S6" s="25" t="s">
        <v>1</v>
      </c>
      <c r="T6" s="37" t="s">
        <v>1</v>
      </c>
      <c r="U6" s="39" t="s">
        <v>1</v>
      </c>
      <c r="V6" s="27" t="s">
        <v>1</v>
      </c>
      <c r="W6" s="25" t="s">
        <v>1</v>
      </c>
      <c r="X6" s="27" t="s">
        <v>1</v>
      </c>
      <c r="Y6" s="25" t="s">
        <v>1</v>
      </c>
      <c r="Z6" s="48" t="s">
        <v>1</v>
      </c>
      <c r="AA6" s="39" t="s">
        <v>1</v>
      </c>
      <c r="AB6" s="50" t="s">
        <v>1</v>
      </c>
      <c r="AC6" s="39" t="s">
        <v>1</v>
      </c>
      <c r="AD6" s="27" t="s">
        <v>1</v>
      </c>
      <c r="AE6" s="39" t="s">
        <v>1</v>
      </c>
      <c r="AF6" s="27" t="s">
        <v>1</v>
      </c>
      <c r="AG6" s="39" t="s">
        <v>1</v>
      </c>
      <c r="AH6" s="41" t="s">
        <v>1</v>
      </c>
      <c r="AI6" s="39" t="s">
        <v>1</v>
      </c>
      <c r="AJ6" s="27" t="s">
        <v>1</v>
      </c>
      <c r="AK6" s="34" t="s">
        <v>1</v>
      </c>
      <c r="AL6" s="27" t="s">
        <v>1</v>
      </c>
      <c r="AM6" s="43" t="s">
        <v>1</v>
      </c>
      <c r="AN6" s="27" t="s">
        <v>1</v>
      </c>
      <c r="AO6" s="43" t="s">
        <v>1</v>
      </c>
      <c r="AP6" s="27" t="s">
        <v>1</v>
      </c>
      <c r="AQ6" s="34" t="s">
        <v>1</v>
      </c>
      <c r="AR6" s="27" t="s">
        <v>1</v>
      </c>
      <c r="AS6" s="32" t="s">
        <v>1</v>
      </c>
      <c r="AT6" s="27" t="s">
        <v>1</v>
      </c>
      <c r="AU6" s="52" t="s">
        <v>1</v>
      </c>
      <c r="AV6" s="27" t="s">
        <v>1</v>
      </c>
      <c r="AW6" s="43" t="s">
        <v>1</v>
      </c>
      <c r="AX6" s="27" t="s">
        <v>1</v>
      </c>
      <c r="AY6" s="43" t="s">
        <v>1</v>
      </c>
      <c r="AZ6" s="27" t="s">
        <v>1</v>
      </c>
      <c r="BA6" s="43" t="s">
        <v>1</v>
      </c>
    </row>
    <row r="7" spans="1:53" ht="9" customHeight="1" x14ac:dyDescent="0.25">
      <c r="A7" s="31">
        <v>7</v>
      </c>
      <c r="B7" s="33" t="s">
        <v>166</v>
      </c>
      <c r="C7" s="68" t="s">
        <v>157</v>
      </c>
      <c r="D7" s="57" t="s">
        <v>167</v>
      </c>
      <c r="E7" s="51" t="s">
        <v>169</v>
      </c>
      <c r="F7" s="57" t="s">
        <v>1</v>
      </c>
      <c r="G7" s="51" t="s">
        <v>1</v>
      </c>
      <c r="H7" s="57" t="s">
        <v>1</v>
      </c>
      <c r="I7" s="51" t="s">
        <v>1</v>
      </c>
      <c r="J7" s="57" t="s">
        <v>1</v>
      </c>
      <c r="K7" s="51" t="s">
        <v>1</v>
      </c>
      <c r="L7" s="57" t="s">
        <v>1</v>
      </c>
      <c r="M7" s="51" t="s">
        <v>1</v>
      </c>
      <c r="N7" s="27" t="s">
        <v>80</v>
      </c>
      <c r="O7" s="25" t="s">
        <v>173</v>
      </c>
      <c r="P7" s="37" t="s">
        <v>1</v>
      </c>
      <c r="Q7" s="25" t="s">
        <v>1</v>
      </c>
      <c r="R7" s="37" t="s">
        <v>1</v>
      </c>
      <c r="S7" s="25" t="s">
        <v>1</v>
      </c>
      <c r="T7" s="37" t="s">
        <v>1</v>
      </c>
      <c r="U7" s="39" t="s">
        <v>1</v>
      </c>
      <c r="V7" s="27" t="s">
        <v>1</v>
      </c>
      <c r="W7" s="25" t="s">
        <v>1</v>
      </c>
      <c r="X7" s="27" t="s">
        <v>1</v>
      </c>
      <c r="Y7" s="25" t="s">
        <v>1</v>
      </c>
      <c r="Z7" s="48" t="s">
        <v>1</v>
      </c>
      <c r="AA7" s="39" t="s">
        <v>1</v>
      </c>
      <c r="AB7" s="50" t="s">
        <v>1</v>
      </c>
      <c r="AC7" s="39" t="s">
        <v>1</v>
      </c>
      <c r="AD7" s="27" t="s">
        <v>1</v>
      </c>
      <c r="AE7" s="39" t="s">
        <v>1</v>
      </c>
      <c r="AF7" s="27" t="s">
        <v>1</v>
      </c>
      <c r="AG7" s="39" t="s">
        <v>1</v>
      </c>
      <c r="AH7" s="41" t="s">
        <v>1</v>
      </c>
      <c r="AI7" s="39" t="s">
        <v>1</v>
      </c>
      <c r="AJ7" s="27" t="s">
        <v>1</v>
      </c>
      <c r="AK7" s="34" t="s">
        <v>1</v>
      </c>
      <c r="AL7" s="27" t="s">
        <v>1</v>
      </c>
      <c r="AM7" s="43" t="s">
        <v>1</v>
      </c>
      <c r="AN7" s="27" t="s">
        <v>1</v>
      </c>
      <c r="AO7" s="43" t="s">
        <v>1</v>
      </c>
      <c r="AP7" s="27" t="s">
        <v>1</v>
      </c>
      <c r="AQ7" s="34" t="s">
        <v>1</v>
      </c>
      <c r="AR7" s="27" t="s">
        <v>1</v>
      </c>
      <c r="AS7" s="32" t="s">
        <v>1</v>
      </c>
      <c r="AT7" s="27" t="s">
        <v>1</v>
      </c>
      <c r="AU7" s="52" t="s">
        <v>1</v>
      </c>
      <c r="AV7" s="27" t="s">
        <v>1</v>
      </c>
      <c r="AW7" s="43" t="s">
        <v>1</v>
      </c>
      <c r="AX7" s="27" t="s">
        <v>1</v>
      </c>
      <c r="AY7" s="43" t="s">
        <v>1</v>
      </c>
      <c r="AZ7" s="27" t="s">
        <v>1</v>
      </c>
      <c r="BA7" s="43" t="s">
        <v>1</v>
      </c>
    </row>
    <row r="8" spans="1:53" ht="9" customHeight="1" x14ac:dyDescent="0.25">
      <c r="A8" s="31">
        <v>8</v>
      </c>
      <c r="B8" s="33" t="s">
        <v>165</v>
      </c>
      <c r="C8" s="68" t="s">
        <v>158</v>
      </c>
      <c r="D8" s="57" t="s">
        <v>167</v>
      </c>
      <c r="E8" s="51" t="s">
        <v>169</v>
      </c>
      <c r="F8" s="57" t="s">
        <v>1</v>
      </c>
      <c r="G8" s="51" t="s">
        <v>1</v>
      </c>
      <c r="H8" s="57" t="s">
        <v>1</v>
      </c>
      <c r="I8" s="51" t="s">
        <v>1</v>
      </c>
      <c r="J8" s="57" t="s">
        <v>1</v>
      </c>
      <c r="K8" s="51" t="s">
        <v>1</v>
      </c>
      <c r="L8" s="57" t="s">
        <v>1</v>
      </c>
      <c r="M8" s="51" t="s">
        <v>1</v>
      </c>
      <c r="N8" s="27" t="s">
        <v>80</v>
      </c>
      <c r="O8" s="25" t="s">
        <v>162</v>
      </c>
      <c r="P8" s="37" t="s">
        <v>1</v>
      </c>
      <c r="Q8" s="25" t="s">
        <v>1</v>
      </c>
      <c r="R8" s="37" t="s">
        <v>1</v>
      </c>
      <c r="S8" s="25" t="s">
        <v>1</v>
      </c>
      <c r="T8" s="37" t="s">
        <v>1</v>
      </c>
      <c r="U8" s="39" t="s">
        <v>1</v>
      </c>
      <c r="V8" s="27" t="s">
        <v>1</v>
      </c>
      <c r="W8" s="25" t="s">
        <v>1</v>
      </c>
      <c r="X8" s="27" t="s">
        <v>1</v>
      </c>
      <c r="Y8" s="25" t="s">
        <v>1</v>
      </c>
      <c r="Z8" s="48" t="s">
        <v>1</v>
      </c>
      <c r="AA8" s="39" t="s">
        <v>1</v>
      </c>
      <c r="AB8" s="50" t="s">
        <v>1</v>
      </c>
      <c r="AC8" s="39" t="s">
        <v>1</v>
      </c>
      <c r="AD8" s="27" t="s">
        <v>1</v>
      </c>
      <c r="AE8" s="39" t="s">
        <v>1</v>
      </c>
      <c r="AF8" s="27" t="s">
        <v>1</v>
      </c>
      <c r="AG8" s="39" t="s">
        <v>1</v>
      </c>
      <c r="AH8" s="41" t="s">
        <v>1</v>
      </c>
      <c r="AI8" s="39" t="s">
        <v>1</v>
      </c>
      <c r="AJ8" s="27" t="s">
        <v>1</v>
      </c>
      <c r="AK8" s="34" t="s">
        <v>1</v>
      </c>
      <c r="AL8" s="27" t="s">
        <v>1</v>
      </c>
      <c r="AM8" s="43" t="s">
        <v>1</v>
      </c>
      <c r="AN8" s="27" t="s">
        <v>1</v>
      </c>
      <c r="AO8" s="43" t="s">
        <v>1</v>
      </c>
      <c r="AP8" s="27" t="s">
        <v>1</v>
      </c>
      <c r="AQ8" s="34" t="s">
        <v>1</v>
      </c>
      <c r="AR8" s="27" t="s">
        <v>1</v>
      </c>
      <c r="AS8" s="32" t="s">
        <v>1</v>
      </c>
      <c r="AT8" s="27" t="s">
        <v>1</v>
      </c>
      <c r="AU8" s="52" t="s">
        <v>1</v>
      </c>
      <c r="AV8" s="27" t="s">
        <v>1</v>
      </c>
      <c r="AW8" s="43" t="s">
        <v>1</v>
      </c>
      <c r="AX8" s="27" t="s">
        <v>1</v>
      </c>
      <c r="AY8" s="43" t="s">
        <v>1</v>
      </c>
      <c r="AZ8" s="27" t="s">
        <v>1</v>
      </c>
      <c r="BA8" s="43" t="s">
        <v>1</v>
      </c>
    </row>
  </sheetData>
  <sortState xmlns:xlrd2="http://schemas.microsoft.com/office/spreadsheetml/2017/richdata2" ref="A3:BA6">
    <sortCondition ref="A1:A6"/>
  </sortState>
  <conditionalFormatting sqref="A1:BA2 B3:C3 E3:BA3 A3:A8">
    <cfRule type="cellIs" dxfId="0" priority="10" operator="equal">
      <formula>"null"</formula>
    </cfRule>
  </conditionalFormatting>
  <conditionalFormatting sqref="B1:B8">
    <cfRule type="duplicateValues" dxfId="11" priority="1934"/>
    <cfRule type="duplicateValues" dxfId="10" priority="1935"/>
  </conditionalFormatting>
  <conditionalFormatting sqref="B4 O5:O8 D4:BA4 D3 D5:E8">
    <cfRule type="cellIs" dxfId="9" priority="9" operator="equal">
      <formula>"null"</formula>
    </cfRule>
  </conditionalFormatting>
  <conditionalFormatting sqref="B5 P5:BA5 F5:N5">
    <cfRule type="cellIs" dxfId="8" priority="8" operator="equal">
      <formula>"null"</formula>
    </cfRule>
  </conditionalFormatting>
  <conditionalFormatting sqref="B6 P6:BA6 F6:N6">
    <cfRule type="cellIs" dxfId="7" priority="7" operator="equal">
      <formula>"null"</formula>
    </cfRule>
  </conditionalFormatting>
  <conditionalFormatting sqref="B7 P7:BA7 F7:N7">
    <cfRule type="cellIs" dxfId="6" priority="6" operator="equal">
      <formula>"null"</formula>
    </cfRule>
  </conditionalFormatting>
  <conditionalFormatting sqref="B8 P8:BA8 F8:N8">
    <cfRule type="cellIs" dxfId="5" priority="5" operator="equal">
      <formula>"null"</formula>
    </cfRule>
  </conditionalFormatting>
  <conditionalFormatting sqref="C4:C8">
    <cfRule type="duplicateValues" dxfId="4" priority="4"/>
  </conditionalFormatting>
  <conditionalFormatting sqref="B8">
    <cfRule type="cellIs" dxfId="3" priority="3" operator="equal">
      <formula>"null"</formula>
    </cfRule>
  </conditionalFormatting>
  <conditionalFormatting sqref="B5">
    <cfRule type="cellIs" dxfId="2" priority="2" operator="equal">
      <formula>"null"</formula>
    </cfRule>
  </conditionalFormatting>
  <conditionalFormatting sqref="B6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2026-08-10T12:31:32Z</dcterms:modified>
</cp:coreProperties>
</file>