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2D27D8E6-5103-44D5-A8E8-A9EFB1F3906C}"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BE3" i="30"/>
  <c r="BE4" i="30"/>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5" i="31"/>
  <c r="U95" i="31"/>
  <c r="T95" i="31"/>
  <c r="S95" i="31"/>
  <c r="O95" i="31"/>
  <c r="N95" i="31"/>
  <c r="M95" i="31"/>
  <c r="L95" i="31"/>
  <c r="W94" i="31"/>
  <c r="U94" i="31"/>
  <c r="T94" i="31"/>
  <c r="S94" i="31"/>
  <c r="O94" i="31"/>
  <c r="N94" i="31"/>
  <c r="M94" i="31"/>
  <c r="L94" i="31"/>
  <c r="W93" i="31"/>
  <c r="U93" i="31"/>
  <c r="T93" i="31"/>
  <c r="S93" i="31"/>
  <c r="O93" i="31"/>
  <c r="N93" i="31"/>
  <c r="M93" i="31"/>
  <c r="L93" i="31"/>
  <c r="W390" i="31"/>
  <c r="U390" i="31"/>
  <c r="T390" i="31"/>
  <c r="S390" i="31"/>
  <c r="O390" i="31"/>
  <c r="N390" i="31"/>
  <c r="M390" i="31"/>
  <c r="L390" i="31"/>
  <c r="W389" i="31"/>
  <c r="U389" i="31"/>
  <c r="T389" i="31"/>
  <c r="S389" i="31"/>
  <c r="O389" i="31"/>
  <c r="N389" i="31"/>
  <c r="M389" i="31"/>
  <c r="L389" i="31"/>
  <c r="W388" i="31"/>
  <c r="U388" i="31"/>
  <c r="T388" i="31"/>
  <c r="S388" i="31"/>
  <c r="O388" i="31"/>
  <c r="N388" i="31"/>
  <c r="M388" i="31"/>
  <c r="L388" i="31"/>
  <c r="W387" i="31"/>
  <c r="U387" i="31"/>
  <c r="T387" i="31"/>
  <c r="S387" i="31"/>
  <c r="O387" i="31"/>
  <c r="N387" i="31"/>
  <c r="M387" i="31"/>
  <c r="L387" i="31"/>
  <c r="W386" i="31"/>
  <c r="U386" i="31"/>
  <c r="T386" i="31"/>
  <c r="S386" i="31"/>
  <c r="O386" i="31"/>
  <c r="N386" i="31"/>
  <c r="M386" i="31"/>
  <c r="L386" i="31"/>
  <c r="W385" i="31"/>
  <c r="U385" i="31"/>
  <c r="T385" i="31"/>
  <c r="S385" i="31"/>
  <c r="O385" i="31"/>
  <c r="N385" i="31"/>
  <c r="M385" i="31"/>
  <c r="L385" i="31"/>
  <c r="W384" i="31"/>
  <c r="U384" i="31"/>
  <c r="T384" i="31"/>
  <c r="S384" i="31"/>
  <c r="O384" i="31"/>
  <c r="N384" i="31"/>
  <c r="M384" i="31"/>
  <c r="L384" i="31"/>
  <c r="W383" i="31"/>
  <c r="U383" i="31"/>
  <c r="T383" i="31"/>
  <c r="S383" i="31"/>
  <c r="O383" i="31"/>
  <c r="N383" i="31"/>
  <c r="M383" i="31"/>
  <c r="L383" i="31"/>
  <c r="W382" i="31"/>
  <c r="U382" i="31"/>
  <c r="T382" i="31"/>
  <c r="S382" i="31"/>
  <c r="O382" i="31"/>
  <c r="N382" i="31"/>
  <c r="M382" i="31"/>
  <c r="L382" i="31"/>
  <c r="W381" i="31"/>
  <c r="U381" i="31"/>
  <c r="T381" i="31"/>
  <c r="S381" i="31"/>
  <c r="O381" i="31"/>
  <c r="N381" i="31"/>
  <c r="M381" i="31"/>
  <c r="L381" i="31"/>
  <c r="W380" i="31"/>
  <c r="U380" i="31"/>
  <c r="T380" i="31"/>
  <c r="S380" i="31"/>
  <c r="O380" i="31"/>
  <c r="N380" i="31"/>
  <c r="M380" i="31"/>
  <c r="L380" i="31"/>
  <c r="W379" i="31"/>
  <c r="U379" i="31"/>
  <c r="T379" i="31"/>
  <c r="S379" i="31"/>
  <c r="O379" i="31"/>
  <c r="N379" i="31"/>
  <c r="M379" i="31"/>
  <c r="L379" i="31"/>
  <c r="W378" i="31"/>
  <c r="U378" i="31"/>
  <c r="T378" i="31"/>
  <c r="S378" i="31"/>
  <c r="O378" i="31"/>
  <c r="N378" i="31"/>
  <c r="M378" i="31"/>
  <c r="L378" i="31"/>
  <c r="W377" i="31"/>
  <c r="U377" i="31"/>
  <c r="T377" i="31"/>
  <c r="S377" i="31"/>
  <c r="O377" i="31"/>
  <c r="N377" i="31"/>
  <c r="M377" i="31"/>
  <c r="L377" i="31"/>
  <c r="W376" i="31"/>
  <c r="U376" i="31"/>
  <c r="T376" i="31"/>
  <c r="S376" i="31"/>
  <c r="O376" i="31"/>
  <c r="N376" i="31"/>
  <c r="M376" i="31"/>
  <c r="L376" i="31"/>
  <c r="W375" i="31"/>
  <c r="U375" i="31"/>
  <c r="T375" i="31"/>
  <c r="S375" i="31"/>
  <c r="O375" i="31"/>
  <c r="N375" i="31"/>
  <c r="M375" i="31"/>
  <c r="L375" i="31"/>
  <c r="W374" i="31"/>
  <c r="U374" i="31"/>
  <c r="T374" i="31"/>
  <c r="S374" i="31"/>
  <c r="O374" i="31"/>
  <c r="N374" i="31"/>
  <c r="M374" i="31"/>
  <c r="L374" i="31"/>
  <c r="W373" i="31"/>
  <c r="U373" i="31"/>
  <c r="T373" i="31"/>
  <c r="S373" i="31"/>
  <c r="O373" i="31"/>
  <c r="N373" i="31"/>
  <c r="M373" i="31"/>
  <c r="L373" i="31"/>
  <c r="W372" i="31"/>
  <c r="U372" i="31"/>
  <c r="T372" i="31"/>
  <c r="S372" i="31"/>
  <c r="O372" i="31"/>
  <c r="N372" i="31"/>
  <c r="M372" i="31"/>
  <c r="L372" i="31"/>
  <c r="W371" i="31"/>
  <c r="U371" i="31"/>
  <c r="T371" i="31"/>
  <c r="S371" i="31"/>
  <c r="O371" i="31"/>
  <c r="N371" i="31"/>
  <c r="M371" i="31"/>
  <c r="L371" i="31"/>
  <c r="W370" i="31"/>
  <c r="U370" i="31"/>
  <c r="T370" i="31"/>
  <c r="S370" i="31"/>
  <c r="O370" i="31"/>
  <c r="N370" i="31"/>
  <c r="M370" i="31"/>
  <c r="L370" i="31"/>
  <c r="W369" i="31"/>
  <c r="U369" i="31"/>
  <c r="T369" i="31"/>
  <c r="S369" i="31"/>
  <c r="O369" i="31"/>
  <c r="N369" i="31"/>
  <c r="M369" i="31"/>
  <c r="L369" i="31"/>
  <c r="W368" i="31"/>
  <c r="U368" i="31"/>
  <c r="T368" i="31"/>
  <c r="S368" i="31"/>
  <c r="O368" i="31"/>
  <c r="N368" i="31"/>
  <c r="M368" i="31"/>
  <c r="L368" i="31"/>
  <c r="W367" i="31"/>
  <c r="U367" i="31"/>
  <c r="T367" i="31"/>
  <c r="S367" i="31"/>
  <c r="O367" i="31"/>
  <c r="N367" i="31"/>
  <c r="M367" i="31"/>
  <c r="L367" i="31"/>
  <c r="W366" i="31"/>
  <c r="U366" i="31"/>
  <c r="T366" i="31"/>
  <c r="S366" i="31"/>
  <c r="O366" i="31"/>
  <c r="N366" i="31"/>
  <c r="M366" i="31"/>
  <c r="L366" i="31"/>
  <c r="W365" i="31"/>
  <c r="U365" i="31"/>
  <c r="T365" i="31"/>
  <c r="S365" i="31"/>
  <c r="O365" i="31"/>
  <c r="N365" i="31"/>
  <c r="M365" i="31"/>
  <c r="L365" i="31"/>
  <c r="W364" i="31"/>
  <c r="U364" i="31"/>
  <c r="T364" i="31"/>
  <c r="S364" i="31"/>
  <c r="O364" i="31"/>
  <c r="N364" i="31"/>
  <c r="M364" i="31"/>
  <c r="L364" i="31"/>
  <c r="W363" i="31"/>
  <c r="U363" i="31"/>
  <c r="T363" i="31"/>
  <c r="S363" i="31"/>
  <c r="O363" i="31"/>
  <c r="N363" i="31"/>
  <c r="M363" i="31"/>
  <c r="L363" i="31"/>
  <c r="W362" i="31"/>
  <c r="U362" i="31"/>
  <c r="T362" i="31"/>
  <c r="S362" i="31"/>
  <c r="O362" i="31"/>
  <c r="N362" i="31"/>
  <c r="M362" i="31"/>
  <c r="L362" i="31"/>
  <c r="W361" i="31"/>
  <c r="U361" i="31"/>
  <c r="T361" i="31"/>
  <c r="S361" i="31"/>
  <c r="O361" i="31"/>
  <c r="N361" i="31"/>
  <c r="M361" i="31"/>
  <c r="L361" i="31"/>
  <c r="W360" i="31"/>
  <c r="U360" i="31"/>
  <c r="T360" i="31"/>
  <c r="S360" i="31"/>
  <c r="O360" i="31"/>
  <c r="N360" i="31"/>
  <c r="M360" i="31"/>
  <c r="L360" i="31"/>
  <c r="W359" i="31"/>
  <c r="U359" i="31"/>
  <c r="T359" i="31"/>
  <c r="S359" i="31"/>
  <c r="O359" i="31"/>
  <c r="N359" i="31"/>
  <c r="M359" i="31"/>
  <c r="L359" i="31"/>
  <c r="W358" i="31"/>
  <c r="U358" i="31"/>
  <c r="T358" i="31"/>
  <c r="S358" i="31"/>
  <c r="O358" i="31"/>
  <c r="N358" i="31"/>
  <c r="M358" i="31"/>
  <c r="L358" i="31"/>
  <c r="W357" i="31"/>
  <c r="U357" i="31"/>
  <c r="T357" i="31"/>
  <c r="S357" i="31"/>
  <c r="O357" i="31"/>
  <c r="N357" i="31"/>
  <c r="M357" i="31"/>
  <c r="L357" i="31"/>
  <c r="W356" i="31"/>
  <c r="U356" i="31"/>
  <c r="T356" i="31"/>
  <c r="S356" i="31"/>
  <c r="O356" i="31"/>
  <c r="N356" i="31"/>
  <c r="M356" i="31"/>
  <c r="L356" i="31"/>
  <c r="W355" i="31"/>
  <c r="U355" i="31"/>
  <c r="T355" i="31"/>
  <c r="S355" i="31"/>
  <c r="O355" i="31"/>
  <c r="N355" i="31"/>
  <c r="M355" i="31"/>
  <c r="L355" i="31"/>
  <c r="W354" i="31"/>
  <c r="U354" i="31"/>
  <c r="T354" i="31"/>
  <c r="S354" i="31"/>
  <c r="O354" i="31"/>
  <c r="N354" i="31"/>
  <c r="M354" i="31"/>
  <c r="L354" i="31"/>
  <c r="W353" i="31"/>
  <c r="U353" i="31"/>
  <c r="T353" i="31"/>
  <c r="S353" i="31"/>
  <c r="O353" i="31"/>
  <c r="N353" i="31"/>
  <c r="M353" i="31"/>
  <c r="L353" i="31"/>
  <c r="W352" i="31"/>
  <c r="U352" i="31"/>
  <c r="T352" i="31"/>
  <c r="S352" i="31"/>
  <c r="O352" i="31"/>
  <c r="N352" i="31"/>
  <c r="M352" i="31"/>
  <c r="L352" i="31"/>
  <c r="W351" i="31"/>
  <c r="U351" i="31"/>
  <c r="T351" i="31"/>
  <c r="S351" i="31"/>
  <c r="O351" i="31"/>
  <c r="N351" i="31"/>
  <c r="M351" i="31"/>
  <c r="L351" i="31"/>
  <c r="W350" i="31"/>
  <c r="U350" i="31"/>
  <c r="T350" i="31"/>
  <c r="S350" i="31"/>
  <c r="O350" i="31"/>
  <c r="N350" i="31"/>
  <c r="M350" i="31"/>
  <c r="L350" i="31"/>
  <c r="W349" i="31"/>
  <c r="U349" i="31"/>
  <c r="T349" i="31"/>
  <c r="S349" i="31"/>
  <c r="O349" i="31"/>
  <c r="N349" i="31"/>
  <c r="M349" i="31"/>
  <c r="L349" i="31"/>
  <c r="W348" i="31"/>
  <c r="U348" i="31"/>
  <c r="T348" i="31"/>
  <c r="S348" i="31"/>
  <c r="O348" i="31"/>
  <c r="N348" i="31"/>
  <c r="M348" i="31"/>
  <c r="L348" i="31"/>
  <c r="W347" i="31"/>
  <c r="U347" i="31"/>
  <c r="T347" i="31"/>
  <c r="S347" i="31"/>
  <c r="O347" i="31"/>
  <c r="N347" i="31"/>
  <c r="M347" i="31"/>
  <c r="L347" i="31"/>
  <c r="W346" i="31"/>
  <c r="U346" i="31"/>
  <c r="T346" i="31"/>
  <c r="S346" i="31"/>
  <c r="O346" i="31"/>
  <c r="N346" i="31"/>
  <c r="M346" i="31"/>
  <c r="L346" i="31"/>
  <c r="W345" i="31"/>
  <c r="U345" i="31"/>
  <c r="T345" i="31"/>
  <c r="S345" i="31"/>
  <c r="O345" i="31"/>
  <c r="N345" i="31"/>
  <c r="M345" i="31"/>
  <c r="L345" i="31"/>
  <c r="W344" i="31"/>
  <c r="U344" i="31"/>
  <c r="T344" i="31"/>
  <c r="S344" i="31"/>
  <c r="O344" i="31"/>
  <c r="N344" i="31"/>
  <c r="M344" i="31"/>
  <c r="L344" i="31"/>
  <c r="W343" i="31"/>
  <c r="U343" i="31"/>
  <c r="T343" i="31"/>
  <c r="S343" i="31"/>
  <c r="O343" i="31"/>
  <c r="N343" i="31"/>
  <c r="M343" i="31"/>
  <c r="L343" i="31"/>
  <c r="W342" i="31"/>
  <c r="U342" i="31"/>
  <c r="T342" i="31"/>
  <c r="S342" i="31"/>
  <c r="O342" i="31"/>
  <c r="N342" i="31"/>
  <c r="M342" i="31"/>
  <c r="L342" i="31"/>
  <c r="W341" i="31"/>
  <c r="U341" i="31"/>
  <c r="T341" i="31"/>
  <c r="S341" i="31"/>
  <c r="O341" i="31"/>
  <c r="N341" i="31"/>
  <c r="M341" i="31"/>
  <c r="L341" i="31"/>
  <c r="W340" i="31"/>
  <c r="U340" i="31"/>
  <c r="T340" i="31"/>
  <c r="S340" i="31"/>
  <c r="O340" i="31"/>
  <c r="N340" i="31"/>
  <c r="M340" i="31"/>
  <c r="L340" i="31"/>
  <c r="W339" i="31"/>
  <c r="U339" i="31"/>
  <c r="T339" i="31"/>
  <c r="S339" i="31"/>
  <c r="O339" i="31"/>
  <c r="N339" i="31"/>
  <c r="M339" i="31"/>
  <c r="L339" i="31"/>
  <c r="W338" i="31"/>
  <c r="U338" i="31"/>
  <c r="T338" i="31"/>
  <c r="S338" i="31"/>
  <c r="O338" i="31"/>
  <c r="N338" i="31"/>
  <c r="M338" i="31"/>
  <c r="L338" i="31"/>
  <c r="W337" i="31"/>
  <c r="U337" i="31"/>
  <c r="T337" i="31"/>
  <c r="S337" i="31"/>
  <c r="O337" i="31"/>
  <c r="N337" i="31"/>
  <c r="M337" i="31"/>
  <c r="L337" i="31"/>
  <c r="W336" i="31"/>
  <c r="U336" i="31"/>
  <c r="T336" i="31"/>
  <c r="S336" i="31"/>
  <c r="O336" i="31"/>
  <c r="N336" i="31"/>
  <c r="M336" i="31"/>
  <c r="L336" i="31"/>
  <c r="W335" i="31"/>
  <c r="U335" i="31"/>
  <c r="T335" i="31"/>
  <c r="S335" i="31"/>
  <c r="O335" i="31"/>
  <c r="N335" i="31"/>
  <c r="M335" i="31"/>
  <c r="L335" i="31"/>
  <c r="W334" i="31"/>
  <c r="U334" i="31"/>
  <c r="T334" i="31"/>
  <c r="S334" i="31"/>
  <c r="O334" i="31"/>
  <c r="N334" i="31"/>
  <c r="M334" i="31"/>
  <c r="L334" i="31"/>
  <c r="W333" i="31"/>
  <c r="U333" i="31"/>
  <c r="T333" i="31"/>
  <c r="S333" i="31"/>
  <c r="O333" i="31"/>
  <c r="N333" i="31"/>
  <c r="M333" i="31"/>
  <c r="L333" i="31"/>
  <c r="W332" i="31"/>
  <c r="U332" i="31"/>
  <c r="T332" i="31"/>
  <c r="S332" i="31"/>
  <c r="O332" i="31"/>
  <c r="N332" i="31"/>
  <c r="M332" i="31"/>
  <c r="L332" i="31"/>
  <c r="W331" i="31"/>
  <c r="U331" i="31"/>
  <c r="T331" i="31"/>
  <c r="S331" i="31"/>
  <c r="O331" i="31"/>
  <c r="N331" i="31"/>
  <c r="M331" i="31"/>
  <c r="L331" i="31"/>
  <c r="W330" i="31"/>
  <c r="U330" i="31"/>
  <c r="T330" i="31"/>
  <c r="S330" i="31"/>
  <c r="O330" i="31"/>
  <c r="N330" i="31"/>
  <c r="M330" i="31"/>
  <c r="L330" i="31"/>
  <c r="W329" i="31"/>
  <c r="U329" i="31"/>
  <c r="T329" i="31"/>
  <c r="S329" i="31"/>
  <c r="O329" i="31"/>
  <c r="N329" i="31"/>
  <c r="M329" i="31"/>
  <c r="L329" i="31"/>
  <c r="W328" i="31"/>
  <c r="U328" i="31"/>
  <c r="T328" i="31"/>
  <c r="S328" i="31"/>
  <c r="O328" i="31"/>
  <c r="N328" i="31"/>
  <c r="M328" i="31"/>
  <c r="L328" i="31"/>
  <c r="W327" i="31"/>
  <c r="U327" i="31"/>
  <c r="T327" i="31"/>
  <c r="S327" i="31"/>
  <c r="O327" i="31"/>
  <c r="N327" i="31"/>
  <c r="M327" i="31"/>
  <c r="L327" i="31"/>
  <c r="W326" i="31"/>
  <c r="U326" i="31"/>
  <c r="T326" i="31"/>
  <c r="S326" i="31"/>
  <c r="O326" i="31"/>
  <c r="N326" i="31"/>
  <c r="M326" i="31"/>
  <c r="L326" i="31"/>
  <c r="W325" i="31"/>
  <c r="U325" i="31"/>
  <c r="T325" i="31"/>
  <c r="S325" i="31"/>
  <c r="O325" i="31"/>
  <c r="N325" i="31"/>
  <c r="M325" i="31"/>
  <c r="L325" i="31"/>
  <c r="W324" i="31"/>
  <c r="U324" i="31"/>
  <c r="T324" i="31"/>
  <c r="S324" i="31"/>
  <c r="O324" i="31"/>
  <c r="N324" i="31"/>
  <c r="M324" i="31"/>
  <c r="L324" i="31"/>
  <c r="W323" i="31"/>
  <c r="U323" i="31"/>
  <c r="T323" i="31"/>
  <c r="S323" i="31"/>
  <c r="O323" i="31"/>
  <c r="N323" i="31"/>
  <c r="M323" i="31"/>
  <c r="L323" i="31"/>
  <c r="W322" i="31"/>
  <c r="U322" i="31"/>
  <c r="T322" i="31"/>
  <c r="S322" i="31"/>
  <c r="O322" i="31"/>
  <c r="N322" i="31"/>
  <c r="M322" i="31"/>
  <c r="L322" i="31"/>
  <c r="W321" i="31"/>
  <c r="U321" i="31"/>
  <c r="T321" i="31"/>
  <c r="S321" i="31"/>
  <c r="O321" i="31"/>
  <c r="N321" i="31"/>
  <c r="M321" i="31"/>
  <c r="L321" i="31"/>
  <c r="W320" i="31"/>
  <c r="U320" i="31"/>
  <c r="T320" i="31"/>
  <c r="S320" i="31"/>
  <c r="O320" i="31"/>
  <c r="N320" i="31"/>
  <c r="M320" i="31"/>
  <c r="L320" i="31"/>
  <c r="W319" i="31"/>
  <c r="U319" i="31"/>
  <c r="T319" i="31"/>
  <c r="S319" i="31"/>
  <c r="O319" i="31"/>
  <c r="N319" i="31"/>
  <c r="M319" i="31"/>
  <c r="L319" i="31"/>
  <c r="W318" i="31"/>
  <c r="U318" i="31"/>
  <c r="T318" i="31"/>
  <c r="S318" i="31"/>
  <c r="O318" i="31"/>
  <c r="N318" i="31"/>
  <c r="M318" i="31"/>
  <c r="L318" i="31"/>
  <c r="W317" i="31"/>
  <c r="U317" i="31"/>
  <c r="T317" i="31"/>
  <c r="S317" i="31"/>
  <c r="O317" i="31"/>
  <c r="N317" i="31"/>
  <c r="M317" i="31"/>
  <c r="L317" i="31"/>
  <c r="W316" i="31"/>
  <c r="U316" i="31"/>
  <c r="T316" i="31"/>
  <c r="S316" i="31"/>
  <c r="O316" i="31"/>
  <c r="N316" i="31"/>
  <c r="M316" i="31"/>
  <c r="L316" i="31"/>
  <c r="W315" i="31"/>
  <c r="U315" i="31"/>
  <c r="T315" i="31"/>
  <c r="S315" i="31"/>
  <c r="O315" i="31"/>
  <c r="N315" i="31"/>
  <c r="M315" i="31"/>
  <c r="L315" i="31"/>
  <c r="W314" i="31"/>
  <c r="U314" i="31"/>
  <c r="T314" i="31"/>
  <c r="S314" i="31"/>
  <c r="O314" i="31"/>
  <c r="N314" i="31"/>
  <c r="M314" i="31"/>
  <c r="L314" i="31"/>
  <c r="W313" i="31"/>
  <c r="U313" i="31"/>
  <c r="T313" i="31"/>
  <c r="S313" i="31"/>
  <c r="O313" i="31"/>
  <c r="N313" i="31"/>
  <c r="M313" i="31"/>
  <c r="L313" i="31"/>
  <c r="W312" i="31"/>
  <c r="U312" i="31"/>
  <c r="T312" i="31"/>
  <c r="S312" i="31"/>
  <c r="O312" i="31"/>
  <c r="N312" i="31"/>
  <c r="M312" i="31"/>
  <c r="L312" i="31"/>
  <c r="W311" i="31"/>
  <c r="U311" i="31"/>
  <c r="T311" i="31"/>
  <c r="S311" i="31"/>
  <c r="O311" i="31"/>
  <c r="N311" i="31"/>
  <c r="M311" i="31"/>
  <c r="L311" i="31"/>
  <c r="W310" i="31"/>
  <c r="U310" i="31"/>
  <c r="T310" i="31"/>
  <c r="S310" i="31"/>
  <c r="O310" i="31"/>
  <c r="N310" i="31"/>
  <c r="M310" i="31"/>
  <c r="L310" i="31"/>
  <c r="W309" i="31"/>
  <c r="U309" i="31"/>
  <c r="T309" i="31"/>
  <c r="S309" i="31"/>
  <c r="O309" i="31"/>
  <c r="N309" i="31"/>
  <c r="M309" i="31"/>
  <c r="L309" i="31"/>
  <c r="W308" i="31"/>
  <c r="U308" i="31"/>
  <c r="T308" i="31"/>
  <c r="S308" i="31"/>
  <c r="O308" i="31"/>
  <c r="N308" i="31"/>
  <c r="M308" i="31"/>
  <c r="L308" i="31"/>
  <c r="W307" i="31"/>
  <c r="U307" i="31"/>
  <c r="T307" i="31"/>
  <c r="S307" i="31"/>
  <c r="O307" i="31"/>
  <c r="N307" i="31"/>
  <c r="M307" i="31"/>
  <c r="L307" i="31"/>
  <c r="W306" i="31"/>
  <c r="U306" i="31"/>
  <c r="T306" i="31"/>
  <c r="S306" i="31"/>
  <c r="O306" i="31"/>
  <c r="N306" i="31"/>
  <c r="M306" i="31"/>
  <c r="L306" i="31"/>
  <c r="W305" i="31"/>
  <c r="U305" i="31"/>
  <c r="T305" i="31"/>
  <c r="S305" i="31"/>
  <c r="O305" i="31"/>
  <c r="N305" i="31"/>
  <c r="M305" i="31"/>
  <c r="L305" i="31"/>
  <c r="W304" i="31"/>
  <c r="U304" i="31"/>
  <c r="T304" i="31"/>
  <c r="S304" i="31"/>
  <c r="O304" i="31"/>
  <c r="N304" i="31"/>
  <c r="M304" i="31"/>
  <c r="L304" i="31"/>
  <c r="W303" i="31"/>
  <c r="U303" i="31"/>
  <c r="T303" i="31"/>
  <c r="S303" i="31"/>
  <c r="O303" i="31"/>
  <c r="N303" i="31"/>
  <c r="M303" i="31"/>
  <c r="L303" i="31"/>
  <c r="W302" i="31"/>
  <c r="U302" i="31"/>
  <c r="T302" i="31"/>
  <c r="S302" i="31"/>
  <c r="O302" i="31"/>
  <c r="N302" i="31"/>
  <c r="M302" i="31"/>
  <c r="L302" i="31"/>
  <c r="W301" i="31"/>
  <c r="U301" i="31"/>
  <c r="T301" i="31"/>
  <c r="S301" i="31"/>
  <c r="O301" i="31"/>
  <c r="N301" i="31"/>
  <c r="M301" i="31"/>
  <c r="L301" i="31"/>
  <c r="W300" i="31"/>
  <c r="U300" i="31"/>
  <c r="T300" i="31"/>
  <c r="S300" i="31"/>
  <c r="O300" i="31"/>
  <c r="N300" i="31"/>
  <c r="M300" i="31"/>
  <c r="L300" i="31"/>
  <c r="W299" i="31"/>
  <c r="U299" i="31"/>
  <c r="T299" i="31"/>
  <c r="S299" i="31"/>
  <c r="O299" i="31"/>
  <c r="N299" i="31"/>
  <c r="M299" i="31"/>
  <c r="L299" i="31"/>
  <c r="W298" i="31"/>
  <c r="U298" i="31"/>
  <c r="T298" i="31"/>
  <c r="S298" i="31"/>
  <c r="O298" i="31"/>
  <c r="N298" i="31"/>
  <c r="M298" i="31"/>
  <c r="L298" i="31"/>
  <c r="W297" i="31"/>
  <c r="U297" i="31"/>
  <c r="T297" i="31"/>
  <c r="S297" i="31"/>
  <c r="O297" i="31"/>
  <c r="N297" i="31"/>
  <c r="M297" i="31"/>
  <c r="L297" i="31"/>
  <c r="W296" i="31"/>
  <c r="U296" i="31"/>
  <c r="T296" i="31"/>
  <c r="S296" i="31"/>
  <c r="O296" i="31"/>
  <c r="N296" i="31"/>
  <c r="M296" i="31"/>
  <c r="L296" i="31"/>
  <c r="W295" i="31"/>
  <c r="U295" i="31"/>
  <c r="T295" i="31"/>
  <c r="S295" i="31"/>
  <c r="O295" i="31"/>
  <c r="N295" i="31"/>
  <c r="M295" i="31"/>
  <c r="L295" i="31"/>
  <c r="W294" i="31"/>
  <c r="U294" i="31"/>
  <c r="T294" i="31"/>
  <c r="S294" i="31"/>
  <c r="O294" i="31"/>
  <c r="N294" i="31"/>
  <c r="M294" i="31"/>
  <c r="L294" i="31"/>
  <c r="W293" i="31"/>
  <c r="U293" i="31"/>
  <c r="T293" i="31"/>
  <c r="S293" i="31"/>
  <c r="O293" i="31"/>
  <c r="N293" i="31"/>
  <c r="M293" i="31"/>
  <c r="L293" i="31"/>
  <c r="W292" i="31"/>
  <c r="U292" i="31"/>
  <c r="T292" i="31"/>
  <c r="S292" i="31"/>
  <c r="O292" i="31"/>
  <c r="N292" i="31"/>
  <c r="M292" i="31"/>
  <c r="L292" i="31"/>
  <c r="W291" i="31"/>
  <c r="U291" i="31"/>
  <c r="T291" i="31"/>
  <c r="S291" i="31"/>
  <c r="O291" i="31"/>
  <c r="N291" i="31"/>
  <c r="M291" i="31"/>
  <c r="L291" i="31"/>
  <c r="W290" i="31"/>
  <c r="U290" i="31"/>
  <c r="T290" i="31"/>
  <c r="S290" i="31"/>
  <c r="O290" i="31"/>
  <c r="N290" i="31"/>
  <c r="M290" i="31"/>
  <c r="L290" i="31"/>
  <c r="W289" i="31"/>
  <c r="U289" i="31"/>
  <c r="T289" i="31"/>
  <c r="S289" i="31"/>
  <c r="O289" i="31"/>
  <c r="N289" i="31"/>
  <c r="M289" i="31"/>
  <c r="L289" i="31"/>
  <c r="W288" i="31"/>
  <c r="U288" i="31"/>
  <c r="T288" i="31"/>
  <c r="S288" i="31"/>
  <c r="O288" i="31"/>
  <c r="N288" i="31"/>
  <c r="M288" i="31"/>
  <c r="L288" i="31"/>
  <c r="W287" i="31"/>
  <c r="U287" i="31"/>
  <c r="T287" i="31"/>
  <c r="S287" i="31"/>
  <c r="O287" i="31"/>
  <c r="N287" i="31"/>
  <c r="M287" i="31"/>
  <c r="L287" i="31"/>
  <c r="W286" i="31"/>
  <c r="U286" i="31"/>
  <c r="T286" i="31"/>
  <c r="S286" i="31"/>
  <c r="O286" i="31"/>
  <c r="N286" i="31"/>
  <c r="M286" i="31"/>
  <c r="L286" i="31"/>
  <c r="W285" i="31"/>
  <c r="U285" i="31"/>
  <c r="T285" i="31"/>
  <c r="S285" i="31"/>
  <c r="O285" i="31"/>
  <c r="N285" i="31"/>
  <c r="M285" i="31"/>
  <c r="L285" i="31"/>
  <c r="W284" i="31"/>
  <c r="U284" i="31"/>
  <c r="T284" i="31"/>
  <c r="S284" i="31"/>
  <c r="O284" i="31"/>
  <c r="N284" i="31"/>
  <c r="M284" i="31"/>
  <c r="L284" i="31"/>
  <c r="W283" i="31"/>
  <c r="U283" i="31"/>
  <c r="T283" i="31"/>
  <c r="S283" i="31"/>
  <c r="O283" i="31"/>
  <c r="N283" i="31"/>
  <c r="M283" i="31"/>
  <c r="L283" i="31"/>
  <c r="W282" i="31"/>
  <c r="U282" i="31"/>
  <c r="T282" i="31"/>
  <c r="S282" i="31"/>
  <c r="O282" i="31"/>
  <c r="N282" i="31"/>
  <c r="M282" i="31"/>
  <c r="L282" i="31"/>
  <c r="W281" i="31"/>
  <c r="U281" i="31"/>
  <c r="T281" i="31"/>
  <c r="S281" i="31"/>
  <c r="O281" i="31"/>
  <c r="N281" i="31"/>
  <c r="M281" i="31"/>
  <c r="L281" i="31"/>
  <c r="W280" i="31"/>
  <c r="U280" i="31"/>
  <c r="T280" i="31"/>
  <c r="S280" i="31"/>
  <c r="O280" i="31"/>
  <c r="N280" i="31"/>
  <c r="M280" i="31"/>
  <c r="L280" i="31"/>
  <c r="W279" i="31"/>
  <c r="U279" i="31"/>
  <c r="T279" i="31"/>
  <c r="S279" i="31"/>
  <c r="O279" i="31"/>
  <c r="N279" i="31"/>
  <c r="M279" i="31"/>
  <c r="L279" i="31"/>
  <c r="W278" i="31"/>
  <c r="U278" i="31"/>
  <c r="T278" i="31"/>
  <c r="S278" i="31"/>
  <c r="O278" i="31"/>
  <c r="N278" i="31"/>
  <c r="M278" i="31"/>
  <c r="L278" i="31"/>
  <c r="W277" i="31"/>
  <c r="U277" i="31"/>
  <c r="T277" i="31"/>
  <c r="S277" i="31"/>
  <c r="O277" i="31"/>
  <c r="N277" i="31"/>
  <c r="M277" i="31"/>
  <c r="L277" i="31"/>
  <c r="W276" i="31"/>
  <c r="U276" i="31"/>
  <c r="T276" i="31"/>
  <c r="S276" i="31"/>
  <c r="O276" i="31"/>
  <c r="N276" i="31"/>
  <c r="M276" i="31"/>
  <c r="L276" i="31"/>
  <c r="W275" i="31"/>
  <c r="U275" i="31"/>
  <c r="T275" i="31"/>
  <c r="S275" i="31"/>
  <c r="O275" i="31"/>
  <c r="N275" i="31"/>
  <c r="M275" i="31"/>
  <c r="L275" i="31"/>
  <c r="W274" i="31"/>
  <c r="U274" i="31"/>
  <c r="T274" i="31"/>
  <c r="S274" i="31"/>
  <c r="O274" i="31"/>
  <c r="N274" i="31"/>
  <c r="M274" i="31"/>
  <c r="L274" i="31"/>
  <c r="W273" i="31"/>
  <c r="U273" i="31"/>
  <c r="T273" i="31"/>
  <c r="S273" i="31"/>
  <c r="O273" i="31"/>
  <c r="N273" i="31"/>
  <c r="M273" i="31"/>
  <c r="L273" i="31"/>
  <c r="W272" i="31"/>
  <c r="U272" i="31"/>
  <c r="T272" i="31"/>
  <c r="S272" i="31"/>
  <c r="O272" i="31"/>
  <c r="N272" i="31"/>
  <c r="M272" i="31"/>
  <c r="L272" i="31"/>
  <c r="W271" i="31"/>
  <c r="U271" i="31"/>
  <c r="T271" i="31"/>
  <c r="S271" i="31"/>
  <c r="O271" i="31"/>
  <c r="N271" i="31"/>
  <c r="M271" i="31"/>
  <c r="L271" i="31"/>
  <c r="W270" i="31"/>
  <c r="U270" i="31"/>
  <c r="T270" i="31"/>
  <c r="S270" i="31"/>
  <c r="O270" i="31"/>
  <c r="N270" i="31"/>
  <c r="M270" i="31"/>
  <c r="L270" i="31"/>
  <c r="W269" i="31"/>
  <c r="U269" i="31"/>
  <c r="T269" i="31"/>
  <c r="S269" i="31"/>
  <c r="O269" i="31"/>
  <c r="N269" i="31"/>
  <c r="M269" i="31"/>
  <c r="L269" i="31"/>
  <c r="W268" i="31"/>
  <c r="U268" i="31"/>
  <c r="T268" i="31"/>
  <c r="S268" i="31"/>
  <c r="O268" i="31"/>
  <c r="N268" i="31"/>
  <c r="M268" i="31"/>
  <c r="L268" i="31"/>
  <c r="W267" i="31"/>
  <c r="U267" i="31"/>
  <c r="T267" i="31"/>
  <c r="S267" i="31"/>
  <c r="O267" i="31"/>
  <c r="N267" i="31"/>
  <c r="M267" i="31"/>
  <c r="L267" i="31"/>
  <c r="W266" i="31"/>
  <c r="U266" i="31"/>
  <c r="T266" i="31"/>
  <c r="S266" i="31"/>
  <c r="O266" i="31"/>
  <c r="N266" i="31"/>
  <c r="M266" i="31"/>
  <c r="L266" i="31"/>
  <c r="W265" i="31"/>
  <c r="U265" i="31"/>
  <c r="T265" i="31"/>
  <c r="S265" i="31"/>
  <c r="O265" i="31"/>
  <c r="N265" i="31"/>
  <c r="M265" i="31"/>
  <c r="L265" i="31"/>
  <c r="W264" i="31"/>
  <c r="U264" i="31"/>
  <c r="T264" i="31"/>
  <c r="S264" i="31"/>
  <c r="O264" i="31"/>
  <c r="N264" i="31"/>
  <c r="M264" i="31"/>
  <c r="L264" i="31"/>
  <c r="W263" i="31"/>
  <c r="U263" i="31"/>
  <c r="T263" i="31"/>
  <c r="S263" i="31"/>
  <c r="O263" i="31"/>
  <c r="N263" i="31"/>
  <c r="M263" i="31"/>
  <c r="L263" i="31"/>
  <c r="W262" i="31"/>
  <c r="U262" i="31"/>
  <c r="T262" i="31"/>
  <c r="S262" i="31"/>
  <c r="O262" i="31"/>
  <c r="N262" i="31"/>
  <c r="M262" i="31"/>
  <c r="L262" i="31"/>
  <c r="W261" i="31"/>
  <c r="U261" i="31"/>
  <c r="T261" i="31"/>
  <c r="S261" i="31"/>
  <c r="O261" i="31"/>
  <c r="N261" i="31"/>
  <c r="M261" i="31"/>
  <c r="L261" i="31"/>
  <c r="W260" i="31"/>
  <c r="U260" i="31"/>
  <c r="T260" i="31"/>
  <c r="S260" i="31"/>
  <c r="O260" i="31"/>
  <c r="N260" i="31"/>
  <c r="M260" i="31"/>
  <c r="L260" i="31"/>
  <c r="W259" i="31"/>
  <c r="U259" i="31"/>
  <c r="T259" i="31"/>
  <c r="S259" i="31"/>
  <c r="O259" i="31"/>
  <c r="N259" i="31"/>
  <c r="M259" i="31"/>
  <c r="L259" i="31"/>
  <c r="W258" i="31"/>
  <c r="U258" i="31"/>
  <c r="T258" i="31"/>
  <c r="S258" i="31"/>
  <c r="O258" i="31"/>
  <c r="N258" i="31"/>
  <c r="M258" i="31"/>
  <c r="L258" i="31"/>
  <c r="W257" i="31"/>
  <c r="U257" i="31"/>
  <c r="T257" i="31"/>
  <c r="S257" i="31"/>
  <c r="O257" i="31"/>
  <c r="N257" i="31"/>
  <c r="M257" i="31"/>
  <c r="L257" i="31"/>
  <c r="W256" i="31"/>
  <c r="U256" i="31"/>
  <c r="T256" i="31"/>
  <c r="S256" i="31"/>
  <c r="O256" i="31"/>
  <c r="N256" i="31"/>
  <c r="M256" i="31"/>
  <c r="L256" i="31"/>
  <c r="W255" i="31"/>
  <c r="U255" i="31"/>
  <c r="T255" i="31"/>
  <c r="S255" i="31"/>
  <c r="O255" i="31"/>
  <c r="N255" i="31"/>
  <c r="M255" i="31"/>
  <c r="L255" i="31"/>
  <c r="W254" i="31"/>
  <c r="U254" i="31"/>
  <c r="T254" i="31"/>
  <c r="S254" i="31"/>
  <c r="O254" i="31"/>
  <c r="N254" i="31"/>
  <c r="M254" i="31"/>
  <c r="L254" i="31"/>
  <c r="W253" i="31"/>
  <c r="U253" i="31"/>
  <c r="T253" i="31"/>
  <c r="S253" i="31"/>
  <c r="O253" i="31"/>
  <c r="N253" i="31"/>
  <c r="M253" i="31"/>
  <c r="L253" i="31"/>
  <c r="W252" i="31"/>
  <c r="U252" i="31"/>
  <c r="T252" i="31"/>
  <c r="S252" i="31"/>
  <c r="O252" i="31"/>
  <c r="N252" i="31"/>
  <c r="M252" i="31"/>
  <c r="L252" i="31"/>
  <c r="W251" i="31"/>
  <c r="U251" i="31"/>
  <c r="T251" i="31"/>
  <c r="S251" i="31"/>
  <c r="O251" i="31"/>
  <c r="N251" i="31"/>
  <c r="M251" i="31"/>
  <c r="L251" i="31"/>
  <c r="W250" i="31"/>
  <c r="U250" i="31"/>
  <c r="T250" i="31"/>
  <c r="S250" i="31"/>
  <c r="O250" i="31"/>
  <c r="N250" i="31"/>
  <c r="M250" i="31"/>
  <c r="L250" i="31"/>
  <c r="W249" i="31"/>
  <c r="U249" i="31"/>
  <c r="T249" i="31"/>
  <c r="S249" i="31"/>
  <c r="O249" i="31"/>
  <c r="N249" i="31"/>
  <c r="M249" i="31"/>
  <c r="L249" i="31"/>
  <c r="W248" i="31"/>
  <c r="U248" i="31"/>
  <c r="T248" i="31"/>
  <c r="S248" i="31"/>
  <c r="O248" i="31"/>
  <c r="N248" i="31"/>
  <c r="M248" i="31"/>
  <c r="L248" i="31"/>
  <c r="W247" i="31"/>
  <c r="U247" i="31"/>
  <c r="T247" i="31"/>
  <c r="S247" i="31"/>
  <c r="O247" i="31"/>
  <c r="N247" i="31"/>
  <c r="M247" i="31"/>
  <c r="L247" i="31"/>
  <c r="W246" i="31"/>
  <c r="U246" i="31"/>
  <c r="T246" i="31"/>
  <c r="S246" i="31"/>
  <c r="O246" i="31"/>
  <c r="N246" i="31"/>
  <c r="M246" i="31"/>
  <c r="L246" i="31"/>
  <c r="W245" i="31"/>
  <c r="U245" i="31"/>
  <c r="T245" i="31"/>
  <c r="S245" i="31"/>
  <c r="O245" i="31"/>
  <c r="N245" i="31"/>
  <c r="M245" i="31"/>
  <c r="L245" i="31"/>
  <c r="W244" i="31"/>
  <c r="U244" i="31"/>
  <c r="T244" i="31"/>
  <c r="S244" i="31"/>
  <c r="O244" i="31"/>
  <c r="N244" i="31"/>
  <c r="M244" i="31"/>
  <c r="L244" i="31"/>
  <c r="W243" i="31"/>
  <c r="U243" i="31"/>
  <c r="T243" i="31"/>
  <c r="S243" i="31"/>
  <c r="O243" i="31"/>
  <c r="N243" i="31"/>
  <c r="M243" i="31"/>
  <c r="L243" i="31"/>
  <c r="W242" i="31"/>
  <c r="U242" i="31"/>
  <c r="T242" i="31"/>
  <c r="S242" i="31"/>
  <c r="O242" i="31"/>
  <c r="N242" i="31"/>
  <c r="M242" i="31"/>
  <c r="L242" i="31"/>
  <c r="W241" i="31"/>
  <c r="U241" i="31"/>
  <c r="T241" i="31"/>
  <c r="S241" i="31"/>
  <c r="O241" i="31"/>
  <c r="N241" i="31"/>
  <c r="M241" i="31"/>
  <c r="L241" i="31"/>
  <c r="W240" i="31"/>
  <c r="U240" i="31"/>
  <c r="T240" i="31"/>
  <c r="S240" i="31"/>
  <c r="O240" i="31"/>
  <c r="N240" i="31"/>
  <c r="M240" i="31"/>
  <c r="L240" i="31"/>
  <c r="W239" i="31"/>
  <c r="U239" i="31"/>
  <c r="T239" i="31"/>
  <c r="S239" i="31"/>
  <c r="O239" i="31"/>
  <c r="N239" i="31"/>
  <c r="M239" i="31"/>
  <c r="L239" i="31"/>
  <c r="W238" i="31"/>
  <c r="U238" i="31"/>
  <c r="T238" i="31"/>
  <c r="S238" i="31"/>
  <c r="O238" i="31"/>
  <c r="N238" i="31"/>
  <c r="M238" i="31"/>
  <c r="L238" i="31"/>
  <c r="W237" i="31"/>
  <c r="U237" i="31"/>
  <c r="T237" i="31"/>
  <c r="S237" i="31"/>
  <c r="O237" i="31"/>
  <c r="N237" i="31"/>
  <c r="M237" i="31"/>
  <c r="L237" i="31"/>
  <c r="W236" i="31"/>
  <c r="U236" i="31"/>
  <c r="T236" i="31"/>
  <c r="S236" i="31"/>
  <c r="O236" i="31"/>
  <c r="N236" i="31"/>
  <c r="M236" i="31"/>
  <c r="L236" i="31"/>
  <c r="W235" i="31"/>
  <c r="U235" i="31"/>
  <c r="T235" i="31"/>
  <c r="S235" i="31"/>
  <c r="O235" i="31"/>
  <c r="N235" i="31"/>
  <c r="M235" i="31"/>
  <c r="L235" i="31"/>
  <c r="W234" i="31"/>
  <c r="U234" i="31"/>
  <c r="T234" i="31"/>
  <c r="S234" i="31"/>
  <c r="O234" i="31"/>
  <c r="N234" i="31"/>
  <c r="M234" i="31"/>
  <c r="L234" i="31"/>
  <c r="W233" i="31"/>
  <c r="U233" i="31"/>
  <c r="T233" i="31"/>
  <c r="S233" i="31"/>
  <c r="O233" i="31"/>
  <c r="N233" i="31"/>
  <c r="M233" i="31"/>
  <c r="L233" i="31"/>
  <c r="W232" i="31"/>
  <c r="U232" i="31"/>
  <c r="T232" i="31"/>
  <c r="S232" i="31"/>
  <c r="O232" i="31"/>
  <c r="N232" i="31"/>
  <c r="M232" i="31"/>
  <c r="L232" i="31"/>
  <c r="W231" i="31"/>
  <c r="U231" i="31"/>
  <c r="T231" i="31"/>
  <c r="S231" i="31"/>
  <c r="O231" i="31"/>
  <c r="N231" i="31"/>
  <c r="M231" i="31"/>
  <c r="L231" i="31"/>
  <c r="W230" i="31"/>
  <c r="U230" i="31"/>
  <c r="T230" i="31"/>
  <c r="S230" i="31"/>
  <c r="O230" i="31"/>
  <c r="N230" i="31"/>
  <c r="M230" i="31"/>
  <c r="L230" i="31"/>
  <c r="W229" i="31"/>
  <c r="U229" i="31"/>
  <c r="T229" i="31"/>
  <c r="S229" i="31"/>
  <c r="O229" i="31"/>
  <c r="N229" i="31"/>
  <c r="M229" i="31"/>
  <c r="L229" i="31"/>
  <c r="W228" i="31"/>
  <c r="U228" i="31"/>
  <c r="T228" i="31"/>
  <c r="S228" i="31"/>
  <c r="O228" i="31"/>
  <c r="N228" i="31"/>
  <c r="M228" i="31"/>
  <c r="L228" i="31"/>
  <c r="W227" i="31"/>
  <c r="U227" i="31"/>
  <c r="T227" i="31"/>
  <c r="S227" i="31"/>
  <c r="O227" i="31"/>
  <c r="N227" i="31"/>
  <c r="M227" i="31"/>
  <c r="L227" i="31"/>
  <c r="W226" i="31"/>
  <c r="U226" i="31"/>
  <c r="T226" i="31"/>
  <c r="S226" i="31"/>
  <c r="O226" i="31"/>
  <c r="N226" i="31"/>
  <c r="M226" i="31"/>
  <c r="L226" i="31"/>
  <c r="W225" i="31"/>
  <c r="U225" i="31"/>
  <c r="T225" i="31"/>
  <c r="S225" i="31"/>
  <c r="O225" i="31"/>
  <c r="N225" i="31"/>
  <c r="M225" i="31"/>
  <c r="L225" i="31"/>
  <c r="W224" i="31"/>
  <c r="U224" i="31"/>
  <c r="T224" i="31"/>
  <c r="S224" i="31"/>
  <c r="O224" i="31"/>
  <c r="N224" i="31"/>
  <c r="M224" i="31"/>
  <c r="L224" i="31"/>
  <c r="W223" i="31"/>
  <c r="U223" i="31"/>
  <c r="T223" i="31"/>
  <c r="S223" i="31"/>
  <c r="O223" i="31"/>
  <c r="N223" i="31"/>
  <c r="M223" i="31"/>
  <c r="L223" i="31"/>
  <c r="W222" i="31"/>
  <c r="U222" i="31"/>
  <c r="T222" i="31"/>
  <c r="S222" i="31"/>
  <c r="O222" i="31"/>
  <c r="N222" i="31"/>
  <c r="M222" i="31"/>
  <c r="L222" i="31"/>
  <c r="W221" i="31"/>
  <c r="U221" i="31"/>
  <c r="T221" i="31"/>
  <c r="S221" i="31"/>
  <c r="O221" i="31"/>
  <c r="N221" i="31"/>
  <c r="M221" i="31"/>
  <c r="L221" i="31"/>
  <c r="W220" i="31"/>
  <c r="U220" i="31"/>
  <c r="T220" i="31"/>
  <c r="S220" i="31"/>
  <c r="O220" i="31"/>
  <c r="N220" i="31"/>
  <c r="M220" i="31"/>
  <c r="L220" i="31"/>
  <c r="W219" i="31"/>
  <c r="U219" i="31"/>
  <c r="T219" i="31"/>
  <c r="S219" i="31"/>
  <c r="O219" i="31"/>
  <c r="N219" i="31"/>
  <c r="M219" i="31"/>
  <c r="L219" i="31"/>
  <c r="W218" i="31"/>
  <c r="U218" i="31"/>
  <c r="T218" i="31"/>
  <c r="S218" i="31"/>
  <c r="O218" i="31"/>
  <c r="N218" i="31"/>
  <c r="M218" i="31"/>
  <c r="L218" i="31"/>
  <c r="W217" i="31"/>
  <c r="U217" i="31"/>
  <c r="T217" i="31"/>
  <c r="S217" i="31"/>
  <c r="O217" i="31"/>
  <c r="N217" i="31"/>
  <c r="M217" i="31"/>
  <c r="L217" i="31"/>
  <c r="W216" i="31"/>
  <c r="U216" i="31"/>
  <c r="T216" i="31"/>
  <c r="S216" i="31"/>
  <c r="O216" i="31"/>
  <c r="N216" i="31"/>
  <c r="M216" i="31"/>
  <c r="L216" i="31"/>
  <c r="W215" i="31"/>
  <c r="U215" i="31"/>
  <c r="T215" i="31"/>
  <c r="S215" i="31"/>
  <c r="O215" i="31"/>
  <c r="N215" i="31"/>
  <c r="M215" i="31"/>
  <c r="L215" i="31"/>
  <c r="W214" i="31"/>
  <c r="U214" i="31"/>
  <c r="T214" i="31"/>
  <c r="S214" i="31"/>
  <c r="O214" i="31"/>
  <c r="N214" i="31"/>
  <c r="M214" i="31"/>
  <c r="L214" i="31"/>
  <c r="W213" i="31"/>
  <c r="U213" i="31"/>
  <c r="T213" i="31"/>
  <c r="S213" i="31"/>
  <c r="O213" i="31"/>
  <c r="N213" i="31"/>
  <c r="M213" i="31"/>
  <c r="L213" i="31"/>
  <c r="W212" i="31"/>
  <c r="U212" i="31"/>
  <c r="T212" i="31"/>
  <c r="S212" i="31"/>
  <c r="O212" i="31"/>
  <c r="N212" i="31"/>
  <c r="M212" i="31"/>
  <c r="L212" i="31"/>
  <c r="W211" i="31"/>
  <c r="U211" i="31"/>
  <c r="T211" i="31"/>
  <c r="S211" i="31"/>
  <c r="O211" i="31"/>
  <c r="N211" i="31"/>
  <c r="M211" i="31"/>
  <c r="L211" i="31"/>
  <c r="W210" i="31"/>
  <c r="U210" i="31"/>
  <c r="T210" i="31"/>
  <c r="S210" i="31"/>
  <c r="O210" i="31"/>
  <c r="N210" i="31"/>
  <c r="M210" i="31"/>
  <c r="L210" i="31"/>
  <c r="W209" i="31"/>
  <c r="U209" i="31"/>
  <c r="T209" i="31"/>
  <c r="S209" i="31"/>
  <c r="O209" i="31"/>
  <c r="N209" i="31"/>
  <c r="M209" i="31"/>
  <c r="L209" i="31"/>
  <c r="W208" i="31"/>
  <c r="U208" i="31"/>
  <c r="T208" i="31"/>
  <c r="S208" i="31"/>
  <c r="O208" i="31"/>
  <c r="N208" i="31"/>
  <c r="M208" i="31"/>
  <c r="L208" i="31"/>
  <c r="W207" i="31"/>
  <c r="U207" i="31"/>
  <c r="T207" i="31"/>
  <c r="S207" i="31"/>
  <c r="O207" i="31"/>
  <c r="N207" i="31"/>
  <c r="M207" i="31"/>
  <c r="L207" i="31"/>
  <c r="W206" i="31"/>
  <c r="U206" i="31"/>
  <c r="T206" i="31"/>
  <c r="S206" i="31"/>
  <c r="O206" i="31"/>
  <c r="N206" i="31"/>
  <c r="M206" i="31"/>
  <c r="L206" i="31"/>
  <c r="W205" i="31"/>
  <c r="U205" i="31"/>
  <c r="T205" i="31"/>
  <c r="S205" i="31"/>
  <c r="O205" i="31"/>
  <c r="N205" i="31"/>
  <c r="M205" i="31"/>
  <c r="L205" i="31"/>
  <c r="W204" i="31"/>
  <c r="U204" i="31"/>
  <c r="T204" i="31"/>
  <c r="S204" i="31"/>
  <c r="O204" i="31"/>
  <c r="N204" i="31"/>
  <c r="M204" i="31"/>
  <c r="L204" i="31"/>
  <c r="W203" i="31"/>
  <c r="U203" i="31"/>
  <c r="T203" i="31"/>
  <c r="S203" i="31"/>
  <c r="O203" i="31"/>
  <c r="N203" i="31"/>
  <c r="M203" i="31"/>
  <c r="L203" i="31"/>
  <c r="W202" i="31"/>
  <c r="U202" i="31"/>
  <c r="T202" i="31"/>
  <c r="S202" i="31"/>
  <c r="O202" i="31"/>
  <c r="N202" i="31"/>
  <c r="M202" i="31"/>
  <c r="L202" i="31"/>
  <c r="W201" i="31"/>
  <c r="U201" i="31"/>
  <c r="T201" i="31"/>
  <c r="S201" i="31"/>
  <c r="O201" i="31"/>
  <c r="N201" i="31"/>
  <c r="M201" i="31"/>
  <c r="L201" i="31"/>
  <c r="W200" i="31"/>
  <c r="U200" i="31"/>
  <c r="T200" i="31"/>
  <c r="S200" i="31"/>
  <c r="O200" i="31"/>
  <c r="N200" i="31"/>
  <c r="M200" i="31"/>
  <c r="L200" i="31"/>
  <c r="W199" i="31"/>
  <c r="U199" i="31"/>
  <c r="T199" i="31"/>
  <c r="S199" i="31"/>
  <c r="O199" i="31"/>
  <c r="N199" i="31"/>
  <c r="M199" i="31"/>
  <c r="L199" i="31"/>
  <c r="W198" i="31"/>
  <c r="U198" i="31"/>
  <c r="T198" i="31"/>
  <c r="S198" i="31"/>
  <c r="O198" i="31"/>
  <c r="N198" i="31"/>
  <c r="M198" i="31"/>
  <c r="L198" i="31"/>
  <c r="W197" i="31"/>
  <c r="U197" i="31"/>
  <c r="T197" i="31"/>
  <c r="S197" i="31"/>
  <c r="O197" i="31"/>
  <c r="N197" i="31"/>
  <c r="M197" i="31"/>
  <c r="L197" i="31"/>
  <c r="W196" i="31"/>
  <c r="U196" i="31"/>
  <c r="T196" i="31"/>
  <c r="S196" i="31"/>
  <c r="O196" i="31"/>
  <c r="N196" i="31"/>
  <c r="M196" i="31"/>
  <c r="L196" i="31"/>
  <c r="W195" i="31"/>
  <c r="U195" i="31"/>
  <c r="T195" i="31"/>
  <c r="S195" i="31"/>
  <c r="O195" i="31"/>
  <c r="N195" i="31"/>
  <c r="M195" i="31"/>
  <c r="L195" i="31"/>
  <c r="W194" i="31"/>
  <c r="U194" i="31"/>
  <c r="T194" i="31"/>
  <c r="S194" i="31"/>
  <c r="O194" i="31"/>
  <c r="N194" i="31"/>
  <c r="M194" i="31"/>
  <c r="L194" i="31"/>
  <c r="W193" i="31"/>
  <c r="U193" i="31"/>
  <c r="T193" i="31"/>
  <c r="S193" i="31"/>
  <c r="O193" i="31"/>
  <c r="N193" i="31"/>
  <c r="M193" i="31"/>
  <c r="L193" i="31"/>
  <c r="W192" i="31"/>
  <c r="U192" i="31"/>
  <c r="T192" i="31"/>
  <c r="S192" i="31"/>
  <c r="O192" i="31"/>
  <c r="N192" i="31"/>
  <c r="M192" i="31"/>
  <c r="L192" i="31"/>
  <c r="W191" i="31"/>
  <c r="U191" i="31"/>
  <c r="T191" i="31"/>
  <c r="S191" i="31"/>
  <c r="O191" i="31"/>
  <c r="N191" i="31"/>
  <c r="M191" i="31"/>
  <c r="L191" i="31"/>
  <c r="W190" i="31"/>
  <c r="U190" i="31"/>
  <c r="T190" i="31"/>
  <c r="S190" i="31"/>
  <c r="O190" i="31"/>
  <c r="N190" i="31"/>
  <c r="M190" i="31"/>
  <c r="L190" i="31"/>
  <c r="W189" i="31"/>
  <c r="U189" i="31"/>
  <c r="T189" i="31"/>
  <c r="S189" i="31"/>
  <c r="O189" i="31"/>
  <c r="N189" i="31"/>
  <c r="M189" i="31"/>
  <c r="L189" i="31"/>
  <c r="W188" i="31"/>
  <c r="U188" i="31"/>
  <c r="T188" i="31"/>
  <c r="S188" i="31"/>
  <c r="O188" i="31"/>
  <c r="N188" i="31"/>
  <c r="M188" i="31"/>
  <c r="L188" i="31"/>
  <c r="W187" i="31"/>
  <c r="U187" i="31"/>
  <c r="T187" i="31"/>
  <c r="S187" i="31"/>
  <c r="O187" i="31"/>
  <c r="N187" i="31"/>
  <c r="M187" i="31"/>
  <c r="L187" i="31"/>
  <c r="W186" i="31"/>
  <c r="U186" i="31"/>
  <c r="T186" i="31"/>
  <c r="S186" i="31"/>
  <c r="O186" i="31"/>
  <c r="N186" i="31"/>
  <c r="M186" i="31"/>
  <c r="L186" i="31"/>
  <c r="W185" i="31"/>
  <c r="U185" i="31"/>
  <c r="T185" i="31"/>
  <c r="S185" i="31"/>
  <c r="O185" i="31"/>
  <c r="N185" i="31"/>
  <c r="M185" i="31"/>
  <c r="L185" i="31"/>
  <c r="W184" i="31"/>
  <c r="U184" i="31"/>
  <c r="T184" i="31"/>
  <c r="S184" i="31"/>
  <c r="O184" i="31"/>
  <c r="N184" i="31"/>
  <c r="M184" i="31"/>
  <c r="L184" i="31"/>
  <c r="W183" i="31"/>
  <c r="U183" i="31"/>
  <c r="T183" i="31"/>
  <c r="S183" i="31"/>
  <c r="O183" i="31"/>
  <c r="N183" i="31"/>
  <c r="M183" i="31"/>
  <c r="L183" i="31"/>
  <c r="W182" i="31"/>
  <c r="U182" i="31"/>
  <c r="T182" i="31"/>
  <c r="S182" i="31"/>
  <c r="O182" i="31"/>
  <c r="N182" i="31"/>
  <c r="M182" i="31"/>
  <c r="L182" i="31"/>
  <c r="W181" i="31"/>
  <c r="U181" i="31"/>
  <c r="T181" i="31"/>
  <c r="S181" i="31"/>
  <c r="O181" i="31"/>
  <c r="N181" i="31"/>
  <c r="M181" i="31"/>
  <c r="L181" i="31"/>
  <c r="W180" i="31"/>
  <c r="U180" i="31"/>
  <c r="T180" i="31"/>
  <c r="S180" i="31"/>
  <c r="O180" i="31"/>
  <c r="N180" i="31"/>
  <c r="M180" i="31"/>
  <c r="L180" i="31"/>
  <c r="W179" i="31"/>
  <c r="U179" i="31"/>
  <c r="T179" i="31"/>
  <c r="S179" i="31"/>
  <c r="O179" i="31"/>
  <c r="N179" i="31"/>
  <c r="M179" i="31"/>
  <c r="L179" i="31"/>
  <c r="W178" i="31"/>
  <c r="U178" i="31"/>
  <c r="T178" i="31"/>
  <c r="S178" i="31"/>
  <c r="O178" i="31"/>
  <c r="N178" i="31"/>
  <c r="M178" i="31"/>
  <c r="L178" i="31"/>
  <c r="W177" i="31"/>
  <c r="U177" i="31"/>
  <c r="T177" i="31"/>
  <c r="S177" i="31"/>
  <c r="O177" i="31"/>
  <c r="N177" i="31"/>
  <c r="M177" i="31"/>
  <c r="L177" i="31"/>
  <c r="W176" i="31"/>
  <c r="U176" i="31"/>
  <c r="T176" i="31"/>
  <c r="S176" i="31"/>
  <c r="O176" i="31"/>
  <c r="N176" i="31"/>
  <c r="M176" i="31"/>
  <c r="L176" i="31"/>
  <c r="W175" i="31"/>
  <c r="U175" i="31"/>
  <c r="T175" i="31"/>
  <c r="S175" i="31"/>
  <c r="O175" i="31"/>
  <c r="N175" i="31"/>
  <c r="M175" i="31"/>
  <c r="L175" i="31"/>
  <c r="W174" i="31"/>
  <c r="U174" i="31"/>
  <c r="T174" i="31"/>
  <c r="S174" i="31"/>
  <c r="O174" i="31"/>
  <c r="N174" i="31"/>
  <c r="M174" i="31"/>
  <c r="L174" i="31"/>
  <c r="W173" i="31"/>
  <c r="U173" i="31"/>
  <c r="T173" i="31"/>
  <c r="S173" i="31"/>
  <c r="O173" i="31"/>
  <c r="N173" i="31"/>
  <c r="M173" i="31"/>
  <c r="L173" i="31"/>
  <c r="W172" i="31"/>
  <c r="U172" i="31"/>
  <c r="T172" i="31"/>
  <c r="S172" i="31"/>
  <c r="O172" i="31"/>
  <c r="N172" i="31"/>
  <c r="M172" i="31"/>
  <c r="L172" i="31"/>
  <c r="W171" i="31"/>
  <c r="U171" i="31"/>
  <c r="T171" i="31"/>
  <c r="S171" i="31"/>
  <c r="O171" i="31"/>
  <c r="N171" i="31"/>
  <c r="M171" i="31"/>
  <c r="L171" i="31"/>
  <c r="W170" i="31"/>
  <c r="U170" i="31"/>
  <c r="T170" i="31"/>
  <c r="S170" i="31"/>
  <c r="O170" i="31"/>
  <c r="N170" i="31"/>
  <c r="M170" i="31"/>
  <c r="L170" i="31"/>
  <c r="W169" i="31"/>
  <c r="U169" i="31"/>
  <c r="T169" i="31"/>
  <c r="S169" i="31"/>
  <c r="O169" i="31"/>
  <c r="N169" i="31"/>
  <c r="M169" i="31"/>
  <c r="L169" i="31"/>
  <c r="W168" i="31"/>
  <c r="U168" i="31"/>
  <c r="T168" i="31"/>
  <c r="S168" i="31"/>
  <c r="O168" i="31"/>
  <c r="N168" i="31"/>
  <c r="M168" i="31"/>
  <c r="L168" i="31"/>
  <c r="W167" i="31"/>
  <c r="U167" i="31"/>
  <c r="T167" i="31"/>
  <c r="S167" i="31"/>
  <c r="O167" i="31"/>
  <c r="N167" i="31"/>
  <c r="M167" i="31"/>
  <c r="L167" i="31"/>
  <c r="W166" i="31"/>
  <c r="U166" i="31"/>
  <c r="T166" i="31"/>
  <c r="S166" i="31"/>
  <c r="O166" i="31"/>
  <c r="N166" i="31"/>
  <c r="M166" i="31"/>
  <c r="L166" i="31"/>
  <c r="W165" i="31"/>
  <c r="U165" i="31"/>
  <c r="T165" i="31"/>
  <c r="S165" i="31"/>
  <c r="O165" i="31"/>
  <c r="N165" i="31"/>
  <c r="M165" i="31"/>
  <c r="L165" i="31"/>
  <c r="W164" i="31"/>
  <c r="U164" i="31"/>
  <c r="T164" i="31"/>
  <c r="S164" i="31"/>
  <c r="O164" i="31"/>
  <c r="N164" i="31"/>
  <c r="M164" i="31"/>
  <c r="L164" i="31"/>
  <c r="W163" i="31"/>
  <c r="U163" i="31"/>
  <c r="T163" i="31"/>
  <c r="S163" i="31"/>
  <c r="O163" i="31"/>
  <c r="N163" i="31"/>
  <c r="M163" i="31"/>
  <c r="L163" i="31"/>
  <c r="W162" i="31"/>
  <c r="U162" i="31"/>
  <c r="T162" i="31"/>
  <c r="S162" i="31"/>
  <c r="O162" i="31"/>
  <c r="N162" i="31"/>
  <c r="M162" i="31"/>
  <c r="L162" i="31"/>
  <c r="W161" i="31"/>
  <c r="U161" i="31"/>
  <c r="T161" i="31"/>
  <c r="S161" i="31"/>
  <c r="O161" i="31"/>
  <c r="N161" i="31"/>
  <c r="M161" i="31"/>
  <c r="L161" i="31"/>
  <c r="W160" i="31"/>
  <c r="U160" i="31"/>
  <c r="T160" i="31"/>
  <c r="S160" i="31"/>
  <c r="O160" i="31"/>
  <c r="N160" i="31"/>
  <c r="M160" i="31"/>
  <c r="L160" i="31"/>
  <c r="W159" i="31"/>
  <c r="U159" i="31"/>
  <c r="T159" i="31"/>
  <c r="S159" i="31"/>
  <c r="O159" i="31"/>
  <c r="N159" i="31"/>
  <c r="M159" i="31"/>
  <c r="L159" i="31"/>
  <c r="W158" i="31"/>
  <c r="U158" i="31"/>
  <c r="T158" i="31"/>
  <c r="S158" i="31"/>
  <c r="O158" i="31"/>
  <c r="N158" i="31"/>
  <c r="M158" i="31"/>
  <c r="L158" i="31"/>
  <c r="W157" i="31"/>
  <c r="U157" i="31"/>
  <c r="T157" i="31"/>
  <c r="S157" i="31"/>
  <c r="O157" i="31"/>
  <c r="N157" i="31"/>
  <c r="M157" i="31"/>
  <c r="L157" i="31"/>
  <c r="W156" i="31"/>
  <c r="U156" i="31"/>
  <c r="T156" i="31"/>
  <c r="S156" i="31"/>
  <c r="O156" i="31"/>
  <c r="N156" i="31"/>
  <c r="M156" i="31"/>
  <c r="L156" i="31"/>
  <c r="W155" i="31"/>
  <c r="U155" i="31"/>
  <c r="T155" i="31"/>
  <c r="S155" i="31"/>
  <c r="O155" i="31"/>
  <c r="N155" i="31"/>
  <c r="M155" i="31"/>
  <c r="L155" i="31"/>
  <c r="W154" i="31"/>
  <c r="U154" i="31"/>
  <c r="T154" i="31"/>
  <c r="S154" i="31"/>
  <c r="O154" i="31"/>
  <c r="N154" i="31"/>
  <c r="M154" i="31"/>
  <c r="L154" i="31"/>
  <c r="W153" i="31"/>
  <c r="U153" i="31"/>
  <c r="T153" i="31"/>
  <c r="S153" i="31"/>
  <c r="O153" i="31"/>
  <c r="N153" i="31"/>
  <c r="M153" i="31"/>
  <c r="L153" i="31"/>
  <c r="W152" i="31"/>
  <c r="U152" i="31"/>
  <c r="T152" i="31"/>
  <c r="S152" i="31"/>
  <c r="O152" i="31"/>
  <c r="N152" i="31"/>
  <c r="M152" i="31"/>
  <c r="L152" i="31"/>
  <c r="W151" i="31"/>
  <c r="U151" i="31"/>
  <c r="T151" i="31"/>
  <c r="S151" i="31"/>
  <c r="O151" i="31"/>
  <c r="N151" i="31"/>
  <c r="M151" i="31"/>
  <c r="L151" i="31"/>
  <c r="W150" i="31"/>
  <c r="U150" i="31"/>
  <c r="T150" i="31"/>
  <c r="S150" i="31"/>
  <c r="O150" i="31"/>
  <c r="N150" i="31"/>
  <c r="M150" i="31"/>
  <c r="L150" i="31"/>
  <c r="W149" i="31"/>
  <c r="U149" i="31"/>
  <c r="T149" i="31"/>
  <c r="S149" i="31"/>
  <c r="O149" i="31"/>
  <c r="N149" i="31"/>
  <c r="M149" i="31"/>
  <c r="L149" i="31"/>
  <c r="W148" i="31"/>
  <c r="U148" i="31"/>
  <c r="T148" i="31"/>
  <c r="S148" i="31"/>
  <c r="O148" i="31"/>
  <c r="N148" i="31"/>
  <c r="M148" i="31"/>
  <c r="L148" i="31"/>
  <c r="W147" i="31"/>
  <c r="U147" i="31"/>
  <c r="T147" i="31"/>
  <c r="S147" i="31"/>
  <c r="O147" i="31"/>
  <c r="N147" i="31"/>
  <c r="M147" i="31"/>
  <c r="L147" i="31"/>
  <c r="W146" i="31"/>
  <c r="U146" i="31"/>
  <c r="T146" i="31"/>
  <c r="S146" i="31"/>
  <c r="O146" i="31"/>
  <c r="N146" i="31"/>
  <c r="M146" i="31"/>
  <c r="L146" i="31"/>
  <c r="W145" i="31"/>
  <c r="U145" i="31"/>
  <c r="T145" i="31"/>
  <c r="S145" i="31"/>
  <c r="O145" i="31"/>
  <c r="N145" i="31"/>
  <c r="M145" i="31"/>
  <c r="L145" i="31"/>
  <c r="W144" i="31"/>
  <c r="U144" i="31"/>
  <c r="T144" i="31"/>
  <c r="S144" i="31"/>
  <c r="O144" i="31"/>
  <c r="N144" i="31"/>
  <c r="M144" i="31"/>
  <c r="L144" i="31"/>
  <c r="W143" i="31"/>
  <c r="U143" i="31"/>
  <c r="T143" i="31"/>
  <c r="S143" i="31"/>
  <c r="O143" i="31"/>
  <c r="N143" i="31"/>
  <c r="M143" i="31"/>
  <c r="L143" i="31"/>
  <c r="W142" i="31"/>
  <c r="U142" i="31"/>
  <c r="T142" i="31"/>
  <c r="S142" i="31"/>
  <c r="O142" i="31"/>
  <c r="N142" i="31"/>
  <c r="M142" i="31"/>
  <c r="L142" i="31"/>
  <c r="W141" i="31"/>
  <c r="U141" i="31"/>
  <c r="T141" i="31"/>
  <c r="S141" i="31"/>
  <c r="O141" i="31"/>
  <c r="N141" i="31"/>
  <c r="M141" i="31"/>
  <c r="L141" i="31"/>
  <c r="W140" i="31"/>
  <c r="U140" i="31"/>
  <c r="T140" i="31"/>
  <c r="S140" i="31"/>
  <c r="O140" i="31"/>
  <c r="N140" i="31"/>
  <c r="M140" i="31"/>
  <c r="L140" i="31"/>
  <c r="W139" i="31"/>
  <c r="U139" i="31"/>
  <c r="T139" i="31"/>
  <c r="S139" i="31"/>
  <c r="O139" i="31"/>
  <c r="N139" i="31"/>
  <c r="M139" i="31"/>
  <c r="L139" i="31"/>
  <c r="W138" i="31"/>
  <c r="U138" i="31"/>
  <c r="T138" i="31"/>
  <c r="S138" i="31"/>
  <c r="O138" i="31"/>
  <c r="N138" i="31"/>
  <c r="M138" i="31"/>
  <c r="L138" i="31"/>
  <c r="W137" i="31"/>
  <c r="U137" i="31"/>
  <c r="T137" i="31"/>
  <c r="S137" i="31"/>
  <c r="O137" i="31"/>
  <c r="N137" i="31"/>
  <c r="M137" i="31"/>
  <c r="L137" i="31"/>
  <c r="W136" i="31"/>
  <c r="U136" i="31"/>
  <c r="T136" i="31"/>
  <c r="S136" i="31"/>
  <c r="O136" i="31"/>
  <c r="N136" i="31"/>
  <c r="M136" i="31"/>
  <c r="L136" i="31"/>
  <c r="W135" i="31"/>
  <c r="U135" i="31"/>
  <c r="T135" i="31"/>
  <c r="S135" i="31"/>
  <c r="O135" i="31"/>
  <c r="N135" i="31"/>
  <c r="M135" i="31"/>
  <c r="L135" i="31"/>
  <c r="W134" i="31"/>
  <c r="U134" i="31"/>
  <c r="T134" i="31"/>
  <c r="S134" i="31"/>
  <c r="O134" i="31"/>
  <c r="N134" i="31"/>
  <c r="M134" i="31"/>
  <c r="L134" i="31"/>
  <c r="W133" i="31"/>
  <c r="U133" i="31"/>
  <c r="T133" i="31"/>
  <c r="S133" i="31"/>
  <c r="O133" i="31"/>
  <c r="N133" i="31"/>
  <c r="M133" i="31"/>
  <c r="L133" i="31"/>
  <c r="W132" i="31"/>
  <c r="U132" i="31"/>
  <c r="T132" i="31"/>
  <c r="S132" i="31"/>
  <c r="O132" i="31"/>
  <c r="N132" i="31"/>
  <c r="M132" i="31"/>
  <c r="L132" i="31"/>
  <c r="W131" i="31"/>
  <c r="U131" i="31"/>
  <c r="T131" i="31"/>
  <c r="S131" i="31"/>
  <c r="O131" i="31"/>
  <c r="N131" i="31"/>
  <c r="M131" i="31"/>
  <c r="L131" i="31"/>
  <c r="W130" i="31"/>
  <c r="U130" i="31"/>
  <c r="T130" i="31"/>
  <c r="S130" i="31"/>
  <c r="O130" i="31"/>
  <c r="N130" i="31"/>
  <c r="M130" i="31"/>
  <c r="L130" i="31"/>
  <c r="W129" i="31"/>
  <c r="U129" i="31"/>
  <c r="T129" i="31"/>
  <c r="S129" i="31"/>
  <c r="O129" i="31"/>
  <c r="N129" i="31"/>
  <c r="M129" i="31"/>
  <c r="L129" i="31"/>
  <c r="W128" i="31"/>
  <c r="U128" i="31"/>
  <c r="T128" i="31"/>
  <c r="S128" i="31"/>
  <c r="O128" i="31"/>
  <c r="N128" i="31"/>
  <c r="M128" i="31"/>
  <c r="L128" i="31"/>
  <c r="W127" i="31"/>
  <c r="U127" i="31"/>
  <c r="T127" i="31"/>
  <c r="S127" i="31"/>
  <c r="O127" i="31"/>
  <c r="N127" i="31"/>
  <c r="M127" i="31"/>
  <c r="L127" i="31"/>
  <c r="W126" i="31"/>
  <c r="U126" i="31"/>
  <c r="T126" i="31"/>
  <c r="S126" i="31"/>
  <c r="O126" i="31"/>
  <c r="N126" i="31"/>
  <c r="M126" i="31"/>
  <c r="L126" i="31"/>
  <c r="W125" i="31"/>
  <c r="U125" i="31"/>
  <c r="T125" i="31"/>
  <c r="S125" i="31"/>
  <c r="O125" i="31"/>
  <c r="N125" i="31"/>
  <c r="M125" i="31"/>
  <c r="L125" i="31"/>
  <c r="W124" i="31"/>
  <c r="U124" i="31"/>
  <c r="T124" i="31"/>
  <c r="S124" i="31"/>
  <c r="O124" i="31"/>
  <c r="N124" i="31"/>
  <c r="M124" i="31"/>
  <c r="L124" i="31"/>
  <c r="W123" i="31"/>
  <c r="U123" i="31"/>
  <c r="T123" i="31"/>
  <c r="S123" i="31"/>
  <c r="O123" i="31"/>
  <c r="N123" i="31"/>
  <c r="M123" i="31"/>
  <c r="L123" i="31"/>
  <c r="W122" i="31"/>
  <c r="U122" i="31"/>
  <c r="T122" i="31"/>
  <c r="S122" i="31"/>
  <c r="O122" i="31"/>
  <c r="N122" i="31"/>
  <c r="M122" i="31"/>
  <c r="L122" i="31"/>
  <c r="W121" i="31"/>
  <c r="U121" i="31"/>
  <c r="T121" i="31"/>
  <c r="S121" i="31"/>
  <c r="O121" i="31"/>
  <c r="N121" i="31"/>
  <c r="M121" i="31"/>
  <c r="L121" i="31"/>
  <c r="W120" i="31"/>
  <c r="U120" i="31"/>
  <c r="T120" i="31"/>
  <c r="S120" i="31"/>
  <c r="O120" i="31"/>
  <c r="N120" i="31"/>
  <c r="M120" i="31"/>
  <c r="L120" i="31"/>
  <c r="W119" i="31"/>
  <c r="U119" i="31"/>
  <c r="T119" i="31"/>
  <c r="S119" i="31"/>
  <c r="O119" i="31"/>
  <c r="N119" i="31"/>
  <c r="M119" i="31"/>
  <c r="L119" i="31"/>
  <c r="W118" i="31"/>
  <c r="U118" i="31"/>
  <c r="T118" i="31"/>
  <c r="S118" i="31"/>
  <c r="O118" i="31"/>
  <c r="N118" i="31"/>
  <c r="M118" i="31"/>
  <c r="L118" i="31"/>
  <c r="W117" i="31"/>
  <c r="U117" i="31"/>
  <c r="T117" i="31"/>
  <c r="S117" i="31"/>
  <c r="O117" i="31"/>
  <c r="N117" i="31"/>
  <c r="M117" i="31"/>
  <c r="L117" i="31"/>
  <c r="W116" i="31"/>
  <c r="U116" i="31"/>
  <c r="T116" i="31"/>
  <c r="S116" i="31"/>
  <c r="O116" i="31"/>
  <c r="N116" i="31"/>
  <c r="M116" i="31"/>
  <c r="L116" i="31"/>
  <c r="W115" i="31"/>
  <c r="U115" i="31"/>
  <c r="T115" i="31"/>
  <c r="S115" i="31"/>
  <c r="O115" i="31"/>
  <c r="N115" i="31"/>
  <c r="M115" i="31"/>
  <c r="L115" i="31"/>
  <c r="W114" i="31"/>
  <c r="U114" i="31"/>
  <c r="T114" i="31"/>
  <c r="S114" i="31"/>
  <c r="O114" i="31"/>
  <c r="N114" i="31"/>
  <c r="M114" i="31"/>
  <c r="L114" i="31"/>
  <c r="W113" i="31"/>
  <c r="U113" i="31"/>
  <c r="T113" i="31"/>
  <c r="S113" i="31"/>
  <c r="O113" i="31"/>
  <c r="N113" i="31"/>
  <c r="M113" i="31"/>
  <c r="L113" i="31"/>
  <c r="W112" i="31"/>
  <c r="U112" i="31"/>
  <c r="T112" i="31"/>
  <c r="S112" i="31"/>
  <c r="O112" i="31"/>
  <c r="N112" i="31"/>
  <c r="M112" i="31"/>
  <c r="L112" i="31"/>
  <c r="W111" i="31"/>
  <c r="U111" i="31"/>
  <c r="T111" i="31"/>
  <c r="S111" i="31"/>
  <c r="O111" i="31"/>
  <c r="N111" i="31"/>
  <c r="M111" i="31"/>
  <c r="L111" i="31"/>
  <c r="W110" i="31"/>
  <c r="U110" i="31"/>
  <c r="T110" i="31"/>
  <c r="S110" i="31"/>
  <c r="O110" i="31"/>
  <c r="N110" i="31"/>
  <c r="M110" i="31"/>
  <c r="L110" i="31"/>
  <c r="W109" i="31"/>
  <c r="U109" i="31"/>
  <c r="T109" i="31"/>
  <c r="S109" i="31"/>
  <c r="O109" i="31"/>
  <c r="N109" i="31"/>
  <c r="M109" i="31"/>
  <c r="L109" i="31"/>
  <c r="W108" i="31"/>
  <c r="U108" i="31"/>
  <c r="T108" i="31"/>
  <c r="S108" i="31"/>
  <c r="O108" i="31"/>
  <c r="N108" i="31"/>
  <c r="M108" i="31"/>
  <c r="L108" i="31"/>
  <c r="W107" i="31"/>
  <c r="U107" i="31"/>
  <c r="T107" i="31"/>
  <c r="S107" i="31"/>
  <c r="O107" i="31"/>
  <c r="N107" i="31"/>
  <c r="M107" i="31"/>
  <c r="L107" i="31"/>
  <c r="W106" i="31"/>
  <c r="U106" i="31"/>
  <c r="T106" i="31"/>
  <c r="S106" i="31"/>
  <c r="O106" i="31"/>
  <c r="N106" i="31"/>
  <c r="M106" i="31"/>
  <c r="L106" i="31"/>
  <c r="W105" i="31"/>
  <c r="U105" i="31"/>
  <c r="T105" i="31"/>
  <c r="S105" i="31"/>
  <c r="O105" i="31"/>
  <c r="N105" i="31"/>
  <c r="M105" i="31"/>
  <c r="L105" i="31"/>
  <c r="W104" i="31"/>
  <c r="U104" i="31"/>
  <c r="T104" i="31"/>
  <c r="S104" i="31"/>
  <c r="O104" i="31"/>
  <c r="N104" i="31"/>
  <c r="M104" i="31"/>
  <c r="L104" i="31"/>
  <c r="W103" i="31"/>
  <c r="U103" i="31"/>
  <c r="T103" i="31"/>
  <c r="S103" i="31"/>
  <c r="O103" i="31"/>
  <c r="N103" i="31"/>
  <c r="M103" i="31"/>
  <c r="L103" i="31"/>
  <c r="W102" i="31"/>
  <c r="U102" i="31"/>
  <c r="T102" i="31"/>
  <c r="S102" i="31"/>
  <c r="O102" i="31"/>
  <c r="N102" i="31"/>
  <c r="M102" i="31"/>
  <c r="L102" i="31"/>
  <c r="W101" i="31"/>
  <c r="U101" i="31"/>
  <c r="T101" i="31"/>
  <c r="S101" i="31"/>
  <c r="O101" i="31"/>
  <c r="N101" i="31"/>
  <c r="M101" i="31"/>
  <c r="L101"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AA109" i="31"/>
  <c r="AA308" i="31"/>
  <c r="AA175" i="31"/>
  <c r="AA265" i="31"/>
  <c r="AA35" i="31"/>
  <c r="AA92" i="31"/>
  <c r="AA306" i="31"/>
  <c r="Q18" i="31"/>
  <c r="AA248" i="31"/>
  <c r="Q24" i="31"/>
  <c r="AA2" i="31"/>
  <c r="AA27" i="31"/>
  <c r="AA91" i="31"/>
  <c r="AA60" i="31"/>
  <c r="AA71" i="31"/>
  <c r="AA204" i="31"/>
  <c r="AA266" i="31"/>
  <c r="AA341" i="31"/>
  <c r="AA380" i="31"/>
  <c r="AA330" i="31"/>
  <c r="AA138" i="31"/>
  <c r="AA216" i="31"/>
  <c r="AA76" i="31"/>
  <c r="AA239" i="31"/>
  <c r="AA346" i="31"/>
  <c r="AA315" i="31"/>
  <c r="AA250" i="31"/>
  <c r="AA180" i="31"/>
  <c r="AA383" i="31"/>
  <c r="AA172" i="31"/>
  <c r="AA289" i="31"/>
  <c r="AA90" i="31"/>
  <c r="AA249" i="31"/>
  <c r="AA61" i="31"/>
  <c r="AA115" i="31"/>
  <c r="AA303" i="31"/>
  <c r="AA177" i="31"/>
  <c r="AA49" i="31"/>
  <c r="AA114" i="31"/>
  <c r="AA73" i="31"/>
  <c r="AA10" i="31"/>
  <c r="AA212" i="31"/>
  <c r="AA143" i="31"/>
  <c r="AA123" i="31"/>
  <c r="AA133" i="31"/>
  <c r="AA43" i="31"/>
  <c r="AA63" i="31"/>
  <c r="AA81" i="31"/>
  <c r="AA141" i="31"/>
  <c r="AA23" i="31"/>
  <c r="AA386" i="31"/>
  <c r="AA340" i="31"/>
  <c r="AA152" i="31"/>
  <c r="AA364" i="31"/>
  <c r="AA336" i="31"/>
  <c r="AA78" i="31"/>
  <c r="AA80" i="31"/>
  <c r="AA322" i="31"/>
  <c r="AA196" i="31"/>
  <c r="AA279" i="31"/>
  <c r="Q15" i="31"/>
  <c r="AA246" i="31"/>
  <c r="AA319" i="31"/>
  <c r="AA382" i="31"/>
  <c r="AA57" i="31"/>
  <c r="Q22" i="31"/>
  <c r="AA176" i="31"/>
  <c r="AA258" i="31"/>
  <c r="AA302" i="31"/>
  <c r="AA253" i="31"/>
  <c r="AA144" i="31"/>
  <c r="AA62" i="31"/>
  <c r="AA18" i="31"/>
  <c r="AA379" i="31"/>
  <c r="AA174" i="31"/>
  <c r="AA205" i="31"/>
  <c r="AA183" i="31"/>
  <c r="Q20" i="31"/>
  <c r="AA327" i="31"/>
  <c r="AA290" i="31"/>
  <c r="AA261" i="31"/>
  <c r="AA252" i="31"/>
  <c r="AA124" i="31"/>
  <c r="AA145" i="31"/>
  <c r="AA333" i="31"/>
  <c r="AA353" i="31"/>
  <c r="AA182" i="31"/>
  <c r="AA240" i="31"/>
  <c r="AA169" i="31"/>
  <c r="AA251" i="31"/>
  <c r="AA236" i="31"/>
  <c r="AA69" i="31"/>
  <c r="AA42" i="31"/>
  <c r="AA263" i="31"/>
  <c r="AA185" i="31"/>
  <c r="AA161" i="31"/>
  <c r="AA128" i="31"/>
  <c r="AA51" i="31"/>
  <c r="AA198" i="31"/>
  <c r="AA199" i="31"/>
  <c r="AA167" i="31"/>
  <c r="AA98" i="31"/>
  <c r="AA358" i="31"/>
  <c r="AA360" i="31"/>
  <c r="AA72" i="31"/>
  <c r="AA206" i="31"/>
  <c r="AA130" i="31"/>
  <c r="AA348" i="31"/>
  <c r="AA39" i="31"/>
  <c r="AA226" i="31"/>
  <c r="AA286" i="31"/>
  <c r="AA102" i="31"/>
  <c r="AA377" i="31"/>
  <c r="AA223" i="31"/>
  <c r="AA219" i="31"/>
  <c r="AA259" i="31"/>
  <c r="AA131" i="31"/>
  <c r="AA260" i="31"/>
  <c r="AA166" i="31"/>
  <c r="AA122" i="31"/>
  <c r="AA202" i="31"/>
  <c r="AA28" i="31"/>
  <c r="AA14" i="31"/>
  <c r="AA231" i="31"/>
  <c r="AA210" i="31"/>
  <c r="AA329" i="31"/>
  <c r="AA297" i="31"/>
  <c r="AA159" i="31"/>
  <c r="AA275" i="31"/>
  <c r="AA173" i="31"/>
  <c r="AA208" i="31"/>
  <c r="AA83" i="31"/>
  <c r="AA162" i="31"/>
  <c r="AA344" i="31"/>
  <c r="AA245" i="31"/>
  <c r="AA163" i="31"/>
  <c r="AA136" i="31"/>
  <c r="AA347" i="31"/>
  <c r="AA281" i="31"/>
  <c r="AA307" i="31"/>
  <c r="AA365" i="31"/>
  <c r="AA117" i="31"/>
  <c r="AA103" i="31"/>
  <c r="AA70" i="31"/>
  <c r="AA229" i="31"/>
  <c r="AA41" i="31"/>
  <c r="AA21" i="31"/>
  <c r="AA388" i="31"/>
  <c r="AA89" i="31"/>
  <c r="AA178" i="31"/>
  <c r="AA126" i="31"/>
  <c r="AA118" i="31"/>
  <c r="AA33" i="31"/>
  <c r="AA4" i="31"/>
  <c r="AA181" i="31"/>
  <c r="Q9" i="31"/>
  <c r="AA40" i="31"/>
  <c r="AA284" i="31"/>
  <c r="AA345" i="31"/>
  <c r="AA86" i="31"/>
  <c r="AA95" i="31"/>
  <c r="AA75" i="31"/>
  <c r="AA64" i="31"/>
  <c r="AA325" i="31"/>
  <c r="AA225" i="31"/>
  <c r="AA309" i="31"/>
  <c r="AA37" i="31"/>
  <c r="AA8" i="31"/>
  <c r="AA390" i="31"/>
  <c r="AA295" i="31"/>
  <c r="AA156" i="31"/>
  <c r="AA96" i="31"/>
  <c r="AA332" i="31"/>
  <c r="AA38" i="31"/>
  <c r="AA350" i="31"/>
  <c r="AA372" i="31"/>
  <c r="AA58" i="31"/>
  <c r="AA139" i="31"/>
  <c r="AA264" i="31"/>
  <c r="AA6" i="31"/>
  <c r="AA363" i="31"/>
  <c r="AA116" i="31"/>
  <c r="AA317" i="31"/>
  <c r="AA277" i="31"/>
  <c r="AA361" i="31"/>
  <c r="AA101" i="31"/>
  <c r="AA55" i="31"/>
  <c r="AA375" i="31"/>
  <c r="AA99" i="31"/>
  <c r="AA193" i="31"/>
  <c r="AA214" i="31"/>
  <c r="AA112" i="31"/>
  <c r="Q14" i="31"/>
  <c r="AA296" i="31"/>
  <c r="AA269" i="31"/>
  <c r="AA314" i="31"/>
  <c r="AA129" i="31"/>
  <c r="AA111" i="31"/>
  <c r="AA197" i="31"/>
  <c r="AA352" i="31"/>
  <c r="AA200" i="31"/>
  <c r="AA132" i="31"/>
  <c r="AA56" i="31"/>
  <c r="AA339" i="31"/>
  <c r="AA220" i="31"/>
  <c r="AA67" i="31"/>
  <c r="AA65" i="31"/>
  <c r="AA285" i="31"/>
  <c r="AA203" i="31"/>
  <c r="AA256" i="31"/>
  <c r="AA100" i="31"/>
  <c r="AA241" i="31"/>
  <c r="AA280" i="31"/>
  <c r="AA356" i="31"/>
  <c r="AA44" i="31"/>
  <c r="AA105" i="31"/>
  <c r="AA170" i="31"/>
  <c r="AA147" i="31"/>
  <c r="AA221" i="31"/>
  <c r="AA343" i="31"/>
  <c r="AA310" i="31"/>
  <c r="AA50" i="31"/>
  <c r="AA384" i="31"/>
  <c r="AA318" i="31"/>
  <c r="AA153" i="31"/>
  <c r="Q19" i="31"/>
  <c r="AA82" i="31"/>
  <c r="AA222" i="31"/>
  <c r="AA3" i="31"/>
  <c r="AA368" i="31"/>
  <c r="AA373" i="31"/>
  <c r="AA26" i="31"/>
  <c r="AA88" i="31"/>
  <c r="AA218" i="31"/>
  <c r="AA22" i="31"/>
  <c r="AA209" i="31"/>
  <c r="AA121" i="31"/>
  <c r="AA134" i="31"/>
  <c r="AA47" i="31"/>
  <c r="AA29" i="31"/>
  <c r="AA354" i="31"/>
  <c r="AA97" i="31"/>
  <c r="AA331" i="31"/>
  <c r="AA270" i="31"/>
  <c r="AA151" i="31"/>
  <c r="AA87" i="31"/>
  <c r="AA359" i="31"/>
  <c r="AA142" i="31"/>
  <c r="AA228" i="31"/>
  <c r="AA46" i="31"/>
  <c r="AA227" i="31"/>
  <c r="AA53" i="31"/>
  <c r="AA378" i="31"/>
  <c r="Q7" i="31"/>
  <c r="AA257" i="31"/>
  <c r="AA194" i="31"/>
  <c r="AA184" i="31"/>
  <c r="AA300" i="31"/>
  <c r="AA186" i="31"/>
  <c r="AA148" i="31"/>
  <c r="AA389" i="31"/>
  <c r="AA66" i="31"/>
  <c r="AA247" i="31"/>
  <c r="AA367" i="31"/>
  <c r="AA137" i="31"/>
  <c r="AA282" i="31"/>
  <c r="AA305" i="31"/>
  <c r="AA12" i="31"/>
  <c r="AA150" i="31"/>
  <c r="AA323" i="31"/>
  <c r="AA268" i="31"/>
  <c r="AA113" i="31"/>
  <c r="AA160" i="31"/>
  <c r="AA369" i="31"/>
  <c r="AA20" i="31"/>
  <c r="AA299" i="31"/>
  <c r="AA355" i="31"/>
  <c r="AA195" i="31"/>
  <c r="AA234" i="31"/>
  <c r="AA294" i="31"/>
  <c r="AA376" i="31"/>
  <c r="Q17" i="31"/>
  <c r="AA127" i="31"/>
  <c r="AA311" i="31"/>
  <c r="AA337" i="31"/>
  <c r="AA187" i="31"/>
  <c r="AA48" i="31"/>
  <c r="AA158" i="31"/>
  <c r="AA25" i="31"/>
  <c r="AA110" i="31"/>
  <c r="AA135" i="31"/>
  <c r="AA211" i="31"/>
  <c r="AA387" i="31"/>
  <c r="AA237" i="31"/>
  <c r="AA189" i="31"/>
  <c r="AA157" i="31"/>
  <c r="AA334" i="31"/>
  <c r="AA155" i="31"/>
  <c r="Q16" i="31"/>
  <c r="AA68" i="31"/>
  <c r="AA374" i="31"/>
  <c r="AA381" i="31"/>
  <c r="AA201" i="31"/>
  <c r="AA17" i="31"/>
  <c r="AA140" i="31"/>
  <c r="AA13" i="31"/>
  <c r="AA93" i="31"/>
  <c r="AA104" i="31"/>
  <c r="AA291" i="31"/>
  <c r="AA370" i="31"/>
  <c r="AA292" i="31"/>
  <c r="AA371" i="31"/>
  <c r="AA342" i="31"/>
  <c r="AA328" i="31"/>
  <c r="AA312" i="31"/>
  <c r="AA5" i="31"/>
  <c r="AA85" i="31"/>
  <c r="AA235" i="31"/>
  <c r="AA338" i="31"/>
  <c r="Q8" i="31"/>
  <c r="AA11" i="31"/>
  <c r="Q23" i="31"/>
  <c r="AA84" i="31"/>
  <c r="AA215" i="31"/>
  <c r="AA283" i="31"/>
  <c r="AA191" i="31"/>
  <c r="AA324" i="31"/>
  <c r="AA272" i="31"/>
  <c r="AA207" i="31"/>
  <c r="AA357" i="31"/>
  <c r="AA320" i="31"/>
  <c r="AA326" i="31"/>
  <c r="AA276" i="31"/>
  <c r="AA349" i="31"/>
  <c r="AA168" i="31"/>
  <c r="AA385" i="31"/>
  <c r="AA224" i="31"/>
  <c r="AA146" i="31"/>
  <c r="AA254" i="31"/>
  <c r="AA238" i="31"/>
  <c r="AA232" i="31"/>
  <c r="AA54" i="31"/>
  <c r="AA106" i="31"/>
  <c r="AA288" i="31"/>
  <c r="AA59" i="31"/>
  <c r="Q21" i="31"/>
  <c r="AA171" i="31"/>
  <c r="AA120" i="31"/>
  <c r="AA94" i="31"/>
  <c r="AA287" i="31"/>
  <c r="AA362" i="31"/>
  <c r="AA52" i="31"/>
  <c r="AA366" i="31"/>
  <c r="AA213" i="31"/>
  <c r="AA267" i="31"/>
  <c r="AA293" i="31"/>
  <c r="AA79" i="31"/>
  <c r="AA233" i="31"/>
  <c r="AA230" i="31"/>
  <c r="AA107" i="31"/>
  <c r="AA244" i="31"/>
  <c r="AA274" i="31"/>
  <c r="AA31" i="31"/>
  <c r="AA243" i="31"/>
  <c r="AA298" i="31"/>
  <c r="AA125" i="31"/>
  <c r="AA32" i="31"/>
  <c r="AA255" i="31"/>
  <c r="AA16" i="31"/>
  <c r="AA77" i="31"/>
  <c r="AA24" i="31"/>
  <c r="AA149" i="31"/>
  <c r="AA271" i="31"/>
  <c r="AA179" i="31"/>
  <c r="AA335" i="31"/>
  <c r="AA34" i="31"/>
  <c r="AA19" i="31"/>
  <c r="AA15" i="31"/>
  <c r="AA108" i="31"/>
  <c r="AA9" i="31"/>
  <c r="AA278" i="31"/>
  <c r="AA321" i="31"/>
  <c r="AA119" i="31"/>
  <c r="AA301" i="31"/>
  <c r="AA74" i="31"/>
  <c r="AA164" i="31"/>
  <c r="AA190" i="31"/>
  <c r="AA30" i="31"/>
  <c r="AA316" i="31"/>
  <c r="AA165" i="31"/>
  <c r="AA351" i="31"/>
  <c r="AA262" i="31"/>
  <c r="AA313" i="31"/>
  <c r="AA36" i="31"/>
  <c r="AA304" i="31"/>
  <c r="AA45" i="31"/>
  <c r="AA242" i="31"/>
  <c r="AA188" i="31"/>
  <c r="AA217" i="31"/>
  <c r="AA154" i="31"/>
  <c r="AA273" i="31"/>
  <c r="AA192" i="31"/>
  <c r="AA7"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<sst xmlns="http://schemas.openxmlformats.org/spreadsheetml/2006/main" count="31872" uniqueCount="2010">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</sst>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cellXfs>
  <cellStyles count="1">
    <cellStyle name="Normal" xfId="0" builtinId="0"/>
  </cellStyles>
  <dxfs count="84">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8" bestFit="1" customWidth="1"/>
    <col min="4" max="16384" width="3.28515625" style="6"/>
  </cols>
  <sheetData>
    <row r="1" spans="1:3" ht="49.5" customHeight="1" x14ac:dyDescent="0.25">
      <c r="A1" s="7" t="s">
        <v>36</v>
      </c>
      <c r="B1" s="7" t="s">
        <v>35</v>
      </c>
      <c r="C1" s="29" t="s">
        <v>1813</v>
      </c>
    </row>
    <row r="2" spans="1:3" ht="8.25" customHeight="1" x14ac:dyDescent="0.25">
      <c r="A2" s="8" t="s">
        <v>45</v>
      </c>
      <c r="B2" s="8" t="s">
        <v>61</v>
      </c>
      <c r="C2" s="57" t="s">
        <v>1814</v>
      </c>
    </row>
    <row r="3" spans="1:3" ht="8.25" customHeight="1" x14ac:dyDescent="0.25">
      <c r="A3" s="8" t="s">
        <v>46</v>
      </c>
      <c r="B3" s="9" t="s">
        <v>1950</v>
      </c>
      <c r="C3" s="57" t="s">
        <v>1814</v>
      </c>
    </row>
    <row r="4" spans="1:3" ht="8.25" customHeight="1" x14ac:dyDescent="0.25">
      <c r="A4" s="8" t="s">
        <v>37</v>
      </c>
      <c r="B4" s="8" t="s">
        <v>47</v>
      </c>
      <c r="C4" s="57" t="s">
        <v>1814</v>
      </c>
    </row>
    <row r="5" spans="1:3" ht="8.25" customHeight="1" x14ac:dyDescent="0.25">
      <c r="A5" s="8" t="s">
        <v>38</v>
      </c>
      <c r="B5" s="8" t="str">
        <f>_xlfn.CONCAT(B4,"Prop")</f>
        <v>BIMProp</v>
      </c>
      <c r="C5" s="57" t="s">
        <v>1814</v>
      </c>
    </row>
    <row r="6" spans="1:3" ht="8.25" customHeight="1" x14ac:dyDescent="0.25">
      <c r="A6" s="8" t="s">
        <v>39</v>
      </c>
      <c r="B6" s="8" t="str">
        <f>_xlfn.CONCAT(B4,"Data")</f>
        <v>BIMData</v>
      </c>
      <c r="C6" s="57" t="s">
        <v>1814</v>
      </c>
    </row>
    <row r="7" spans="1:3" ht="8.25" customHeight="1" x14ac:dyDescent="0.25">
      <c r="A7" s="8" t="s">
        <v>40</v>
      </c>
      <c r="B7" s="8" t="s">
        <v>48</v>
      </c>
      <c r="C7" s="57" t="s">
        <v>1814</v>
      </c>
    </row>
    <row r="8" spans="1:3" ht="8.25" customHeight="1" x14ac:dyDescent="0.25">
      <c r="A8" s="8" t="s">
        <v>41</v>
      </c>
      <c r="B8" s="8" t="s">
        <v>1811</v>
      </c>
      <c r="C8" s="57" t="s">
        <v>1814</v>
      </c>
    </row>
    <row r="9" spans="1:3" ht="8.25" customHeight="1" x14ac:dyDescent="0.25">
      <c r="A9" s="8" t="s">
        <v>49</v>
      </c>
      <c r="B9" s="8" t="s">
        <v>50</v>
      </c>
      <c r="C9" s="57" t="s">
        <v>1814</v>
      </c>
    </row>
    <row r="10" spans="1:3" ht="8.25" customHeight="1" x14ac:dyDescent="0.25">
      <c r="A10" s="8" t="s">
        <v>51</v>
      </c>
      <c r="B10" s="8" t="s">
        <v>23</v>
      </c>
      <c r="C10" s="57" t="s">
        <v>1814</v>
      </c>
    </row>
    <row r="11" spans="1:3" ht="8.25" customHeight="1" x14ac:dyDescent="0.25">
      <c r="A11" s="8" t="s">
        <v>42</v>
      </c>
      <c r="B11" s="8" t="s">
        <v>23</v>
      </c>
      <c r="C11" s="57" t="s">
        <v>1814</v>
      </c>
    </row>
    <row r="12" spans="1:3" ht="8.25" customHeight="1" x14ac:dyDescent="0.25">
      <c r="A12" s="8" t="s">
        <v>43</v>
      </c>
      <c r="B12" s="8" t="s">
        <v>23</v>
      </c>
      <c r="C12" s="57" t="s">
        <v>1814</v>
      </c>
    </row>
    <row r="13" spans="1:3" ht="8.25" customHeight="1" x14ac:dyDescent="0.25">
      <c r="A13" s="8" t="s">
        <v>52</v>
      </c>
      <c r="B13" s="8" t="s">
        <v>23</v>
      </c>
      <c r="C13" s="57" t="s">
        <v>1814</v>
      </c>
    </row>
    <row r="14" spans="1:3" ht="8.25" customHeight="1" x14ac:dyDescent="0.25">
      <c r="A14" s="8" t="s">
        <v>53</v>
      </c>
      <c r="B14" s="8" t="s">
        <v>23</v>
      </c>
      <c r="C14" s="57" t="s">
        <v>1814</v>
      </c>
    </row>
    <row r="15" spans="1:3" ht="8.25" customHeight="1" x14ac:dyDescent="0.25">
      <c r="A15" s="8" t="s">
        <v>54</v>
      </c>
      <c r="B15" s="8" t="s">
        <v>23</v>
      </c>
      <c r="C15" s="57" t="s">
        <v>1814</v>
      </c>
    </row>
    <row r="16" spans="1:3" ht="8.25" customHeight="1" x14ac:dyDescent="0.25">
      <c r="A16" s="8" t="s">
        <v>55</v>
      </c>
      <c r="B16" s="8" t="s">
        <v>23</v>
      </c>
      <c r="C16" s="57" t="s">
        <v>1814</v>
      </c>
    </row>
    <row r="17" spans="1:3" ht="8.25" customHeight="1" x14ac:dyDescent="0.25">
      <c r="A17" s="8" t="s">
        <v>44</v>
      </c>
      <c r="B17" s="10" t="s">
        <v>1949</v>
      </c>
      <c r="C17" s="57" t="s">
        <v>1814</v>
      </c>
    </row>
    <row r="18" spans="1:3" ht="8.25" customHeight="1" x14ac:dyDescent="0.25">
      <c r="A18" s="8" t="s">
        <v>56</v>
      </c>
      <c r="B18" s="11">
        <f ca="1">NOW()</f>
        <v>46244.631576388892</v>
      </c>
      <c r="C18" s="57" t="s">
        <v>1814</v>
      </c>
    </row>
    <row r="19" spans="1:3" ht="8.25" customHeight="1" x14ac:dyDescent="0.25">
      <c r="A19" s="10" t="s">
        <v>1822</v>
      </c>
      <c r="B19" s="59" t="s">
        <v>1823</v>
      </c>
      <c r="C19" s="57" t="s">
        <v>1814</v>
      </c>
    </row>
    <row r="20" spans="1:3" ht="8.25" customHeight="1" x14ac:dyDescent="0.25">
      <c r="A20" s="10" t="s">
        <v>1824</v>
      </c>
      <c r="B20" s="59" t="str">
        <f>_xlfn.TRANSLATE(B19,"pt","es")</f>
        <v>Traducciones integradas al español e inglés - Las traducciones deben revisarse constantemente</v>
      </c>
      <c r="C20" s="57" t="s">
        <v>1815</v>
      </c>
    </row>
    <row r="21" spans="1:3" ht="8.25" customHeight="1" x14ac:dyDescent="0.25">
      <c r="A21" s="10" t="s">
        <v>1825</v>
      </c>
      <c r="B21" s="59" t="str">
        <f>_xlfn.TRANSLATE(B19,"pt","en")</f>
        <v>Built-in Spanish and English Translations - Translations must be constantly reviewed</v>
      </c>
      <c r="C21" s="57" t="s">
        <v>1816</v>
      </c>
    </row>
    <row r="22" spans="1:3" ht="8.25" customHeight="1" x14ac:dyDescent="0.25">
      <c r="A22" s="8" t="s">
        <v>57</v>
      </c>
      <c r="B22" s="8" t="s">
        <v>23</v>
      </c>
      <c r="C22" s="57" t="s">
        <v>1814</v>
      </c>
    </row>
    <row r="23" spans="1:3" ht="8.25" customHeight="1" x14ac:dyDescent="0.25">
      <c r="A23" s="8" t="s">
        <v>58</v>
      </c>
      <c r="B23" s="8" t="s">
        <v>23</v>
      </c>
      <c r="C23" s="57" t="s">
        <v>1814</v>
      </c>
    </row>
    <row r="24" spans="1:3" ht="8.25" customHeight="1" x14ac:dyDescent="0.25">
      <c r="A24" s="10" t="s">
        <v>59</v>
      </c>
      <c r="B24" s="12" t="s">
        <v>1952</v>
      </c>
      <c r="C24" s="57" t="s">
        <v>1814</v>
      </c>
    </row>
    <row r="25" spans="1:3" ht="8.25" customHeight="1" x14ac:dyDescent="0.25">
      <c r="A25" s="10" t="s">
        <v>60</v>
      </c>
      <c r="B25" s="12" t="s">
        <v>1951</v>
      </c>
      <c r="C25" s="57" t="s">
        <v>1815</v>
      </c>
    </row>
    <row r="26" spans="1:3" ht="9.75" customHeight="1" x14ac:dyDescent="0.25">
      <c r="A26" s="10" t="s">
        <v>1812</v>
      </c>
      <c r="B26" s="12" t="str">
        <f>_xlfn.TRANSLATE(B24,"pt","en")</f>
        <v>Formalize concepts of elements of Urbanism of Cities in Brazil RJ.</v>
      </c>
      <c r="C26" s="57" t="s">
        <v>1816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0"/>
  <sheetViews>
    <sheetView zoomScale="220" zoomScaleNormal="220" workbookViewId="0">
      <pane ySplit="1" topLeftCell="A179" activePane="bottomLeft" state="frozen"/>
      <selection pane="bottomLeft" activeCell="E185" sqref="E185"/>
    </sheetView>
  </sheetViews>
  <sheetFormatPr defaultColWidth="9.140625" defaultRowHeight="6.6" customHeight="1" x14ac:dyDescent="0.25"/>
  <cols>
    <col min="1" max="1" width="3.140625" bestFit="1" customWidth="1"/>
    <col min="2" max="2" width="5.7109375" bestFit="1" customWidth="1"/>
    <col min="3" max="3" width="11.42578125" bestFit="1" customWidth="1"/>
    <col min="4" max="4" width="10.42578125" bestFit="1" customWidth="1"/>
    <col min="5" max="5" width="12.85546875" bestFit="1" customWidth="1"/>
    <col min="6" max="6" width="18.42578125" bestFit="1" customWidth="1"/>
    <col min="7" max="7" width="15.28515625" style="27" bestFit="1" customWidth="1"/>
    <col min="8" max="8" width="18" style="27" bestFit="1" customWidth="1"/>
    <col min="9" max="9" width="16" style="27" bestFit="1" customWidth="1"/>
    <col min="10" max="10" width="23.42578125" style="27" bestFit="1" customWidth="1"/>
    <col min="11" max="11" width="22.140625" style="27" bestFit="1" customWidth="1"/>
    <col min="12" max="12" width="11.42578125" bestFit="1" customWidth="1"/>
    <col min="13" max="13" width="10.42578125" bestFit="1" customWidth="1"/>
    <col min="14" max="14" width="12.85546875" bestFit="1" customWidth="1"/>
    <col min="15" max="15" width="18.42578125" bestFit="1" customWidth="1"/>
    <col min="16" max="17" width="255.7109375" bestFit="1" customWidth="1"/>
    <col min="18" max="18" width="3.7109375" bestFit="1" customWidth="1"/>
    <col min="19" max="19" width="11.42578125" bestFit="1" customWidth="1"/>
    <col min="20" max="20" width="10.42578125" bestFit="1" customWidth="1"/>
    <col min="21" max="21" width="12.85546875" bestFit="1" customWidth="1"/>
    <col min="22" max="22" width="8.5703125" bestFit="1" customWidth="1"/>
    <col min="23" max="23" width="9.5703125" style="34" bestFit="1" customWidth="1"/>
    <col min="24" max="24" width="159.28515625" bestFit="1" customWidth="1"/>
    <col min="25" max="25" width="21" bestFit="1" customWidth="1"/>
    <col min="26" max="26" width="5.140625" style="27" bestFit="1" customWidth="1"/>
    <col min="27" max="27" width="255.7109375" bestFit="1" customWidth="1"/>
  </cols>
  <sheetData>
    <row r="1" spans="1:27" ht="34.15" customHeight="1" x14ac:dyDescent="0.25">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26" t="s">
        <v>72</v>
      </c>
      <c r="S1" s="16" t="s">
        <v>62</v>
      </c>
      <c r="T1" s="16" t="s">
        <v>73</v>
      </c>
      <c r="U1" s="17" t="s">
        <v>64</v>
      </c>
      <c r="V1" s="16" t="s">
        <v>63</v>
      </c>
      <c r="W1" s="61" t="s">
        <v>0</v>
      </c>
      <c r="X1" s="17" t="s">
        <v>129</v>
      </c>
      <c r="Y1" s="16" t="s">
        <v>128</v>
      </c>
      <c r="Z1" s="26" t="s">
        <v>1810</v>
      </c>
      <c r="AA1" s="56" t="s">
        <v>1809</v>
      </c>
    </row>
    <row r="2" spans="1:27" ht="6.6" customHeight="1" x14ac:dyDescent="0.25">
      <c r="A2" s="72">
        <v>2</v>
      </c>
      <c r="B2" s="73" t="s">
        <v>1968</v>
      </c>
      <c r="C2" s="32" t="s">
        <v>1386</v>
      </c>
      <c r="D2" s="32" t="s">
        <v>1385</v>
      </c>
      <c r="E2" s="32" t="s">
        <v>1387</v>
      </c>
      <c r="F2" s="32" t="s">
        <v>620</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1530</v>
      </c>
      <c r="Q2" s="80" t="s">
        <v>620</v>
      </c>
      <c r="R2" s="77" t="s">
        <v>1</v>
      </c>
      <c r="S2" s="77" t="str">
        <f t="shared" ref="S2:U12" si="1">SUBSTITUTE(C2, ".", " ")</f>
        <v>Fronteiras</v>
      </c>
      <c r="T2" s="77" t="str">
        <f t="shared" si="1"/>
        <v>Geográficas</v>
      </c>
      <c r="U2" s="77" t="str">
        <f t="shared" si="1"/>
        <v>Naturais</v>
      </c>
      <c r="V2" s="77" t="s">
        <v>1964</v>
      </c>
      <c r="W2" s="78" t="str">
        <f t="shared" ref="W2:W61" si="2">CONCATENATE("Key-BRASIL-",A2)</f>
        <v>Key-BRASIL-2</v>
      </c>
      <c r="X2" s="77" t="s">
        <v>1</v>
      </c>
      <c r="Y2" s="77" t="s">
        <v>1</v>
      </c>
      <c r="Z2" s="81" t="s">
        <v>1</v>
      </c>
      <c r="AA2" s="77" t="str">
        <f t="shared" ref="AA2:AA60" si="3">_xlfn.TRANSLATE(P2,"pt","en")</f>
        <v>Continent.</v>
      </c>
    </row>
    <row r="3" spans="1:27" ht="6.6" customHeight="1" x14ac:dyDescent="0.25">
      <c r="A3" s="72">
        <v>3</v>
      </c>
      <c r="B3" s="73" t="s">
        <v>1968</v>
      </c>
      <c r="C3" s="32" t="s">
        <v>1386</v>
      </c>
      <c r="D3" s="32" t="s">
        <v>1385</v>
      </c>
      <c r="E3" s="32" t="s">
        <v>1387</v>
      </c>
      <c r="F3" s="32" t="s">
        <v>621</v>
      </c>
      <c r="G3" s="79" t="s">
        <v>1</v>
      </c>
      <c r="H3" s="79" t="s">
        <v>1</v>
      </c>
      <c r="I3" s="79" t="s">
        <v>1</v>
      </c>
      <c r="J3" s="79" t="s">
        <v>1</v>
      </c>
      <c r="K3" s="79" t="s">
        <v>1</v>
      </c>
      <c r="L3" s="80" t="str">
        <f t="shared" si="0"/>
        <v>Fronteiras</v>
      </c>
      <c r="M3" s="80" t="str">
        <f t="shared" ref="M3:O57" si="4">_xlfn.CONCAT(SUBSTITUTE(D3,"."," "))</f>
        <v>Geográficas</v>
      </c>
      <c r="N3" s="80" t="str">
        <f t="shared" si="4"/>
        <v>Naturais</v>
      </c>
      <c r="O3" s="80" t="str">
        <f t="shared" si="4"/>
        <v>SubContinente</v>
      </c>
      <c r="P3" s="80" t="s">
        <v>1540</v>
      </c>
      <c r="Q3" s="80" t="s">
        <v>621</v>
      </c>
      <c r="R3" s="77" t="s">
        <v>1</v>
      </c>
      <c r="S3" s="77" t="str">
        <f t="shared" si="1"/>
        <v>Fronteiras</v>
      </c>
      <c r="T3" s="77" t="str">
        <f t="shared" si="1"/>
        <v>Geográficas</v>
      </c>
      <c r="U3" s="77" t="str">
        <f t="shared" si="1"/>
        <v>Naturais</v>
      </c>
      <c r="V3" s="77" t="s">
        <v>1964</v>
      </c>
      <c r="W3" s="78" t="str">
        <f t="shared" si="2"/>
        <v>Key-BRASIL-3</v>
      </c>
      <c r="X3" s="77" t="s">
        <v>1</v>
      </c>
      <c r="Y3" s="77" t="s">
        <v>1</v>
      </c>
      <c r="Z3" s="81" t="s">
        <v>1</v>
      </c>
      <c r="AA3" s="77" t="str">
        <f t="shared" si="3"/>
        <v>SubContinent.</v>
      </c>
    </row>
    <row r="4" spans="1:27" ht="6.6" customHeight="1" x14ac:dyDescent="0.25">
      <c r="A4" s="72">
        <v>4</v>
      </c>
      <c r="B4" s="73" t="s">
        <v>1968</v>
      </c>
      <c r="C4" s="32" t="s">
        <v>1386</v>
      </c>
      <c r="D4" s="32" t="s">
        <v>1385</v>
      </c>
      <c r="E4" s="32" t="s">
        <v>1387</v>
      </c>
      <c r="F4" s="32" t="s">
        <v>622</v>
      </c>
      <c r="G4" s="79" t="s">
        <v>1</v>
      </c>
      <c r="H4" s="79" t="s">
        <v>1</v>
      </c>
      <c r="I4" s="79" t="s">
        <v>1</v>
      </c>
      <c r="J4" s="79" t="s">
        <v>1</v>
      </c>
      <c r="K4" s="79" t="s">
        <v>1</v>
      </c>
      <c r="L4" s="80" t="str">
        <f t="shared" si="0"/>
        <v>Fronteiras</v>
      </c>
      <c r="M4" s="80" t="str">
        <f t="shared" si="4"/>
        <v>Geográficas</v>
      </c>
      <c r="N4" s="80" t="str">
        <f t="shared" si="4"/>
        <v>Naturais</v>
      </c>
      <c r="O4" s="80" t="str">
        <f t="shared" si="4"/>
        <v>Bioma</v>
      </c>
      <c r="P4" s="80" t="s">
        <v>1531</v>
      </c>
      <c r="Q4" s="80" t="s">
        <v>623</v>
      </c>
      <c r="R4" s="77" t="s">
        <v>1</v>
      </c>
      <c r="S4" s="77" t="str">
        <f t="shared" si="1"/>
        <v>Fronteiras</v>
      </c>
      <c r="T4" s="77" t="str">
        <f t="shared" si="1"/>
        <v>Geográficas</v>
      </c>
      <c r="U4" s="77" t="str">
        <f t="shared" si="1"/>
        <v>Naturais</v>
      </c>
      <c r="V4" s="77" t="s">
        <v>1964</v>
      </c>
      <c r="W4" s="78" t="str">
        <f t="shared" si="2"/>
        <v>Key-BRASIL-4</v>
      </c>
      <c r="X4" s="77" t="s">
        <v>1</v>
      </c>
      <c r="Y4" s="77" t="s">
        <v>1</v>
      </c>
      <c r="Z4" s="81" t="s">
        <v>1</v>
      </c>
      <c r="AA4" s="77" t="str">
        <f t="shared" si="3"/>
        <v>Region that defines characteristics of life in the natural environment.</v>
      </c>
    </row>
    <row r="5" spans="1:27" ht="6.6" customHeight="1" x14ac:dyDescent="0.25">
      <c r="A5" s="72">
        <v>5</v>
      </c>
      <c r="B5" s="73" t="s">
        <v>1968</v>
      </c>
      <c r="C5" s="32" t="s">
        <v>1386</v>
      </c>
      <c r="D5" s="32" t="s">
        <v>1385</v>
      </c>
      <c r="E5" s="32" t="s">
        <v>1388</v>
      </c>
      <c r="F5" s="32" t="s">
        <v>624</v>
      </c>
      <c r="G5" s="79" t="s">
        <v>1</v>
      </c>
      <c r="H5" s="79" t="s">
        <v>1</v>
      </c>
      <c r="I5" s="79" t="s">
        <v>1</v>
      </c>
      <c r="J5" s="79" t="s">
        <v>1</v>
      </c>
      <c r="K5" s="79" t="str">
        <f>_xlfn.CONCAT("é.dentro.de some ",F2)</f>
        <v>é.dentro.de some Continente</v>
      </c>
      <c r="L5" s="80" t="str">
        <f t="shared" si="0"/>
        <v>Fronteiras</v>
      </c>
      <c r="M5" s="80" t="str">
        <f t="shared" si="4"/>
        <v>Geográficas</v>
      </c>
      <c r="N5" s="80" t="str">
        <f t="shared" si="4"/>
        <v>Políticas</v>
      </c>
      <c r="O5" s="80" t="str">
        <f t="shared" si="4"/>
        <v>País</v>
      </c>
      <c r="P5" s="80" t="s">
        <v>1532</v>
      </c>
      <c r="Q5" s="80" t="s">
        <v>624</v>
      </c>
      <c r="R5" s="77" t="s">
        <v>1</v>
      </c>
      <c r="S5" s="77" t="str">
        <f t="shared" si="1"/>
        <v>Fronteiras</v>
      </c>
      <c r="T5" s="77" t="str">
        <f t="shared" si="1"/>
        <v>Geográficas</v>
      </c>
      <c r="U5" s="77" t="str">
        <f t="shared" si="1"/>
        <v>Políticas</v>
      </c>
      <c r="V5" s="77" t="s">
        <v>1964</v>
      </c>
      <c r="W5" s="78" t="str">
        <f t="shared" si="2"/>
        <v>Key-BRASIL-5</v>
      </c>
      <c r="X5" s="77" t="s">
        <v>1</v>
      </c>
      <c r="Y5" s="77" t="s">
        <v>1828</v>
      </c>
      <c r="Z5" s="81" t="s">
        <v>1</v>
      </c>
      <c r="AA5" s="77" t="str">
        <f t="shared" si="3"/>
        <v>Country.</v>
      </c>
    </row>
    <row r="6" spans="1:27" ht="6.6" customHeight="1" x14ac:dyDescent="0.25">
      <c r="A6" s="72">
        <v>6</v>
      </c>
      <c r="B6" s="73" t="s">
        <v>1968</v>
      </c>
      <c r="C6" s="32" t="s">
        <v>1386</v>
      </c>
      <c r="D6" s="32" t="s">
        <v>1385</v>
      </c>
      <c r="E6" s="32" t="s">
        <v>1388</v>
      </c>
      <c r="F6" s="32" t="s">
        <v>625</v>
      </c>
      <c r="G6" s="79" t="s">
        <v>1</v>
      </c>
      <c r="H6" s="79" t="s">
        <v>1</v>
      </c>
      <c r="I6" s="79" t="s">
        <v>1</v>
      </c>
      <c r="J6" s="79" t="s">
        <v>1</v>
      </c>
      <c r="K6" s="79" t="s">
        <v>1</v>
      </c>
      <c r="L6" s="80" t="str">
        <f t="shared" si="0"/>
        <v>Fronteiras</v>
      </c>
      <c r="M6" s="80" t="str">
        <f t="shared" si="4"/>
        <v>Geográficas</v>
      </c>
      <c r="N6" s="80" t="str">
        <f t="shared" si="4"/>
        <v>Políticas</v>
      </c>
      <c r="O6" s="80" t="str">
        <f t="shared" si="4"/>
        <v>Nação</v>
      </c>
      <c r="P6" s="80" t="s">
        <v>625</v>
      </c>
      <c r="Q6" s="80" t="s">
        <v>626</v>
      </c>
      <c r="R6" s="77" t="s">
        <v>1</v>
      </c>
      <c r="S6" s="77" t="str">
        <f t="shared" si="1"/>
        <v>Fronteiras</v>
      </c>
      <c r="T6" s="77" t="str">
        <f t="shared" si="1"/>
        <v>Geográficas</v>
      </c>
      <c r="U6" s="77" t="str">
        <f t="shared" si="1"/>
        <v>Políticas</v>
      </c>
      <c r="V6" s="77" t="s">
        <v>1964</v>
      </c>
      <c r="W6" s="78" t="str">
        <f t="shared" si="2"/>
        <v>Key-BRASIL-6</v>
      </c>
      <c r="X6" s="77" t="s">
        <v>1</v>
      </c>
      <c r="Y6" s="77" t="s">
        <v>1828</v>
      </c>
      <c r="Z6" s="81" t="s">
        <v>1</v>
      </c>
      <c r="AA6" s="77" t="str">
        <f t="shared" si="3"/>
        <v>Nation</v>
      </c>
    </row>
    <row r="7" spans="1:27" ht="6.6" customHeight="1" x14ac:dyDescent="0.25">
      <c r="A7" s="72">
        <v>7</v>
      </c>
      <c r="B7" s="73" t="s">
        <v>1968</v>
      </c>
      <c r="C7" s="32" t="s">
        <v>1386</v>
      </c>
      <c r="D7" s="32" t="s">
        <v>1385</v>
      </c>
      <c r="E7" s="32" t="s">
        <v>1388</v>
      </c>
      <c r="F7" s="32" t="s">
        <v>627</v>
      </c>
      <c r="G7" s="79" t="s">
        <v>1</v>
      </c>
      <c r="H7" s="79" t="s">
        <v>1</v>
      </c>
      <c r="I7" s="79" t="s">
        <v>1</v>
      </c>
      <c r="J7" s="79" t="s">
        <v>1</v>
      </c>
      <c r="K7" s="79" t="s">
        <v>628</v>
      </c>
      <c r="L7" s="80" t="str">
        <f t="shared" si="0"/>
        <v>Fronteiras</v>
      </c>
      <c r="M7" s="80" t="str">
        <f t="shared" si="4"/>
        <v>Geográficas</v>
      </c>
      <c r="N7" s="80" t="str">
        <f t="shared" si="4"/>
        <v>Políticas</v>
      </c>
      <c r="O7" s="80" t="str">
        <f t="shared" si="4"/>
        <v>Região</v>
      </c>
      <c r="P7" s="82" t="s">
        <v>1947</v>
      </c>
      <c r="Q7" s="80" t="str">
        <f>_xlfn.TRANSLATE(P7,"pt","es")</f>
        <v>Región geográfica de Brasil. de Brasil hay 5 regiones geográficas principales.</v>
      </c>
      <c r="R7" s="77" t="s">
        <v>1</v>
      </c>
      <c r="S7" s="77" t="str">
        <f t="shared" si="1"/>
        <v>Fronteiras</v>
      </c>
      <c r="T7" s="77" t="str">
        <f t="shared" si="1"/>
        <v>Geográficas</v>
      </c>
      <c r="U7" s="77" t="str">
        <f t="shared" si="1"/>
        <v>Políticas</v>
      </c>
      <c r="V7" s="77" t="s">
        <v>1964</v>
      </c>
      <c r="W7" s="78" t="str">
        <f t="shared" si="2"/>
        <v>Key-BRASIL-7</v>
      </c>
      <c r="X7" s="77" t="s">
        <v>1</v>
      </c>
      <c r="Y7" s="77" t="s">
        <v>1828</v>
      </c>
      <c r="Z7" s="81" t="s">
        <v>1</v>
      </c>
      <c r="AA7" s="77" t="str">
        <f t="shared" si="3"/>
        <v>Geographic Region of Brazil. of Brazil there are 5 main Geographic Regions.</v>
      </c>
    </row>
    <row r="8" spans="1:27" ht="6.6" customHeight="1" x14ac:dyDescent="0.25">
      <c r="A8" s="72">
        <v>8</v>
      </c>
      <c r="B8" s="73" t="s">
        <v>1968</v>
      </c>
      <c r="C8" s="32" t="s">
        <v>1386</v>
      </c>
      <c r="D8" s="32" t="s">
        <v>1385</v>
      </c>
      <c r="E8" s="32" t="s">
        <v>1388</v>
      </c>
      <c r="F8" s="32" t="s">
        <v>1946</v>
      </c>
      <c r="G8" s="79" t="s">
        <v>1</v>
      </c>
      <c r="H8" s="79" t="s">
        <v>1</v>
      </c>
      <c r="I8" s="79" t="s">
        <v>1</v>
      </c>
      <c r="J8" s="79" t="s">
        <v>1</v>
      </c>
      <c r="K8" s="79" t="s">
        <v>628</v>
      </c>
      <c r="L8" s="80" t="str">
        <f t="shared" si="0"/>
        <v>Fronteiras</v>
      </c>
      <c r="M8" s="80" t="str">
        <f t="shared" si="4"/>
        <v>Geográficas</v>
      </c>
      <c r="N8" s="80" t="str">
        <f t="shared" si="4"/>
        <v>Políticas</v>
      </c>
      <c r="O8" s="80" t="str">
        <f t="shared" si="4"/>
        <v>Região Intermediária</v>
      </c>
      <c r="P8" s="82" t="s">
        <v>1973</v>
      </c>
      <c r="Q8" s="80"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7" t="s">
        <v>1</v>
      </c>
      <c r="S8" s="77" t="str">
        <f t="shared" si="1"/>
        <v>Fronteiras</v>
      </c>
      <c r="T8" s="77" t="str">
        <f t="shared" si="1"/>
        <v>Geográficas</v>
      </c>
      <c r="U8" s="77" t="str">
        <f t="shared" si="1"/>
        <v>Políticas</v>
      </c>
      <c r="V8" s="77" t="s">
        <v>1964</v>
      </c>
      <c r="W8" s="78" t="str">
        <f t="shared" si="2"/>
        <v>Key-BRASIL-8</v>
      </c>
      <c r="X8" s="77" t="s">
        <v>1</v>
      </c>
      <c r="Y8" s="77" t="s">
        <v>1828</v>
      </c>
      <c r="Z8" s="81" t="s">
        <v>1</v>
      </c>
      <c r="AA8" s="77"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ht="6.6" customHeight="1" x14ac:dyDescent="0.25">
      <c r="A9" s="72">
        <v>9</v>
      </c>
      <c r="B9" s="73" t="s">
        <v>1968</v>
      </c>
      <c r="C9" s="32" t="s">
        <v>1386</v>
      </c>
      <c r="D9" s="32" t="s">
        <v>1385</v>
      </c>
      <c r="E9" s="32" t="s">
        <v>1388</v>
      </c>
      <c r="F9" s="32" t="s">
        <v>1944</v>
      </c>
      <c r="G9" s="79" t="s">
        <v>1</v>
      </c>
      <c r="H9" s="79" t="s">
        <v>1</v>
      </c>
      <c r="I9" s="79" t="s">
        <v>1</v>
      </c>
      <c r="J9" s="79" t="s">
        <v>1</v>
      </c>
      <c r="K9" s="79" t="s">
        <v>628</v>
      </c>
      <c r="L9" s="80" t="str">
        <f t="shared" si="0"/>
        <v>Fronteiras</v>
      </c>
      <c r="M9" s="80" t="str">
        <f t="shared" si="4"/>
        <v>Geográficas</v>
      </c>
      <c r="N9" s="80" t="str">
        <f t="shared" si="4"/>
        <v>Políticas</v>
      </c>
      <c r="O9" s="80" t="str">
        <f t="shared" si="4"/>
        <v>Região Imediata</v>
      </c>
      <c r="P9" s="82" t="s">
        <v>1974</v>
      </c>
      <c r="Q9" s="80"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7" t="s">
        <v>1</v>
      </c>
      <c r="S9" s="77" t="str">
        <f t="shared" si="1"/>
        <v>Fronteiras</v>
      </c>
      <c r="T9" s="77" t="str">
        <f t="shared" si="1"/>
        <v>Geográficas</v>
      </c>
      <c r="U9" s="77" t="str">
        <f t="shared" si="1"/>
        <v>Políticas</v>
      </c>
      <c r="V9" s="77" t="s">
        <v>1964</v>
      </c>
      <c r="W9" s="78" t="str">
        <f t="shared" si="2"/>
        <v>Key-BRASIL-9</v>
      </c>
      <c r="X9" s="77" t="s">
        <v>1</v>
      </c>
      <c r="Y9" s="77" t="s">
        <v>1828</v>
      </c>
      <c r="Z9" s="81" t="s">
        <v>1</v>
      </c>
      <c r="AA9" s="77"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ht="6.6" customHeight="1" x14ac:dyDescent="0.25">
      <c r="A10" s="72">
        <v>10</v>
      </c>
      <c r="B10" s="73" t="s">
        <v>1968</v>
      </c>
      <c r="C10" s="32" t="s">
        <v>1386</v>
      </c>
      <c r="D10" s="32" t="s">
        <v>1385</v>
      </c>
      <c r="E10" s="32" t="s">
        <v>1388</v>
      </c>
      <c r="F10" s="32" t="s">
        <v>629</v>
      </c>
      <c r="G10" s="79" t="s">
        <v>1</v>
      </c>
      <c r="H10" s="79" t="s">
        <v>1</v>
      </c>
      <c r="I10" s="79" t="s">
        <v>1</v>
      </c>
      <c r="J10" s="79" t="s">
        <v>1</v>
      </c>
      <c r="K10" s="79" t="str">
        <f>_xlfn.CONCAT("é.dentro.de some ",F5)</f>
        <v>é.dentro.de some País</v>
      </c>
      <c r="L10" s="80" t="str">
        <f t="shared" si="0"/>
        <v>Fronteiras</v>
      </c>
      <c r="M10" s="80" t="str">
        <f t="shared" si="4"/>
        <v>Geográficas</v>
      </c>
      <c r="N10" s="80" t="str">
        <f t="shared" si="4"/>
        <v>Políticas</v>
      </c>
      <c r="O10" s="80" t="str">
        <f t="shared" si="4"/>
        <v>Estado</v>
      </c>
      <c r="P10" s="80" t="s">
        <v>1533</v>
      </c>
      <c r="Q10" s="80" t="s">
        <v>629</v>
      </c>
      <c r="R10" s="77" t="s">
        <v>1</v>
      </c>
      <c r="S10" s="77" t="str">
        <f t="shared" si="1"/>
        <v>Fronteiras</v>
      </c>
      <c r="T10" s="77" t="str">
        <f t="shared" si="1"/>
        <v>Geográficas</v>
      </c>
      <c r="U10" s="77" t="str">
        <f t="shared" si="1"/>
        <v>Políticas</v>
      </c>
      <c r="V10" s="77" t="s">
        <v>1964</v>
      </c>
      <c r="W10" s="78" t="str">
        <f t="shared" si="2"/>
        <v>Key-BRASIL-10</v>
      </c>
      <c r="X10" s="77" t="s">
        <v>1</v>
      </c>
      <c r="Y10" s="77" t="s">
        <v>1828</v>
      </c>
      <c r="Z10" s="81" t="s">
        <v>1</v>
      </c>
      <c r="AA10" s="77" t="str">
        <f t="shared" si="3"/>
        <v>State.</v>
      </c>
    </row>
    <row r="11" spans="1:27" ht="6.6" customHeight="1" x14ac:dyDescent="0.25">
      <c r="A11" s="72">
        <v>11</v>
      </c>
      <c r="B11" s="73" t="s">
        <v>1968</v>
      </c>
      <c r="C11" s="32" t="s">
        <v>1386</v>
      </c>
      <c r="D11" s="32" t="s">
        <v>1385</v>
      </c>
      <c r="E11" s="32" t="s">
        <v>1388</v>
      </c>
      <c r="F11" s="32" t="s">
        <v>630</v>
      </c>
      <c r="G11" s="79" t="s">
        <v>1</v>
      </c>
      <c r="H11" s="79" t="s">
        <v>1</v>
      </c>
      <c r="I11" s="79" t="s">
        <v>1</v>
      </c>
      <c r="J11" s="79" t="s">
        <v>1</v>
      </c>
      <c r="K11" s="79" t="s">
        <v>1</v>
      </c>
      <c r="L11" s="80" t="str">
        <f t="shared" si="0"/>
        <v>Fronteiras</v>
      </c>
      <c r="M11" s="80" t="str">
        <f t="shared" si="4"/>
        <v>Geográficas</v>
      </c>
      <c r="N11" s="80" t="str">
        <f t="shared" si="4"/>
        <v>Políticas</v>
      </c>
      <c r="O11" s="80" t="str">
        <f t="shared" si="4"/>
        <v>UF</v>
      </c>
      <c r="P11" s="80" t="s">
        <v>1534</v>
      </c>
      <c r="Q11" s="80" t="s">
        <v>631</v>
      </c>
      <c r="R11" s="77" t="s">
        <v>1</v>
      </c>
      <c r="S11" s="77" t="str">
        <f t="shared" si="1"/>
        <v>Fronteiras</v>
      </c>
      <c r="T11" s="77" t="str">
        <f t="shared" si="1"/>
        <v>Geográficas</v>
      </c>
      <c r="U11" s="77" t="str">
        <f t="shared" si="1"/>
        <v>Políticas</v>
      </c>
      <c r="V11" s="77" t="s">
        <v>1964</v>
      </c>
      <c r="W11" s="78" t="str">
        <f t="shared" si="2"/>
        <v>Key-BRASIL-11</v>
      </c>
      <c r="X11" s="77" t="s">
        <v>1</v>
      </c>
      <c r="Y11" s="77" t="s">
        <v>1828</v>
      </c>
      <c r="Z11" s="81" t="s">
        <v>1</v>
      </c>
      <c r="AA11" s="77" t="str">
        <f t="shared" si="3"/>
        <v>Federative Unit of Brazil.</v>
      </c>
    </row>
    <row r="12" spans="1:27" ht="6.6" customHeight="1" x14ac:dyDescent="0.25">
      <c r="A12" s="72">
        <v>12</v>
      </c>
      <c r="B12" s="73" t="s">
        <v>1968</v>
      </c>
      <c r="C12" s="32" t="s">
        <v>1386</v>
      </c>
      <c r="D12" s="32" t="s">
        <v>1385</v>
      </c>
      <c r="E12" s="32" t="s">
        <v>1388</v>
      </c>
      <c r="F12" s="32" t="s">
        <v>632</v>
      </c>
      <c r="G12" s="79" t="s">
        <v>1</v>
      </c>
      <c r="H12" s="79" t="s">
        <v>1</v>
      </c>
      <c r="I12" s="79" t="s">
        <v>1</v>
      </c>
      <c r="J12" s="79" t="s">
        <v>1</v>
      </c>
      <c r="K12" s="79" t="str">
        <f>_xlfn.CONCAT("é.dentro.de some ",F6)</f>
        <v>é.dentro.de some Nação</v>
      </c>
      <c r="L12" s="80" t="str">
        <f t="shared" si="0"/>
        <v>Fronteiras</v>
      </c>
      <c r="M12" s="80" t="str">
        <f t="shared" si="4"/>
        <v>Geográficas</v>
      </c>
      <c r="N12" s="80" t="str">
        <f t="shared" si="4"/>
        <v>Políticas</v>
      </c>
      <c r="O12" s="80" t="str">
        <f t="shared" si="4"/>
        <v>Província</v>
      </c>
      <c r="P12" s="80" t="s">
        <v>1535</v>
      </c>
      <c r="Q12" s="80" t="s">
        <v>633</v>
      </c>
      <c r="R12" s="77" t="s">
        <v>1</v>
      </c>
      <c r="S12" s="77" t="str">
        <f t="shared" si="1"/>
        <v>Fronteiras</v>
      </c>
      <c r="T12" s="77" t="str">
        <f t="shared" si="1"/>
        <v>Geográficas</v>
      </c>
      <c r="U12" s="77" t="str">
        <f t="shared" si="1"/>
        <v>Políticas</v>
      </c>
      <c r="V12" s="77" t="s">
        <v>1964</v>
      </c>
      <c r="W12" s="78" t="str">
        <f t="shared" si="2"/>
        <v>Key-BRASIL-12</v>
      </c>
      <c r="X12" s="77" t="s">
        <v>1</v>
      </c>
      <c r="Y12" s="77" t="s">
        <v>1828</v>
      </c>
      <c r="Z12" s="81" t="s">
        <v>1</v>
      </c>
      <c r="AA12" s="77" t="str">
        <f t="shared" si="3"/>
        <v>Province.</v>
      </c>
    </row>
    <row r="13" spans="1:27" ht="6.6" customHeight="1" x14ac:dyDescent="0.25">
      <c r="A13" s="72">
        <v>13</v>
      </c>
      <c r="B13" s="73" t="s">
        <v>1968</v>
      </c>
      <c r="C13" s="32" t="s">
        <v>1386</v>
      </c>
      <c r="D13" s="32" t="s">
        <v>1385</v>
      </c>
      <c r="E13" s="32" t="s">
        <v>1388</v>
      </c>
      <c r="F13" s="32" t="s">
        <v>634</v>
      </c>
      <c r="G13" s="79" t="s">
        <v>1</v>
      </c>
      <c r="H13" s="79" t="s">
        <v>1</v>
      </c>
      <c r="I13" s="79" t="s">
        <v>1</v>
      </c>
      <c r="J13" s="79" t="s">
        <v>1</v>
      </c>
      <c r="K13" s="79" t="str">
        <f>_xlfn.CONCAT("é.dentro.de some ",F10)</f>
        <v>é.dentro.de some Estado</v>
      </c>
      <c r="L13" s="80" t="str">
        <f t="shared" si="0"/>
        <v>Fronteiras</v>
      </c>
      <c r="M13" s="80" t="str">
        <f t="shared" si="4"/>
        <v>Geográficas</v>
      </c>
      <c r="N13" s="80" t="str">
        <f t="shared" si="4"/>
        <v>Políticas</v>
      </c>
      <c r="O13" s="80" t="str">
        <f t="shared" si="4"/>
        <v>Capital</v>
      </c>
      <c r="P13" s="80" t="s">
        <v>1975</v>
      </c>
      <c r="Q13" s="80" t="s">
        <v>634</v>
      </c>
      <c r="R13" s="77" t="s">
        <v>1</v>
      </c>
      <c r="S13" s="77" t="str">
        <f t="shared" ref="S13:U107" si="6">SUBSTITUTE(C13, ".", " ")</f>
        <v>Fronteiras</v>
      </c>
      <c r="T13" s="77" t="str">
        <f t="shared" si="6"/>
        <v>Geográficas</v>
      </c>
      <c r="U13" s="77" t="str">
        <f t="shared" si="6"/>
        <v>Políticas</v>
      </c>
      <c r="V13" s="77" t="s">
        <v>1964</v>
      </c>
      <c r="W13" s="78" t="str">
        <f t="shared" si="2"/>
        <v>Key-BRASIL-13</v>
      </c>
      <c r="X13" s="77" t="s">
        <v>1</v>
      </c>
      <c r="Y13" s="77" t="s">
        <v>1828</v>
      </c>
      <c r="Z13" s="81" t="s">
        <v>1</v>
      </c>
      <c r="AA13" s="77" t="str">
        <f t="shared" si="3"/>
        <v>Capital of a State in Brazil.</v>
      </c>
    </row>
    <row r="14" spans="1:27" ht="6.6" customHeight="1" x14ac:dyDescent="0.25">
      <c r="A14" s="72">
        <v>14</v>
      </c>
      <c r="B14" s="73" t="s">
        <v>1968</v>
      </c>
      <c r="C14" s="32" t="s">
        <v>1386</v>
      </c>
      <c r="D14" s="32" t="s">
        <v>1385</v>
      </c>
      <c r="E14" s="32" t="s">
        <v>1388</v>
      </c>
      <c r="F14" s="32" t="s">
        <v>1976</v>
      </c>
      <c r="G14" s="79" t="s">
        <v>1</v>
      </c>
      <c r="H14" s="79" t="s">
        <v>1</v>
      </c>
      <c r="I14" s="79" t="s">
        <v>1</v>
      </c>
      <c r="J14" s="79" t="s">
        <v>1</v>
      </c>
      <c r="K14" s="79" t="str">
        <f>_xlfn.CONCAT("é.dentro.de some ",F3)</f>
        <v>é.dentro.de some SubContinente</v>
      </c>
      <c r="L14" s="80" t="str">
        <f t="shared" si="0"/>
        <v>Fronteiras</v>
      </c>
      <c r="M14" s="80" t="str">
        <f t="shared" si="4"/>
        <v>Geográficas</v>
      </c>
      <c r="N14" s="80" t="str">
        <f t="shared" si="4"/>
        <v>Políticas</v>
      </c>
      <c r="O14" s="80" t="str">
        <f t="shared" si="4"/>
        <v>Capital do Sul</v>
      </c>
      <c r="P14" s="80" t="s">
        <v>1977</v>
      </c>
      <c r="Q14" s="80" t="str">
        <f t="shared" ref="Q14:Q24" si="7">_xlfn.TRANSLATE(P14,"pt","es")</f>
        <v>Ciudad capital de un estado situado en la región sur de Brasil.</v>
      </c>
      <c r="R14" s="77" t="s">
        <v>1</v>
      </c>
      <c r="S14" s="77" t="str">
        <f t="shared" si="6"/>
        <v>Fronteiras</v>
      </c>
      <c r="T14" s="77" t="str">
        <f t="shared" si="6"/>
        <v>Geográficas</v>
      </c>
      <c r="U14" s="77" t="str">
        <f t="shared" si="6"/>
        <v>Políticas</v>
      </c>
      <c r="V14" s="77" t="s">
        <v>1964</v>
      </c>
      <c r="W14" s="78" t="str">
        <f t="shared" si="2"/>
        <v>Key-BRASIL-14</v>
      </c>
      <c r="X14" s="77" t="s">
        <v>1</v>
      </c>
      <c r="Y14" s="77" t="s">
        <v>1828</v>
      </c>
      <c r="Z14" s="81" t="s">
        <v>1</v>
      </c>
      <c r="AA14" s="77" t="str">
        <f t="shared" si="3"/>
        <v>Capital City of a state located in the southern region of Brazil.</v>
      </c>
    </row>
    <row r="15" spans="1:27" ht="6.6" customHeight="1" x14ac:dyDescent="0.25">
      <c r="A15" s="72">
        <v>15</v>
      </c>
      <c r="B15" s="73" t="s">
        <v>1968</v>
      </c>
      <c r="C15" s="32" t="s">
        <v>1386</v>
      </c>
      <c r="D15" s="32" t="s">
        <v>1385</v>
      </c>
      <c r="E15" s="32" t="s">
        <v>1388</v>
      </c>
      <c r="F15" s="32" t="s">
        <v>1978</v>
      </c>
      <c r="G15" s="79" t="s">
        <v>1</v>
      </c>
      <c r="H15" s="79" t="s">
        <v>1</v>
      </c>
      <c r="I15" s="79" t="s">
        <v>1</v>
      </c>
      <c r="J15" s="79" t="s">
        <v>1</v>
      </c>
      <c r="K15" s="79" t="str">
        <f>_xlfn.CONCAT("é.dentro.de some ",F3)</f>
        <v>é.dentro.de some SubContinente</v>
      </c>
      <c r="L15" s="80" t="str">
        <f t="shared" si="0"/>
        <v>Fronteiras</v>
      </c>
      <c r="M15" s="80" t="str">
        <f t="shared" si="4"/>
        <v>Geográficas</v>
      </c>
      <c r="N15" s="80" t="str">
        <f t="shared" si="4"/>
        <v>Políticas</v>
      </c>
      <c r="O15" s="80" t="str">
        <f t="shared" si="4"/>
        <v>Capital do Sudeste</v>
      </c>
      <c r="P15" s="80" t="s">
        <v>1979</v>
      </c>
      <c r="Q15" s="80" t="str">
        <f t="shared" si="7"/>
        <v>Ciudad capital de un estado situado en la región sureste de Brasil.</v>
      </c>
      <c r="R15" s="77" t="s">
        <v>1</v>
      </c>
      <c r="S15" s="77" t="str">
        <f t="shared" si="6"/>
        <v>Fronteiras</v>
      </c>
      <c r="T15" s="77" t="str">
        <f t="shared" si="6"/>
        <v>Geográficas</v>
      </c>
      <c r="U15" s="77" t="str">
        <f t="shared" si="6"/>
        <v>Políticas</v>
      </c>
      <c r="V15" s="77" t="s">
        <v>1964</v>
      </c>
      <c r="W15" s="78" t="str">
        <f t="shared" si="2"/>
        <v>Key-BRASIL-15</v>
      </c>
      <c r="X15" s="77" t="s">
        <v>1</v>
      </c>
      <c r="Y15" s="77" t="s">
        <v>1828</v>
      </c>
      <c r="Z15" s="81" t="s">
        <v>1</v>
      </c>
      <c r="AA15" s="77" t="str">
        <f t="shared" si="3"/>
        <v>Capital City of a State located in the Southeast region of Brazil.</v>
      </c>
    </row>
    <row r="16" spans="1:27" ht="6.6" customHeight="1" x14ac:dyDescent="0.25">
      <c r="A16" s="72">
        <v>16</v>
      </c>
      <c r="B16" s="73" t="s">
        <v>1968</v>
      </c>
      <c r="C16" s="32" t="s">
        <v>1386</v>
      </c>
      <c r="D16" s="32" t="s">
        <v>1385</v>
      </c>
      <c r="E16" s="32" t="s">
        <v>1388</v>
      </c>
      <c r="F16" s="32" t="s">
        <v>1980</v>
      </c>
      <c r="G16" s="79" t="s">
        <v>1</v>
      </c>
      <c r="H16" s="79" t="s">
        <v>1</v>
      </c>
      <c r="I16" s="79" t="s">
        <v>1</v>
      </c>
      <c r="J16" s="79" t="s">
        <v>1</v>
      </c>
      <c r="K16" s="79" t="str">
        <f>_xlfn.CONCAT("é.dentro.de some ",F3)</f>
        <v>é.dentro.de some SubContinente</v>
      </c>
      <c r="L16" s="80" t="str">
        <f t="shared" si="0"/>
        <v>Fronteiras</v>
      </c>
      <c r="M16" s="80" t="str">
        <f t="shared" si="4"/>
        <v>Geográficas</v>
      </c>
      <c r="N16" s="80" t="str">
        <f t="shared" si="4"/>
        <v>Políticas</v>
      </c>
      <c r="O16" s="80" t="str">
        <f t="shared" si="4"/>
        <v>Capital do Norte</v>
      </c>
      <c r="P16" s="80" t="s">
        <v>1981</v>
      </c>
      <c r="Q16" s="80" t="str">
        <f t="shared" si="7"/>
        <v>Ciudad capital de un Estado situado en la región norte de Brasil.</v>
      </c>
      <c r="R16" s="77" t="s">
        <v>1</v>
      </c>
      <c r="S16" s="77" t="str">
        <f t="shared" si="6"/>
        <v>Fronteiras</v>
      </c>
      <c r="T16" s="77" t="str">
        <f t="shared" si="6"/>
        <v>Geográficas</v>
      </c>
      <c r="U16" s="77" t="str">
        <f t="shared" si="6"/>
        <v>Políticas</v>
      </c>
      <c r="V16" s="77" t="s">
        <v>1964</v>
      </c>
      <c r="W16" s="78" t="str">
        <f t="shared" si="2"/>
        <v>Key-BRASIL-16</v>
      </c>
      <c r="X16" s="77" t="s">
        <v>1</v>
      </c>
      <c r="Y16" s="77" t="s">
        <v>1828</v>
      </c>
      <c r="Z16" s="81" t="s">
        <v>1</v>
      </c>
      <c r="AA16" s="77" t="str">
        <f t="shared" si="3"/>
        <v>Capital City of a State located in the Northern region of Brazil.</v>
      </c>
    </row>
    <row r="17" spans="1:27" ht="6.6" customHeight="1" x14ac:dyDescent="0.25">
      <c r="A17" s="72">
        <v>17</v>
      </c>
      <c r="B17" s="73" t="s">
        <v>1968</v>
      </c>
      <c r="C17" s="32" t="s">
        <v>1386</v>
      </c>
      <c r="D17" s="32" t="s">
        <v>1385</v>
      </c>
      <c r="E17" s="32" t="s">
        <v>1388</v>
      </c>
      <c r="F17" s="32" t="s">
        <v>1982</v>
      </c>
      <c r="G17" s="79" t="s">
        <v>1</v>
      </c>
      <c r="H17" s="79" t="s">
        <v>1</v>
      </c>
      <c r="I17" s="79" t="s">
        <v>1</v>
      </c>
      <c r="J17" s="79" t="s">
        <v>1</v>
      </c>
      <c r="K17" s="79" t="str">
        <f>_xlfn.CONCAT("é.dentro.de some ",F3)</f>
        <v>é.dentro.de some SubContinente</v>
      </c>
      <c r="L17" s="80" t="str">
        <f t="shared" si="0"/>
        <v>Fronteiras</v>
      </c>
      <c r="M17" s="80" t="str">
        <f t="shared" si="4"/>
        <v>Geográficas</v>
      </c>
      <c r="N17" s="80" t="str">
        <f t="shared" si="4"/>
        <v>Políticas</v>
      </c>
      <c r="O17" s="80" t="str">
        <f t="shared" si="4"/>
        <v>Capital do Nordeste</v>
      </c>
      <c r="P17" s="80" t="s">
        <v>1983</v>
      </c>
      <c r="Q17" s="80" t="str">
        <f t="shared" si="7"/>
        <v>Ciudad capital de un estado situado en la región noreste de Brasil.</v>
      </c>
      <c r="R17" s="77" t="s">
        <v>1</v>
      </c>
      <c r="S17" s="77" t="str">
        <f t="shared" si="6"/>
        <v>Fronteiras</v>
      </c>
      <c r="T17" s="77" t="str">
        <f t="shared" si="6"/>
        <v>Geográficas</v>
      </c>
      <c r="U17" s="77" t="str">
        <f t="shared" si="6"/>
        <v>Políticas</v>
      </c>
      <c r="V17" s="77" t="s">
        <v>1964</v>
      </c>
      <c r="W17" s="78" t="str">
        <f t="shared" si="2"/>
        <v>Key-BRASIL-17</v>
      </c>
      <c r="X17" s="77" t="s">
        <v>1</v>
      </c>
      <c r="Y17" s="77" t="s">
        <v>1828</v>
      </c>
      <c r="Z17" s="81" t="s">
        <v>1</v>
      </c>
      <c r="AA17" s="77" t="str">
        <f t="shared" si="3"/>
        <v>Capital City of a state located in the Northeast region of Brazil.</v>
      </c>
    </row>
    <row r="18" spans="1:27" ht="6.6" customHeight="1" x14ac:dyDescent="0.25">
      <c r="A18" s="72">
        <v>18</v>
      </c>
      <c r="B18" s="73" t="s">
        <v>1968</v>
      </c>
      <c r="C18" s="32" t="s">
        <v>1386</v>
      </c>
      <c r="D18" s="32" t="s">
        <v>1385</v>
      </c>
      <c r="E18" s="32" t="s">
        <v>1388</v>
      </c>
      <c r="F18" s="32" t="s">
        <v>1984</v>
      </c>
      <c r="G18" s="79" t="s">
        <v>1</v>
      </c>
      <c r="H18" s="79" t="s">
        <v>1</v>
      </c>
      <c r="I18" s="79" t="s">
        <v>1</v>
      </c>
      <c r="J18" s="79" t="s">
        <v>1</v>
      </c>
      <c r="K18" s="79" t="str">
        <f>_xlfn.CONCAT("é.dentro.de some ",F4)</f>
        <v>é.dentro.de some Bioma</v>
      </c>
      <c r="L18" s="80" t="str">
        <f t="shared" si="0"/>
        <v>Fronteiras</v>
      </c>
      <c r="M18" s="80" t="str">
        <f t="shared" si="4"/>
        <v>Geográficas</v>
      </c>
      <c r="N18" s="80" t="str">
        <f t="shared" si="4"/>
        <v>Políticas</v>
      </c>
      <c r="O18" s="80" t="str">
        <f t="shared" si="4"/>
        <v>Capital do CentroOeste</v>
      </c>
      <c r="P18" s="80" t="s">
        <v>1985</v>
      </c>
      <c r="Q18" s="80" t="str">
        <f t="shared" si="7"/>
        <v>Ciudad capital de un estado situado en la región del Medio Oeste de Brasil.</v>
      </c>
      <c r="R18" s="77" t="s">
        <v>1</v>
      </c>
      <c r="S18" s="77" t="str">
        <f t="shared" si="6"/>
        <v>Fronteiras</v>
      </c>
      <c r="T18" s="77" t="str">
        <f t="shared" si="6"/>
        <v>Geográficas</v>
      </c>
      <c r="U18" s="77" t="str">
        <f t="shared" si="6"/>
        <v>Políticas</v>
      </c>
      <c r="V18" s="77" t="s">
        <v>1964</v>
      </c>
      <c r="W18" s="78" t="str">
        <f t="shared" si="2"/>
        <v>Key-BRASIL-18</v>
      </c>
      <c r="X18" s="77" t="s">
        <v>1</v>
      </c>
      <c r="Y18" s="77" t="s">
        <v>1828</v>
      </c>
      <c r="Z18" s="81" t="s">
        <v>1</v>
      </c>
      <c r="AA18" s="77" t="str">
        <f t="shared" si="3"/>
        <v>Capital City of a state located in the Midwest region of Brazil.</v>
      </c>
    </row>
    <row r="19" spans="1:27" ht="6.6" customHeight="1" x14ac:dyDescent="0.25">
      <c r="A19" s="72">
        <v>19</v>
      </c>
      <c r="B19" s="73" t="s">
        <v>1968</v>
      </c>
      <c r="C19" s="32" t="s">
        <v>1386</v>
      </c>
      <c r="D19" s="32" t="s">
        <v>1385</v>
      </c>
      <c r="E19" s="32" t="s">
        <v>1388</v>
      </c>
      <c r="F19" s="32" t="s">
        <v>58</v>
      </c>
      <c r="G19" s="79" t="s">
        <v>1</v>
      </c>
      <c r="H19" s="79" t="s">
        <v>1</v>
      </c>
      <c r="I19" s="79" t="s">
        <v>1</v>
      </c>
      <c r="J19" s="79" t="s">
        <v>1</v>
      </c>
      <c r="K19" s="79" t="str">
        <f>_xlfn.CONCAT("é.dentro.de some ",F9)</f>
        <v>é.dentro.de some Região.Imediata</v>
      </c>
      <c r="L19" s="80" t="str">
        <f t="shared" si="0"/>
        <v>Fronteiras</v>
      </c>
      <c r="M19" s="80" t="str">
        <f t="shared" si="4"/>
        <v>Geográficas</v>
      </c>
      <c r="N19" s="80" t="str">
        <f t="shared" si="4"/>
        <v>Políticas</v>
      </c>
      <c r="O19" s="80" t="str">
        <f t="shared" si="4"/>
        <v>Cidade</v>
      </c>
      <c r="P19" s="80" t="s">
        <v>1986</v>
      </c>
      <c r="Q19" s="80" t="str">
        <f t="shared" si="7"/>
        <v>Ciudad de Brasil.</v>
      </c>
      <c r="R19" s="77" t="s">
        <v>1</v>
      </c>
      <c r="S19" s="77" t="str">
        <f t="shared" si="6"/>
        <v>Fronteiras</v>
      </c>
      <c r="T19" s="77" t="str">
        <f t="shared" si="6"/>
        <v>Geográficas</v>
      </c>
      <c r="U19" s="77" t="str">
        <f t="shared" si="6"/>
        <v>Políticas</v>
      </c>
      <c r="V19" s="77" t="s">
        <v>1964</v>
      </c>
      <c r="W19" s="78" t="str">
        <f t="shared" si="2"/>
        <v>Key-BRASIL-19</v>
      </c>
      <c r="X19" s="77" t="s">
        <v>1</v>
      </c>
      <c r="Y19" s="77" t="s">
        <v>1828</v>
      </c>
      <c r="Z19" s="81" t="s">
        <v>1</v>
      </c>
      <c r="AA19" s="77" t="str">
        <f t="shared" si="3"/>
        <v>City of Brazil.</v>
      </c>
    </row>
    <row r="20" spans="1:27" ht="6.6" customHeight="1" x14ac:dyDescent="0.25">
      <c r="A20" s="72">
        <v>20</v>
      </c>
      <c r="B20" s="73" t="s">
        <v>1968</v>
      </c>
      <c r="C20" s="32" t="s">
        <v>1386</v>
      </c>
      <c r="D20" s="32" t="s">
        <v>1385</v>
      </c>
      <c r="E20" s="32" t="s">
        <v>1388</v>
      </c>
      <c r="F20" s="32" t="s">
        <v>1987</v>
      </c>
      <c r="G20" s="79" t="s">
        <v>1</v>
      </c>
      <c r="H20" s="79" t="s">
        <v>1</v>
      </c>
      <c r="I20" s="79" t="s">
        <v>1</v>
      </c>
      <c r="J20" s="79" t="s">
        <v>1</v>
      </c>
      <c r="K20" s="79" t="str">
        <f>_xlfn.CONCAT("é.dentro.de some ",F9)</f>
        <v>é.dentro.de some Região.Imediata</v>
      </c>
      <c r="L20" s="80" t="str">
        <f t="shared" si="0"/>
        <v>Fronteiras</v>
      </c>
      <c r="M20" s="80" t="str">
        <f t="shared" si="4"/>
        <v>Geográficas</v>
      </c>
      <c r="N20" s="80" t="str">
        <f t="shared" si="4"/>
        <v>Políticas</v>
      </c>
      <c r="O20" s="80" t="str">
        <f t="shared" si="4"/>
        <v>Cidade do Sul</v>
      </c>
      <c r="P20" s="80" t="s">
        <v>1988</v>
      </c>
      <c r="Q20" s="80" t="str">
        <f t="shared" si="7"/>
        <v>Ciudad situada en la región sur de Brasil.</v>
      </c>
      <c r="R20" s="77" t="s">
        <v>1</v>
      </c>
      <c r="S20" s="77" t="str">
        <f t="shared" si="6"/>
        <v>Fronteiras</v>
      </c>
      <c r="T20" s="77" t="str">
        <f t="shared" si="6"/>
        <v>Geográficas</v>
      </c>
      <c r="U20" s="77" t="str">
        <f t="shared" si="6"/>
        <v>Políticas</v>
      </c>
      <c r="V20" s="77" t="s">
        <v>1964</v>
      </c>
      <c r="W20" s="78" t="str">
        <f t="shared" si="2"/>
        <v>Key-BRASIL-20</v>
      </c>
      <c r="X20" s="77" t="s">
        <v>1</v>
      </c>
      <c r="Y20" s="77" t="s">
        <v>1828</v>
      </c>
      <c r="Z20" s="81" t="s">
        <v>1</v>
      </c>
      <c r="AA20" s="77" t="str">
        <f t="shared" si="3"/>
        <v>City located in the southern region of Brazil.</v>
      </c>
    </row>
    <row r="21" spans="1:27" ht="6.6" customHeight="1" x14ac:dyDescent="0.25">
      <c r="A21" s="72">
        <v>21</v>
      </c>
      <c r="B21" s="73" t="s">
        <v>1968</v>
      </c>
      <c r="C21" s="32" t="s">
        <v>1386</v>
      </c>
      <c r="D21" s="32" t="s">
        <v>1385</v>
      </c>
      <c r="E21" s="32" t="s">
        <v>1388</v>
      </c>
      <c r="F21" s="32" t="s">
        <v>1989</v>
      </c>
      <c r="G21" s="79" t="s">
        <v>1</v>
      </c>
      <c r="H21" s="79" t="s">
        <v>1</v>
      </c>
      <c r="I21" s="79" t="s">
        <v>1</v>
      </c>
      <c r="J21" s="79" t="s">
        <v>1</v>
      </c>
      <c r="K21" s="79" t="str">
        <f>_xlfn.CONCAT("é.dentro.de some ",F9)</f>
        <v>é.dentro.de some Região.Imediata</v>
      </c>
      <c r="L21" s="80" t="str">
        <f t="shared" si="0"/>
        <v>Fronteiras</v>
      </c>
      <c r="M21" s="80" t="str">
        <f t="shared" si="4"/>
        <v>Geográficas</v>
      </c>
      <c r="N21" s="80" t="str">
        <f t="shared" si="4"/>
        <v>Políticas</v>
      </c>
      <c r="O21" s="80" t="str">
        <f t="shared" si="4"/>
        <v>Cidade do Sudeste</v>
      </c>
      <c r="P21" s="80" t="s">
        <v>1990</v>
      </c>
      <c r="Q21" s="80" t="str">
        <f t="shared" si="7"/>
        <v>Ciudad situada en la región sureste de Brasil.</v>
      </c>
      <c r="R21" s="77" t="s">
        <v>1</v>
      </c>
      <c r="S21" s="77" t="str">
        <f t="shared" si="6"/>
        <v>Fronteiras</v>
      </c>
      <c r="T21" s="77" t="str">
        <f t="shared" si="6"/>
        <v>Geográficas</v>
      </c>
      <c r="U21" s="77" t="str">
        <f t="shared" si="6"/>
        <v>Políticas</v>
      </c>
      <c r="V21" s="77" t="s">
        <v>1964</v>
      </c>
      <c r="W21" s="78" t="str">
        <f t="shared" si="2"/>
        <v>Key-BRASIL-21</v>
      </c>
      <c r="X21" s="77" t="s">
        <v>1</v>
      </c>
      <c r="Y21" s="77" t="s">
        <v>1828</v>
      </c>
      <c r="Z21" s="81" t="s">
        <v>1</v>
      </c>
      <c r="AA21" s="77" t="str">
        <f t="shared" si="3"/>
        <v>City located in the Southeast region of Brazil.</v>
      </c>
    </row>
    <row r="22" spans="1:27" ht="6.6" customHeight="1" x14ac:dyDescent="0.25">
      <c r="A22" s="72">
        <v>22</v>
      </c>
      <c r="B22" s="73" t="s">
        <v>1968</v>
      </c>
      <c r="C22" s="32" t="s">
        <v>1386</v>
      </c>
      <c r="D22" s="32" t="s">
        <v>1385</v>
      </c>
      <c r="E22" s="32" t="s">
        <v>1388</v>
      </c>
      <c r="F22" s="32" t="s">
        <v>1991</v>
      </c>
      <c r="G22" s="79" t="s">
        <v>1</v>
      </c>
      <c r="H22" s="79" t="s">
        <v>1</v>
      </c>
      <c r="I22" s="79" t="s">
        <v>1</v>
      </c>
      <c r="J22" s="79" t="s">
        <v>1</v>
      </c>
      <c r="K22" s="79" t="str">
        <f>_xlfn.CONCAT("é.dentro.de some ",F9)</f>
        <v>é.dentro.de some Região.Imediata</v>
      </c>
      <c r="L22" s="80" t="str">
        <f t="shared" si="0"/>
        <v>Fronteiras</v>
      </c>
      <c r="M22" s="80" t="str">
        <f t="shared" si="4"/>
        <v>Geográficas</v>
      </c>
      <c r="N22" s="80" t="str">
        <f t="shared" si="4"/>
        <v>Políticas</v>
      </c>
      <c r="O22" s="80" t="str">
        <f t="shared" si="4"/>
        <v>Cidade do Norte</v>
      </c>
      <c r="P22" s="80" t="s">
        <v>1992</v>
      </c>
      <c r="Q22" s="80" t="str">
        <f t="shared" si="7"/>
        <v>Ciudad situada en la región norte de Brasil.</v>
      </c>
      <c r="R22" s="77" t="s">
        <v>1</v>
      </c>
      <c r="S22" s="77" t="str">
        <f t="shared" si="6"/>
        <v>Fronteiras</v>
      </c>
      <c r="T22" s="77" t="str">
        <f t="shared" si="6"/>
        <v>Geográficas</v>
      </c>
      <c r="U22" s="77" t="str">
        <f t="shared" si="6"/>
        <v>Políticas</v>
      </c>
      <c r="V22" s="77" t="s">
        <v>1964</v>
      </c>
      <c r="W22" s="78" t="str">
        <f t="shared" si="2"/>
        <v>Key-BRASIL-22</v>
      </c>
      <c r="X22" s="77" t="s">
        <v>1</v>
      </c>
      <c r="Y22" s="77" t="s">
        <v>1828</v>
      </c>
      <c r="Z22" s="81" t="s">
        <v>1</v>
      </c>
      <c r="AA22" s="77" t="str">
        <f t="shared" si="3"/>
        <v>City located in the North region of Brazil.</v>
      </c>
    </row>
    <row r="23" spans="1:27" ht="6.6" customHeight="1" x14ac:dyDescent="0.25">
      <c r="A23" s="72">
        <v>23</v>
      </c>
      <c r="B23" s="73" t="s">
        <v>1968</v>
      </c>
      <c r="C23" s="32" t="s">
        <v>1386</v>
      </c>
      <c r="D23" s="32" t="s">
        <v>1385</v>
      </c>
      <c r="E23" s="32" t="s">
        <v>1388</v>
      </c>
      <c r="F23" s="32" t="s">
        <v>1993</v>
      </c>
      <c r="G23" s="79" t="s">
        <v>1</v>
      </c>
      <c r="H23" s="79" t="s">
        <v>1</v>
      </c>
      <c r="I23" s="79" t="s">
        <v>1</v>
      </c>
      <c r="J23" s="79" t="s">
        <v>1</v>
      </c>
      <c r="K23" s="79" t="str">
        <f>_xlfn.CONCAT("é.dentro.de some ",F9)</f>
        <v>é.dentro.de some Região.Imediata</v>
      </c>
      <c r="L23" s="80" t="str">
        <f t="shared" si="0"/>
        <v>Fronteiras</v>
      </c>
      <c r="M23" s="80" t="str">
        <f t="shared" si="4"/>
        <v>Geográficas</v>
      </c>
      <c r="N23" s="80" t="str">
        <f t="shared" si="4"/>
        <v>Políticas</v>
      </c>
      <c r="O23" s="80" t="str">
        <f t="shared" si="4"/>
        <v>Cidade do Nordeste</v>
      </c>
      <c r="P23" s="80" t="s">
        <v>1994</v>
      </c>
      <c r="Q23" s="80" t="str">
        <f t="shared" si="7"/>
        <v>Ciudad situada en la región noreste de Brasil.</v>
      </c>
      <c r="R23" s="77" t="s">
        <v>1</v>
      </c>
      <c r="S23" s="77" t="str">
        <f t="shared" si="6"/>
        <v>Fronteiras</v>
      </c>
      <c r="T23" s="77" t="str">
        <f t="shared" si="6"/>
        <v>Geográficas</v>
      </c>
      <c r="U23" s="77" t="str">
        <f t="shared" si="6"/>
        <v>Políticas</v>
      </c>
      <c r="V23" s="77" t="s">
        <v>1964</v>
      </c>
      <c r="W23" s="78" t="str">
        <f t="shared" si="2"/>
        <v>Key-BRASIL-23</v>
      </c>
      <c r="X23" s="77" t="s">
        <v>1</v>
      </c>
      <c r="Y23" s="77" t="s">
        <v>1828</v>
      </c>
      <c r="Z23" s="81" t="s">
        <v>1</v>
      </c>
      <c r="AA23" s="77" t="str">
        <f t="shared" si="3"/>
        <v>City located in the Northeast region of Brazil.</v>
      </c>
    </row>
    <row r="24" spans="1:27" ht="6.6" customHeight="1" x14ac:dyDescent="0.25">
      <c r="A24" s="72">
        <v>24</v>
      </c>
      <c r="B24" s="73" t="s">
        <v>1968</v>
      </c>
      <c r="C24" s="32" t="s">
        <v>1386</v>
      </c>
      <c r="D24" s="32" t="s">
        <v>1385</v>
      </c>
      <c r="E24" s="32" t="s">
        <v>1388</v>
      </c>
      <c r="F24" s="32" t="s">
        <v>1995</v>
      </c>
      <c r="G24" s="79" t="s">
        <v>1</v>
      </c>
      <c r="H24" s="79" t="s">
        <v>1</v>
      </c>
      <c r="I24" s="79" t="s">
        <v>1</v>
      </c>
      <c r="J24" s="79" t="s">
        <v>1</v>
      </c>
      <c r="K24" s="79" t="str">
        <f>_xlfn.CONCAT("é.dentro.de some ",F10)</f>
        <v>é.dentro.de some Estado</v>
      </c>
      <c r="L24" s="80" t="str">
        <f t="shared" si="0"/>
        <v>Fronteiras</v>
      </c>
      <c r="M24" s="80" t="str">
        <f t="shared" si="4"/>
        <v>Geográficas</v>
      </c>
      <c r="N24" s="80" t="str">
        <f t="shared" si="4"/>
        <v>Políticas</v>
      </c>
      <c r="O24" s="80" t="str">
        <f t="shared" si="4"/>
        <v>Cidade do CentroOeste</v>
      </c>
      <c r="P24" s="80" t="s">
        <v>1996</v>
      </c>
      <c r="Q24" s="80" t="str">
        <f t="shared" si="7"/>
        <v>Ciudad situada en la región del Medio Oeste de Brasil.</v>
      </c>
      <c r="R24" s="77" t="s">
        <v>1</v>
      </c>
      <c r="S24" s="77" t="str">
        <f t="shared" si="6"/>
        <v>Fronteiras</v>
      </c>
      <c r="T24" s="77" t="str">
        <f t="shared" si="6"/>
        <v>Geográficas</v>
      </c>
      <c r="U24" s="77" t="str">
        <f t="shared" si="6"/>
        <v>Políticas</v>
      </c>
      <c r="V24" s="77" t="s">
        <v>1964</v>
      </c>
      <c r="W24" s="78" t="str">
        <f t="shared" si="2"/>
        <v>Key-BRASIL-24</v>
      </c>
      <c r="X24" s="77" t="s">
        <v>1</v>
      </c>
      <c r="Y24" s="77" t="s">
        <v>1828</v>
      </c>
      <c r="Z24" s="81" t="s">
        <v>1</v>
      </c>
      <c r="AA24" s="77" t="str">
        <f t="shared" si="3"/>
        <v>City located in the Midwest region of Brazil.</v>
      </c>
    </row>
    <row r="25" spans="1:27" ht="6.6" customHeight="1" x14ac:dyDescent="0.25">
      <c r="A25" s="72">
        <v>25</v>
      </c>
      <c r="B25" s="73" t="s">
        <v>1968</v>
      </c>
      <c r="C25" s="32" t="s">
        <v>1386</v>
      </c>
      <c r="D25" s="32" t="s">
        <v>1385</v>
      </c>
      <c r="E25" s="32" t="s">
        <v>1388</v>
      </c>
      <c r="F25" s="32" t="s">
        <v>635</v>
      </c>
      <c r="G25" s="79" t="s">
        <v>1</v>
      </c>
      <c r="H25" s="79" t="s">
        <v>1</v>
      </c>
      <c r="I25" s="79" t="s">
        <v>1</v>
      </c>
      <c r="J25" s="79" t="s">
        <v>1</v>
      </c>
      <c r="K25" s="79" t="str">
        <f>_xlfn.CONCAT("é.dentro.de some ",F10)</f>
        <v>é.dentro.de some Estado</v>
      </c>
      <c r="L25" s="80" t="str">
        <f t="shared" si="0"/>
        <v>Fronteiras</v>
      </c>
      <c r="M25" s="80" t="str">
        <f t="shared" si="4"/>
        <v>Geográficas</v>
      </c>
      <c r="N25" s="80" t="str">
        <f t="shared" si="4"/>
        <v>Políticas</v>
      </c>
      <c r="O25" s="80" t="str">
        <f t="shared" si="4"/>
        <v>Metrópoli</v>
      </c>
      <c r="P25" s="80" t="s">
        <v>1536</v>
      </c>
      <c r="Q25" s="80" t="s">
        <v>635</v>
      </c>
      <c r="R25" s="77" t="s">
        <v>1</v>
      </c>
      <c r="S25" s="77" t="str">
        <f t="shared" si="6"/>
        <v>Fronteiras</v>
      </c>
      <c r="T25" s="77" t="str">
        <f t="shared" si="6"/>
        <v>Geográficas</v>
      </c>
      <c r="U25" s="77" t="str">
        <f t="shared" si="6"/>
        <v>Políticas</v>
      </c>
      <c r="V25" s="77" t="s">
        <v>1964</v>
      </c>
      <c r="W25" s="78" t="str">
        <f t="shared" si="2"/>
        <v>Key-BRASIL-25</v>
      </c>
      <c r="X25" s="77" t="s">
        <v>1</v>
      </c>
      <c r="Y25" s="77" t="s">
        <v>1828</v>
      </c>
      <c r="Z25" s="81" t="s">
        <v>1</v>
      </c>
      <c r="AA25" s="77" t="str">
        <f t="shared" si="3"/>
        <v>Metropolis.</v>
      </c>
    </row>
    <row r="26" spans="1:27" ht="6.6" customHeight="1" x14ac:dyDescent="0.25">
      <c r="A26" s="72">
        <v>26</v>
      </c>
      <c r="B26" s="73" t="s">
        <v>1968</v>
      </c>
      <c r="C26" s="32" t="s">
        <v>1386</v>
      </c>
      <c r="D26" s="32" t="s">
        <v>1385</v>
      </c>
      <c r="E26" s="32" t="s">
        <v>1388</v>
      </c>
      <c r="F26" s="32" t="s">
        <v>636</v>
      </c>
      <c r="G26" s="79" t="s">
        <v>1</v>
      </c>
      <c r="H26" s="79" t="s">
        <v>1</v>
      </c>
      <c r="I26" s="79" t="s">
        <v>1</v>
      </c>
      <c r="J26" s="79" t="s">
        <v>1</v>
      </c>
      <c r="K26" s="79" t="str">
        <f>_xlfn.CONCAT("é.dentro.de some ",F11)</f>
        <v>é.dentro.de some UF</v>
      </c>
      <c r="L26" s="80" t="str">
        <f t="shared" si="0"/>
        <v>Fronteiras</v>
      </c>
      <c r="M26" s="80" t="str">
        <f t="shared" si="4"/>
        <v>Geográficas</v>
      </c>
      <c r="N26" s="80" t="str">
        <f t="shared" si="4"/>
        <v>Políticas</v>
      </c>
      <c r="O26" s="80" t="str">
        <f t="shared" si="4"/>
        <v>Município</v>
      </c>
      <c r="P26" s="80" t="s">
        <v>1537</v>
      </c>
      <c r="Q26" s="80" t="s">
        <v>637</v>
      </c>
      <c r="R26" s="77" t="s">
        <v>1</v>
      </c>
      <c r="S26" s="77" t="str">
        <f t="shared" si="6"/>
        <v>Fronteiras</v>
      </c>
      <c r="T26" s="77" t="str">
        <f t="shared" si="6"/>
        <v>Geográficas</v>
      </c>
      <c r="U26" s="77" t="str">
        <f t="shared" si="6"/>
        <v>Políticas</v>
      </c>
      <c r="V26" s="77" t="s">
        <v>1964</v>
      </c>
      <c r="W26" s="78" t="str">
        <f t="shared" si="2"/>
        <v>Key-BRASIL-26</v>
      </c>
      <c r="X26" s="77" t="s">
        <v>1</v>
      </c>
      <c r="Y26" s="77" t="s">
        <v>1828</v>
      </c>
      <c r="Z26" s="81" t="s">
        <v>1</v>
      </c>
      <c r="AA26" s="77" t="str">
        <f t="shared" si="3"/>
        <v>Municipality.</v>
      </c>
    </row>
    <row r="27" spans="1:27" ht="6.6" customHeight="1" x14ac:dyDescent="0.25">
      <c r="A27" s="72">
        <v>27</v>
      </c>
      <c r="B27" s="73" t="s">
        <v>1968</v>
      </c>
      <c r="C27" s="32" t="s">
        <v>1386</v>
      </c>
      <c r="D27" s="32" t="s">
        <v>1389</v>
      </c>
      <c r="E27" s="32" t="s">
        <v>1390</v>
      </c>
      <c r="F27" s="32" t="s">
        <v>638</v>
      </c>
      <c r="G27" s="79" t="s">
        <v>1</v>
      </c>
      <c r="H27" s="79" t="s">
        <v>1</v>
      </c>
      <c r="I27" s="79" t="s">
        <v>1</v>
      </c>
      <c r="J27" s="79" t="s">
        <v>1</v>
      </c>
      <c r="K27" s="79" t="str">
        <f>_xlfn.CONCAT("é.dentro.de some ",E27)</f>
        <v>é.dentro.de some Bioclimáticas</v>
      </c>
      <c r="L27" s="80" t="str">
        <f t="shared" si="0"/>
        <v>Fronteiras</v>
      </c>
      <c r="M27" s="80" t="str">
        <f t="shared" si="4"/>
        <v>Térmicas</v>
      </c>
      <c r="N27" s="80" t="str">
        <f t="shared" si="4"/>
        <v>Bioclimáticas</v>
      </c>
      <c r="O27" s="80" t="str">
        <f t="shared" si="4"/>
        <v>Região Climática</v>
      </c>
      <c r="P27" s="80" t="s">
        <v>1538</v>
      </c>
      <c r="Q27" s="80" t="s">
        <v>639</v>
      </c>
      <c r="R27" s="77" t="s">
        <v>1</v>
      </c>
      <c r="S27" s="77" t="str">
        <f t="shared" si="6"/>
        <v>Fronteiras</v>
      </c>
      <c r="T27" s="77" t="str">
        <f t="shared" si="6"/>
        <v>Térmicas</v>
      </c>
      <c r="U27" s="77" t="str">
        <f t="shared" si="6"/>
        <v>Bioclimáticas</v>
      </c>
      <c r="V27" s="77" t="s">
        <v>1964</v>
      </c>
      <c r="W27" s="78" t="str">
        <f t="shared" si="2"/>
        <v>Key-BRASIL-27</v>
      </c>
      <c r="X27" s="77" t="s">
        <v>1829</v>
      </c>
      <c r="Y27" s="77" t="s">
        <v>1828</v>
      </c>
      <c r="Z27" s="81" t="s">
        <v>1</v>
      </c>
      <c r="AA27" s="77" t="str">
        <f t="shared" si="3"/>
        <v>Climatic region.</v>
      </c>
    </row>
    <row r="28" spans="1:27" ht="6.6" customHeight="1" x14ac:dyDescent="0.25">
      <c r="A28" s="72">
        <v>28</v>
      </c>
      <c r="B28" s="73" t="s">
        <v>1968</v>
      </c>
      <c r="C28" s="32" t="s">
        <v>1386</v>
      </c>
      <c r="D28" s="32" t="s">
        <v>1389</v>
      </c>
      <c r="E28" s="32" t="s">
        <v>1390</v>
      </c>
      <c r="F28" s="32" t="s">
        <v>640</v>
      </c>
      <c r="G28" s="79" t="s">
        <v>1</v>
      </c>
      <c r="H28" s="79" t="s">
        <v>1</v>
      </c>
      <c r="I28" s="79" t="s">
        <v>1</v>
      </c>
      <c r="J28" s="79" t="s">
        <v>1</v>
      </c>
      <c r="K28" s="79" t="str">
        <f>_xlfn.CONCAT("é.dentro.de some ",E28)</f>
        <v>é.dentro.de some Bioclimáticas</v>
      </c>
      <c r="L28" s="80" t="str">
        <f t="shared" si="0"/>
        <v>Fronteiras</v>
      </c>
      <c r="M28" s="80" t="str">
        <f t="shared" si="4"/>
        <v>Térmicas</v>
      </c>
      <c r="N28" s="80" t="str">
        <f t="shared" si="4"/>
        <v>Bioclimáticas</v>
      </c>
      <c r="O28" s="80" t="str">
        <f t="shared" si="4"/>
        <v>Zona Climática</v>
      </c>
      <c r="P28" s="80" t="s">
        <v>1539</v>
      </c>
      <c r="Q28" s="80" t="s">
        <v>641</v>
      </c>
      <c r="R28" s="77" t="s">
        <v>1</v>
      </c>
      <c r="S28" s="77" t="str">
        <f t="shared" si="6"/>
        <v>Fronteiras</v>
      </c>
      <c r="T28" s="77" t="str">
        <f t="shared" si="6"/>
        <v>Térmicas</v>
      </c>
      <c r="U28" s="77" t="str">
        <f t="shared" si="6"/>
        <v>Bioclimáticas</v>
      </c>
      <c r="V28" s="77" t="s">
        <v>1964</v>
      </c>
      <c r="W28" s="78" t="str">
        <f t="shared" si="2"/>
        <v>Key-BRASIL-28</v>
      </c>
      <c r="X28" s="77" t="s">
        <v>1829</v>
      </c>
      <c r="Y28" s="77" t="s">
        <v>1828</v>
      </c>
      <c r="Z28" s="81" t="s">
        <v>1</v>
      </c>
      <c r="AA28" s="77" t="str">
        <f t="shared" si="3"/>
        <v>Climate zone.</v>
      </c>
    </row>
    <row r="29" spans="1:27" ht="6.6" customHeight="1" x14ac:dyDescent="0.25">
      <c r="A29" s="72">
        <v>29</v>
      </c>
      <c r="B29" s="73" t="s">
        <v>1968</v>
      </c>
      <c r="C29" s="32" t="s">
        <v>1386</v>
      </c>
      <c r="D29" s="32" t="s">
        <v>1389</v>
      </c>
      <c r="E29" s="32" t="s">
        <v>1391</v>
      </c>
      <c r="F29" s="32" t="s">
        <v>642</v>
      </c>
      <c r="G29" s="79" t="s">
        <v>1</v>
      </c>
      <c r="H29" s="79" t="s">
        <v>1</v>
      </c>
      <c r="I29" s="79" t="s">
        <v>1</v>
      </c>
      <c r="J29" s="79" t="s">
        <v>1</v>
      </c>
      <c r="K29" s="79" t="str">
        <f>_xlfn.CONCAT("é.dentro.de some ",E29)</f>
        <v>é.dentro.de some Ilhas.de.Calor</v>
      </c>
      <c r="L29" s="80" t="str">
        <f t="shared" si="0"/>
        <v>Fronteiras</v>
      </c>
      <c r="M29" s="80" t="str">
        <f t="shared" si="4"/>
        <v>Térmicas</v>
      </c>
      <c r="N29" s="80" t="str">
        <f t="shared" si="4"/>
        <v>Ilhas de Calor</v>
      </c>
      <c r="O29" s="80" t="str">
        <f t="shared" si="4"/>
        <v>Zona Climática Local</v>
      </c>
      <c r="P29" s="80" t="s">
        <v>1541</v>
      </c>
      <c r="Q29" s="80" t="s">
        <v>643</v>
      </c>
      <c r="R29" s="77" t="s">
        <v>1</v>
      </c>
      <c r="S29" s="77" t="str">
        <f t="shared" si="6"/>
        <v>Fronteiras</v>
      </c>
      <c r="T29" s="77" t="str">
        <f t="shared" si="6"/>
        <v>Térmicas</v>
      </c>
      <c r="U29" s="77" t="str">
        <f t="shared" si="6"/>
        <v>Ilhas de Calor</v>
      </c>
      <c r="V29" s="77" t="s">
        <v>1964</v>
      </c>
      <c r="W29" s="78" t="str">
        <f t="shared" si="2"/>
        <v>Key-BRASIL-29</v>
      </c>
      <c r="X29" s="77" t="s">
        <v>1829</v>
      </c>
      <c r="Y29" s="77" t="s">
        <v>1828</v>
      </c>
      <c r="Z29" s="81" t="s">
        <v>1</v>
      </c>
      <c r="AA29" s="77" t="str">
        <f t="shared" si="3"/>
        <v>Local climate zone (FTZ) according to Stewart and Oke's methodology for qualifying heat islands in urban areas.</v>
      </c>
    </row>
    <row r="30" spans="1:27" ht="6.6" customHeight="1" x14ac:dyDescent="0.25">
      <c r="A30" s="72">
        <v>30</v>
      </c>
      <c r="B30" s="73" t="s">
        <v>1968</v>
      </c>
      <c r="C30" s="32" t="s">
        <v>1386</v>
      </c>
      <c r="D30" s="32" t="s">
        <v>1514</v>
      </c>
      <c r="E30" s="73" t="s">
        <v>1515</v>
      </c>
      <c r="F30" s="74" t="s">
        <v>1373</v>
      </c>
      <c r="G30" s="79" t="s">
        <v>1</v>
      </c>
      <c r="H30" s="79" t="s">
        <v>1</v>
      </c>
      <c r="I30" s="79" t="s">
        <v>1</v>
      </c>
      <c r="J30" s="79" t="s">
        <v>1</v>
      </c>
      <c r="K30" s="79" t="s">
        <v>1</v>
      </c>
      <c r="L30" s="76" t="str">
        <f t="shared" ref="L30:M40" si="8">CONCATENATE("", C30)</f>
        <v>Fronteiras</v>
      </c>
      <c r="M30" s="76" t="str">
        <f t="shared" si="8"/>
        <v>Demarcadas</v>
      </c>
      <c r="N30" s="76" t="str">
        <f t="shared" ref="N30:N40" si="9">(SUBSTITUTE(SUBSTITUTE(CONCATENATE("",E30),"."," ")," De "," de "))</f>
        <v>Marcos</v>
      </c>
      <c r="O30" s="77" t="str">
        <f t="shared" ref="O30:O40" si="10">F30</f>
        <v>Marco.Referencial</v>
      </c>
      <c r="P30" s="77" t="s">
        <v>1348</v>
      </c>
      <c r="Q30" s="77" t="s">
        <v>1349</v>
      </c>
      <c r="R30" s="77" t="s">
        <v>1</v>
      </c>
      <c r="S30" s="77" t="str">
        <f t="shared" ref="S30:T40" si="11">SUBSTITUTE(C30, "_", " ")</f>
        <v>Fronteiras</v>
      </c>
      <c r="T30" s="77" t="str">
        <f t="shared" si="11"/>
        <v>Demarcadas</v>
      </c>
      <c r="U30" s="77" t="str">
        <f t="shared" si="6"/>
        <v>Marcos</v>
      </c>
      <c r="V30" s="77" t="s">
        <v>1964</v>
      </c>
      <c r="W30" s="78" t="str">
        <f t="shared" si="2"/>
        <v>Key-BRASIL-30</v>
      </c>
      <c r="X30" s="77" t="s">
        <v>1</v>
      </c>
      <c r="Y30" s="81" t="s">
        <v>1871</v>
      </c>
      <c r="Z30" s="81" t="s">
        <v>1</v>
      </c>
      <c r="AA30" s="77" t="str">
        <f t="shared" si="3"/>
        <v>Ifcreferent defines a position at a specific offset along an alignment curve.</v>
      </c>
    </row>
    <row r="31" spans="1:27" ht="6.6" customHeight="1" x14ac:dyDescent="0.25">
      <c r="A31" s="72">
        <v>31</v>
      </c>
      <c r="B31" s="73" t="s">
        <v>1968</v>
      </c>
      <c r="C31" s="32" t="s">
        <v>1386</v>
      </c>
      <c r="D31" s="32" t="s">
        <v>1514</v>
      </c>
      <c r="E31" s="73" t="s">
        <v>1515</v>
      </c>
      <c r="F31" s="74" t="s">
        <v>1374</v>
      </c>
      <c r="G31" s="79" t="s">
        <v>1</v>
      </c>
      <c r="H31" s="79" t="s">
        <v>1</v>
      </c>
      <c r="I31" s="79" t="s">
        <v>1</v>
      </c>
      <c r="J31" s="79" t="s">
        <v>1</v>
      </c>
      <c r="K31" s="79" t="s">
        <v>1</v>
      </c>
      <c r="L31" s="76" t="str">
        <f t="shared" si="8"/>
        <v>Fronteiras</v>
      </c>
      <c r="M31" s="76" t="str">
        <f t="shared" si="8"/>
        <v>Demarcadas</v>
      </c>
      <c r="N31" s="76" t="str">
        <f t="shared" si="9"/>
        <v>Marcos</v>
      </c>
      <c r="O31" s="77" t="str">
        <f t="shared" si="10"/>
        <v>Marco.de.Fronteira</v>
      </c>
      <c r="P31" s="77" t="s">
        <v>1350</v>
      </c>
      <c r="Q31" s="77" t="s">
        <v>1351</v>
      </c>
      <c r="R31" s="77" t="s">
        <v>1</v>
      </c>
      <c r="S31" s="77" t="str">
        <f t="shared" si="11"/>
        <v>Fronteiras</v>
      </c>
      <c r="T31" s="77" t="str">
        <f t="shared" si="11"/>
        <v>Demarcadas</v>
      </c>
      <c r="U31" s="77" t="str">
        <f t="shared" si="6"/>
        <v>Marcos</v>
      </c>
      <c r="V31" s="77" t="s">
        <v>1964</v>
      </c>
      <c r="W31" s="78" t="str">
        <f t="shared" si="2"/>
        <v>Key-BRASIL-31</v>
      </c>
      <c r="X31" s="77" t="s">
        <v>1</v>
      </c>
      <c r="Y31" s="81" t="s">
        <v>1872</v>
      </c>
      <c r="Z31" s="81" t="s">
        <v>1</v>
      </c>
      <c r="AA31" s="77" t="str">
        <f t="shared" si="3"/>
        <v>Represents where an administrative (city or state) or maintenance boundary (different companies or regionals) intersects the linear element (rails or roads) being measured.</v>
      </c>
    </row>
    <row r="32" spans="1:27" ht="6.6" customHeight="1" x14ac:dyDescent="0.25">
      <c r="A32" s="72">
        <v>32</v>
      </c>
      <c r="B32" s="73" t="s">
        <v>1968</v>
      </c>
      <c r="C32" s="32" t="s">
        <v>1386</v>
      </c>
      <c r="D32" s="32" t="s">
        <v>1514</v>
      </c>
      <c r="E32" s="73" t="s">
        <v>1515</v>
      </c>
      <c r="F32" s="74" t="s">
        <v>1375</v>
      </c>
      <c r="G32" s="79" t="s">
        <v>1</v>
      </c>
      <c r="H32" s="79" t="s">
        <v>1</v>
      </c>
      <c r="I32" s="79" t="s">
        <v>1</v>
      </c>
      <c r="J32" s="79" t="s">
        <v>1</v>
      </c>
      <c r="K32" s="79" t="s">
        <v>1</v>
      </c>
      <c r="L32" s="76" t="str">
        <f t="shared" si="8"/>
        <v>Fronteiras</v>
      </c>
      <c r="M32" s="76" t="str">
        <f t="shared" si="8"/>
        <v>Demarcadas</v>
      </c>
      <c r="N32" s="76" t="str">
        <f t="shared" si="9"/>
        <v>Marcos</v>
      </c>
      <c r="O32" s="77" t="str">
        <f t="shared" si="10"/>
        <v>Marco.de.Cruzamento</v>
      </c>
      <c r="P32" s="77" t="s">
        <v>1352</v>
      </c>
      <c r="Q32" s="77" t="s">
        <v>1353</v>
      </c>
      <c r="R32" s="77" t="s">
        <v>1</v>
      </c>
      <c r="S32" s="77" t="str">
        <f t="shared" si="11"/>
        <v>Fronteiras</v>
      </c>
      <c r="T32" s="77" t="str">
        <f t="shared" si="11"/>
        <v>Demarcadas</v>
      </c>
      <c r="U32" s="77" t="str">
        <f t="shared" si="6"/>
        <v>Marcos</v>
      </c>
      <c r="V32" s="77" t="s">
        <v>1964</v>
      </c>
      <c r="W32" s="78" t="str">
        <f t="shared" si="2"/>
        <v>Key-BRASIL-32</v>
      </c>
      <c r="X32" s="77" t="s">
        <v>1</v>
      </c>
      <c r="Y32" s="81" t="s">
        <v>1873</v>
      </c>
      <c r="Z32" s="81" t="s">
        <v>1</v>
      </c>
      <c r="AA32" s="77" t="str">
        <f t="shared" si="3"/>
        <v>It is the location of an intersection specified by the name of the referent. the intersection location of the intersection's street reference lines. it is not precise or deterministic.</v>
      </c>
    </row>
    <row r="33" spans="1:27" ht="6.6" customHeight="1" x14ac:dyDescent="0.25">
      <c r="A33" s="72">
        <v>33</v>
      </c>
      <c r="B33" s="73" t="s">
        <v>1968</v>
      </c>
      <c r="C33" s="32" t="s">
        <v>1386</v>
      </c>
      <c r="D33" s="32" t="s">
        <v>1514</v>
      </c>
      <c r="E33" s="73" t="s">
        <v>1515</v>
      </c>
      <c r="F33" s="74" t="s">
        <v>1376</v>
      </c>
      <c r="G33" s="79" t="s">
        <v>1</v>
      </c>
      <c r="H33" s="79" t="s">
        <v>1</v>
      </c>
      <c r="I33" s="79" t="s">
        <v>1</v>
      </c>
      <c r="J33" s="79" t="s">
        <v>1</v>
      </c>
      <c r="K33" s="79" t="s">
        <v>1</v>
      </c>
      <c r="L33" s="76" t="str">
        <f t="shared" si="8"/>
        <v>Fronteiras</v>
      </c>
      <c r="M33" s="76" t="str">
        <f t="shared" si="8"/>
        <v>Demarcadas</v>
      </c>
      <c r="N33" s="76" t="str">
        <f t="shared" si="9"/>
        <v>Marcos</v>
      </c>
      <c r="O33" s="77" t="str">
        <f t="shared" si="10"/>
        <v>Marco.de.Localização</v>
      </c>
      <c r="P33" s="77" t="s">
        <v>1360</v>
      </c>
      <c r="Q33" s="77" t="s">
        <v>1361</v>
      </c>
      <c r="R33" s="77" t="s">
        <v>1</v>
      </c>
      <c r="S33" s="77" t="str">
        <f t="shared" si="11"/>
        <v>Fronteiras</v>
      </c>
      <c r="T33" s="77" t="str">
        <f t="shared" si="11"/>
        <v>Demarcadas</v>
      </c>
      <c r="U33" s="77" t="str">
        <f t="shared" si="6"/>
        <v>Marcos</v>
      </c>
      <c r="V33" s="77" t="s">
        <v>1964</v>
      </c>
      <c r="W33" s="78" t="str">
        <f t="shared" si="2"/>
        <v>Key-BRASIL-33</v>
      </c>
      <c r="X33" s="77" t="s">
        <v>1</v>
      </c>
      <c r="Y33" s="81" t="s">
        <v>1874</v>
      </c>
      <c r="Z33" s="81" t="s">
        <v>1</v>
      </c>
      <c r="AA33" s="77" t="str">
        <f t="shared" si="3"/>
        <v>Used to completely describe a linearly referenced location, given by the line element.</v>
      </c>
    </row>
    <row r="34" spans="1:27" ht="6.6" customHeight="1" x14ac:dyDescent="0.25">
      <c r="A34" s="72">
        <v>34</v>
      </c>
      <c r="B34" s="73" t="s">
        <v>1968</v>
      </c>
      <c r="C34" s="32" t="s">
        <v>1386</v>
      </c>
      <c r="D34" s="32" t="s">
        <v>1514</v>
      </c>
      <c r="E34" s="73" t="s">
        <v>1515</v>
      </c>
      <c r="F34" s="74" t="s">
        <v>1370</v>
      </c>
      <c r="G34" s="79" t="s">
        <v>1</v>
      </c>
      <c r="H34" s="79" t="s">
        <v>1</v>
      </c>
      <c r="I34" s="79" t="s">
        <v>1</v>
      </c>
      <c r="J34" s="79" t="s">
        <v>1</v>
      </c>
      <c r="K34" s="79" t="s">
        <v>1</v>
      </c>
      <c r="L34" s="76" t="str">
        <f t="shared" si="8"/>
        <v>Fronteiras</v>
      </c>
      <c r="M34" s="76" t="str">
        <f t="shared" si="8"/>
        <v>Demarcadas</v>
      </c>
      <c r="N34" s="76" t="str">
        <f t="shared" si="9"/>
        <v>Marcos</v>
      </c>
      <c r="O34" s="77" t="str">
        <f t="shared" si="10"/>
        <v>Marco.Quilométrico</v>
      </c>
      <c r="P34" s="77" t="s">
        <v>1354</v>
      </c>
      <c r="Q34" s="77" t="s">
        <v>1355</v>
      </c>
      <c r="R34" s="77" t="s">
        <v>1</v>
      </c>
      <c r="S34" s="77" t="str">
        <f t="shared" si="11"/>
        <v>Fronteiras</v>
      </c>
      <c r="T34" s="77" t="str">
        <f t="shared" si="11"/>
        <v>Demarcadas</v>
      </c>
      <c r="U34" s="77" t="str">
        <f t="shared" si="6"/>
        <v>Marcos</v>
      </c>
      <c r="V34" s="77" t="s">
        <v>1964</v>
      </c>
      <c r="W34" s="78" t="str">
        <f t="shared" si="2"/>
        <v>Key-BRASIL-34</v>
      </c>
      <c r="X34" s="77" t="s">
        <v>1</v>
      </c>
      <c r="Y34" s="81" t="s">
        <v>1875</v>
      </c>
      <c r="Z34" s="81" t="s">
        <v>1</v>
      </c>
      <c r="AA34" s="77" t="str">
        <f t="shared" si="3"/>
        <v>Point in kilometer.</v>
      </c>
    </row>
    <row r="35" spans="1:27" ht="6.6" customHeight="1" x14ac:dyDescent="0.25">
      <c r="A35" s="72">
        <v>35</v>
      </c>
      <c r="B35" s="73" t="s">
        <v>1968</v>
      </c>
      <c r="C35" s="32" t="s">
        <v>1386</v>
      </c>
      <c r="D35" s="32" t="s">
        <v>1514</v>
      </c>
      <c r="E35" s="73" t="s">
        <v>1515</v>
      </c>
      <c r="F35" s="74" t="s">
        <v>1371</v>
      </c>
      <c r="G35" s="79" t="s">
        <v>1</v>
      </c>
      <c r="H35" s="79" t="s">
        <v>1</v>
      </c>
      <c r="I35" s="79" t="s">
        <v>1</v>
      </c>
      <c r="J35" s="79" t="s">
        <v>1</v>
      </c>
      <c r="K35" s="79" t="s">
        <v>1</v>
      </c>
      <c r="L35" s="76" t="str">
        <f t="shared" si="8"/>
        <v>Fronteiras</v>
      </c>
      <c r="M35" s="76" t="str">
        <f t="shared" si="8"/>
        <v>Demarcadas</v>
      </c>
      <c r="N35" s="76" t="str">
        <f t="shared" si="9"/>
        <v>Marcos</v>
      </c>
      <c r="O35" s="77" t="str">
        <f t="shared" si="10"/>
        <v>Marco.Geográfico</v>
      </c>
      <c r="P35" s="77" t="s">
        <v>1356</v>
      </c>
      <c r="Q35" s="77" t="s">
        <v>1357</v>
      </c>
      <c r="R35" s="77" t="s">
        <v>1</v>
      </c>
      <c r="S35" s="77" t="str">
        <f t="shared" si="11"/>
        <v>Fronteiras</v>
      </c>
      <c r="T35" s="77" t="str">
        <f t="shared" si="11"/>
        <v>Demarcadas</v>
      </c>
      <c r="U35" s="77" t="str">
        <f t="shared" si="6"/>
        <v>Marcos</v>
      </c>
      <c r="V35" s="77" t="s">
        <v>1964</v>
      </c>
      <c r="W35" s="78" t="str">
        <f t="shared" si="2"/>
        <v>Key-BRASIL-35</v>
      </c>
      <c r="X35" s="77" t="s">
        <v>1</v>
      </c>
      <c r="Y35" s="81" t="s">
        <v>1876</v>
      </c>
      <c r="Z35" s="81" t="s">
        <v>1</v>
      </c>
      <c r="AA35" s="77" t="str">
        <f t="shared" si="3"/>
        <v>The reference is the location of a visible physical reference point in the field.</v>
      </c>
    </row>
    <row r="36" spans="1:27" ht="6.6" customHeight="1" x14ac:dyDescent="0.25">
      <c r="A36" s="72">
        <v>36</v>
      </c>
      <c r="B36" s="73" t="s">
        <v>1968</v>
      </c>
      <c r="C36" s="32" t="s">
        <v>1386</v>
      </c>
      <c r="D36" s="32" t="s">
        <v>1514</v>
      </c>
      <c r="E36" s="73" t="s">
        <v>1515</v>
      </c>
      <c r="F36" s="74" t="s">
        <v>1392</v>
      </c>
      <c r="G36" s="79" t="s">
        <v>1</v>
      </c>
      <c r="H36" s="79" t="s">
        <v>1</v>
      </c>
      <c r="I36" s="79" t="s">
        <v>1</v>
      </c>
      <c r="J36" s="79" t="s">
        <v>1</v>
      </c>
      <c r="K36" s="79" t="s">
        <v>1</v>
      </c>
      <c r="L36" s="76" t="str">
        <f t="shared" si="8"/>
        <v>Fronteiras</v>
      </c>
      <c r="M36" s="76" t="str">
        <f t="shared" si="8"/>
        <v>Demarcadas</v>
      </c>
      <c r="N36" s="76" t="str">
        <f t="shared" si="9"/>
        <v>Marcos</v>
      </c>
      <c r="O36" s="77" t="str">
        <f t="shared" si="10"/>
        <v>Marco.de.Milha</v>
      </c>
      <c r="P36" s="77" t="s">
        <v>1358</v>
      </c>
      <c r="Q36" s="77" t="s">
        <v>1359</v>
      </c>
      <c r="R36" s="77" t="s">
        <v>1</v>
      </c>
      <c r="S36" s="77" t="str">
        <f t="shared" si="11"/>
        <v>Fronteiras</v>
      </c>
      <c r="T36" s="77" t="str">
        <f t="shared" si="11"/>
        <v>Demarcadas</v>
      </c>
      <c r="U36" s="77" t="str">
        <f t="shared" si="6"/>
        <v>Marcos</v>
      </c>
      <c r="V36" s="77" t="s">
        <v>1964</v>
      </c>
      <c r="W36" s="78" t="str">
        <f t="shared" si="2"/>
        <v>Key-BRASIL-36</v>
      </c>
      <c r="X36" s="77" t="s">
        <v>1</v>
      </c>
      <c r="Y36" s="81" t="s">
        <v>1877</v>
      </c>
      <c r="Z36" s="81" t="s">
        <v>1</v>
      </c>
      <c r="AA36" s="77" t="str">
        <f t="shared" si="3"/>
        <v>Point in mile.</v>
      </c>
    </row>
    <row r="37" spans="1:27" ht="6.6" customHeight="1" x14ac:dyDescent="0.25">
      <c r="A37" s="72">
        <v>37</v>
      </c>
      <c r="B37" s="73" t="s">
        <v>1968</v>
      </c>
      <c r="C37" s="32" t="s">
        <v>1386</v>
      </c>
      <c r="D37" s="32" t="s">
        <v>1514</v>
      </c>
      <c r="E37" s="73" t="s">
        <v>1515</v>
      </c>
      <c r="F37" s="74" t="s">
        <v>1393</v>
      </c>
      <c r="G37" s="79" t="s">
        <v>1</v>
      </c>
      <c r="H37" s="79" t="s">
        <v>1</v>
      </c>
      <c r="I37" s="79" t="s">
        <v>1</v>
      </c>
      <c r="J37" s="79" t="s">
        <v>1</v>
      </c>
      <c r="K37" s="79" t="s">
        <v>1</v>
      </c>
      <c r="L37" s="76" t="str">
        <f t="shared" si="8"/>
        <v>Fronteiras</v>
      </c>
      <c r="M37" s="76" t="str">
        <f t="shared" si="8"/>
        <v>Demarcadas</v>
      </c>
      <c r="N37" s="76" t="str">
        <f t="shared" si="9"/>
        <v>Marcos</v>
      </c>
      <c r="O37" s="77" t="str">
        <f t="shared" si="10"/>
        <v>Estaca.de.Controle</v>
      </c>
      <c r="P37" s="77" t="s">
        <v>1362</v>
      </c>
      <c r="Q37" s="77" t="s">
        <v>1363</v>
      </c>
      <c r="R37" s="77" t="s">
        <v>1</v>
      </c>
      <c r="S37" s="77" t="str">
        <f t="shared" si="11"/>
        <v>Fronteiras</v>
      </c>
      <c r="T37" s="77" t="str">
        <f t="shared" si="11"/>
        <v>Demarcadas</v>
      </c>
      <c r="U37" s="77" t="str">
        <f t="shared" si="6"/>
        <v>Marcos</v>
      </c>
      <c r="V37" s="77" t="s">
        <v>1964</v>
      </c>
      <c r="W37" s="78" t="str">
        <f t="shared" si="2"/>
        <v>Key-BRASIL-37</v>
      </c>
      <c r="X37" s="77" t="s">
        <v>1</v>
      </c>
      <c r="Y37" s="81" t="s">
        <v>1878</v>
      </c>
      <c r="Z37" s="81" t="s">
        <v>1</v>
      </c>
      <c r="AA37" s="77" t="str">
        <f t="shared" si="3"/>
        <v>A reference marker is a notation referent, located in the right-of-way of a highway, railroad or other transportation system spaced at uniform distances.</v>
      </c>
    </row>
    <row r="38" spans="1:27" ht="6.6" customHeight="1" x14ac:dyDescent="0.25">
      <c r="A38" s="72">
        <v>38</v>
      </c>
      <c r="B38" s="73" t="s">
        <v>1968</v>
      </c>
      <c r="C38" s="32" t="s">
        <v>1386</v>
      </c>
      <c r="D38" s="32" t="s">
        <v>1514</v>
      </c>
      <c r="E38" s="73" t="s">
        <v>1515</v>
      </c>
      <c r="F38" s="74" t="s">
        <v>1394</v>
      </c>
      <c r="G38" s="79" t="s">
        <v>1</v>
      </c>
      <c r="H38" s="79" t="s">
        <v>1</v>
      </c>
      <c r="I38" s="79" t="s">
        <v>1</v>
      </c>
      <c r="J38" s="79" t="s">
        <v>1</v>
      </c>
      <c r="K38" s="79" t="s">
        <v>1</v>
      </c>
      <c r="L38" s="76" t="str">
        <f t="shared" si="8"/>
        <v>Fronteiras</v>
      </c>
      <c r="M38" s="76" t="str">
        <f t="shared" si="8"/>
        <v>Demarcadas</v>
      </c>
      <c r="N38" s="76" t="str">
        <f t="shared" si="9"/>
        <v>Marcos</v>
      </c>
      <c r="O38" s="77" t="str">
        <f t="shared" si="10"/>
        <v>Estação.de.Medição</v>
      </c>
      <c r="P38" s="77" t="s">
        <v>1364</v>
      </c>
      <c r="Q38" s="77" t="s">
        <v>1365</v>
      </c>
      <c r="R38" s="77" t="s">
        <v>1</v>
      </c>
      <c r="S38" s="77" t="str">
        <f t="shared" si="11"/>
        <v>Fronteiras</v>
      </c>
      <c r="T38" s="77" t="str">
        <f t="shared" si="11"/>
        <v>Demarcadas</v>
      </c>
      <c r="U38" s="77" t="str">
        <f t="shared" si="6"/>
        <v>Marcos</v>
      </c>
      <c r="V38" s="77" t="s">
        <v>1964</v>
      </c>
      <c r="W38" s="78" t="str">
        <f t="shared" si="2"/>
        <v>Key-BRASIL-38</v>
      </c>
      <c r="X38" s="77" t="s">
        <v>1</v>
      </c>
      <c r="Y38" s="81" t="s">
        <v>1879</v>
      </c>
      <c r="Z38" s="81" t="s">
        <v>1</v>
      </c>
      <c r="AA38" s="77" t="str">
        <f t="shared" si="3"/>
        <v>Season.</v>
      </c>
    </row>
    <row r="39" spans="1:27" ht="6.6" customHeight="1" x14ac:dyDescent="0.25">
      <c r="A39" s="72">
        <v>39</v>
      </c>
      <c r="B39" s="73" t="s">
        <v>1968</v>
      </c>
      <c r="C39" s="32" t="s">
        <v>1386</v>
      </c>
      <c r="D39" s="32" t="s">
        <v>1514</v>
      </c>
      <c r="E39" s="73" t="s">
        <v>1515</v>
      </c>
      <c r="F39" s="74" t="s">
        <v>1372</v>
      </c>
      <c r="G39" s="79" t="s">
        <v>1</v>
      </c>
      <c r="H39" s="79" t="s">
        <v>1</v>
      </c>
      <c r="I39" s="79" t="s">
        <v>1</v>
      </c>
      <c r="J39" s="79" t="s">
        <v>1</v>
      </c>
      <c r="K39" s="79" t="s">
        <v>1</v>
      </c>
      <c r="L39" s="76" t="str">
        <f t="shared" si="8"/>
        <v>Fronteiras</v>
      </c>
      <c r="M39" s="76" t="str">
        <f t="shared" si="8"/>
        <v>Demarcadas</v>
      </c>
      <c r="N39" s="76" t="str">
        <f t="shared" si="9"/>
        <v>Marcos</v>
      </c>
      <c r="O39" s="77" t="str">
        <f t="shared" si="10"/>
        <v xml:space="preserve">Superelevação </v>
      </c>
      <c r="P39" s="77" t="s">
        <v>1366</v>
      </c>
      <c r="Q39" s="77" t="s">
        <v>1367</v>
      </c>
      <c r="R39" s="77" t="s">
        <v>1</v>
      </c>
      <c r="S39" s="77" t="str">
        <f t="shared" si="11"/>
        <v>Fronteiras</v>
      </c>
      <c r="T39" s="77" t="str">
        <f t="shared" si="11"/>
        <v>Demarcadas</v>
      </c>
      <c r="U39" s="77" t="str">
        <f t="shared" si="6"/>
        <v>Marcos</v>
      </c>
      <c r="V39" s="77" t="s">
        <v>1964</v>
      </c>
      <c r="W39" s="78" t="str">
        <f t="shared" si="2"/>
        <v>Key-BRASIL-39</v>
      </c>
      <c r="X39" s="77" t="s">
        <v>1</v>
      </c>
      <c r="Y39" s="81" t="s">
        <v>1880</v>
      </c>
      <c r="Z39" s="81" t="s">
        <v>1</v>
      </c>
      <c r="AA39" s="77" t="str">
        <f t="shared" si="3"/>
        <v>Specifies the superelevation (transverse slope) at a specific location along a road alignment, and the type of transition from the previous location.</v>
      </c>
    </row>
    <row r="40" spans="1:27" ht="6.6" customHeight="1" x14ac:dyDescent="0.25">
      <c r="A40" s="72">
        <v>40</v>
      </c>
      <c r="B40" s="73" t="s">
        <v>1968</v>
      </c>
      <c r="C40" s="32" t="s">
        <v>1386</v>
      </c>
      <c r="D40" s="32" t="s">
        <v>1514</v>
      </c>
      <c r="E40" s="73" t="s">
        <v>1515</v>
      </c>
      <c r="F40" s="74" t="s">
        <v>1377</v>
      </c>
      <c r="G40" s="79" t="s">
        <v>1</v>
      </c>
      <c r="H40" s="79" t="s">
        <v>1</v>
      </c>
      <c r="I40" s="79" t="s">
        <v>1</v>
      </c>
      <c r="J40" s="79" t="s">
        <v>1</v>
      </c>
      <c r="K40" s="79" t="s">
        <v>1</v>
      </c>
      <c r="L40" s="76" t="str">
        <f t="shared" si="8"/>
        <v>Fronteiras</v>
      </c>
      <c r="M40" s="76" t="str">
        <f t="shared" si="8"/>
        <v>Demarcadas</v>
      </c>
      <c r="N40" s="76" t="str">
        <f t="shared" si="9"/>
        <v>Marcos</v>
      </c>
      <c r="O40" s="77" t="str">
        <f t="shared" si="10"/>
        <v>Largura.de.Pista</v>
      </c>
      <c r="P40" s="77" t="s">
        <v>1368</v>
      </c>
      <c r="Q40" s="77" t="s">
        <v>1369</v>
      </c>
      <c r="R40" s="77" t="s">
        <v>1</v>
      </c>
      <c r="S40" s="77" t="str">
        <f t="shared" si="11"/>
        <v>Fronteiras</v>
      </c>
      <c r="T40" s="77" t="str">
        <f t="shared" si="11"/>
        <v>Demarcadas</v>
      </c>
      <c r="U40" s="77" t="str">
        <f t="shared" si="6"/>
        <v>Marcos</v>
      </c>
      <c r="V40" s="77" t="s">
        <v>1964</v>
      </c>
      <c r="W40" s="78" t="str">
        <f t="shared" si="2"/>
        <v>Key-BRASIL-40</v>
      </c>
      <c r="X40" s="77" t="s">
        <v>1</v>
      </c>
      <c r="Y40" s="81" t="s">
        <v>1881</v>
      </c>
      <c r="Z40" s="81" t="s">
        <v>1</v>
      </c>
      <c r="AA40" s="77" t="str">
        <f t="shared" si="3"/>
        <v>Event type that specifies the width at a specific location along a road alignment.</v>
      </c>
    </row>
    <row r="41" spans="1:27" ht="6.6" customHeight="1" x14ac:dyDescent="0.25">
      <c r="A41" s="72">
        <v>41</v>
      </c>
      <c r="B41" s="73" t="s">
        <v>1968</v>
      </c>
      <c r="C41" s="32" t="s">
        <v>1971</v>
      </c>
      <c r="D41" s="32" t="s">
        <v>1424</v>
      </c>
      <c r="E41" s="32" t="s">
        <v>1527</v>
      </c>
      <c r="F41" s="32" t="s">
        <v>1427</v>
      </c>
      <c r="G41" s="79" t="s">
        <v>1</v>
      </c>
      <c r="H41" s="79" t="s">
        <v>1</v>
      </c>
      <c r="I41" s="79" t="s">
        <v>1</v>
      </c>
      <c r="J41" s="79" t="s">
        <v>1</v>
      </c>
      <c r="K41" s="79" t="s">
        <v>1</v>
      </c>
      <c r="L41" s="80" t="str">
        <f t="shared" ref="L41:L43" si="12">_xlfn.CONCAT(SUBSTITUTE(C41,"1.",""))</f>
        <v>Topográficos</v>
      </c>
      <c r="M41" s="80" t="str">
        <f t="shared" ref="M41:O54" si="13">_xlfn.CONCAT(SUBSTITUTE(D41,"."," "))</f>
        <v>Altimetrias</v>
      </c>
      <c r="N41" s="80" t="str">
        <f t="shared" si="13"/>
        <v>Pontos Cotados</v>
      </c>
      <c r="O41" s="80" t="str">
        <f t="shared" si="13"/>
        <v>Ponto Interno</v>
      </c>
      <c r="P41" s="80" t="s">
        <v>1528</v>
      </c>
      <c r="Q41" s="80" t="s">
        <v>1692</v>
      </c>
      <c r="R41" s="77" t="s">
        <v>1</v>
      </c>
      <c r="S41" s="77" t="str">
        <f t="shared" ref="S41:T43" si="14">SUBSTITUTE(C41, ".", " ")</f>
        <v>Topográficos</v>
      </c>
      <c r="T41" s="77" t="str">
        <f t="shared" si="14"/>
        <v>Altimetrias</v>
      </c>
      <c r="U41" s="77" t="str">
        <f t="shared" si="6"/>
        <v>Pontos Cotados</v>
      </c>
      <c r="V41" s="77" t="s">
        <v>1964</v>
      </c>
      <c r="W41" s="78" t="str">
        <f t="shared" si="2"/>
        <v>Key-BRASIL-41</v>
      </c>
      <c r="X41" s="77" t="s">
        <v>1830</v>
      </c>
      <c r="Y41" s="77" t="s">
        <v>1881</v>
      </c>
      <c r="Z41" s="81" t="s">
        <v>1</v>
      </c>
      <c r="AA41" s="77" t="str">
        <f t="shared" si="3"/>
        <v>Elevation points positioned inside the land.</v>
      </c>
    </row>
    <row r="42" spans="1:27" ht="6.6" customHeight="1" x14ac:dyDescent="0.25">
      <c r="A42" s="72">
        <v>42</v>
      </c>
      <c r="B42" s="73" t="s">
        <v>1968</v>
      </c>
      <c r="C42" s="32" t="s">
        <v>1971</v>
      </c>
      <c r="D42" s="32" t="s">
        <v>1424</v>
      </c>
      <c r="E42" s="32" t="s">
        <v>1527</v>
      </c>
      <c r="F42" s="32" t="s">
        <v>1526</v>
      </c>
      <c r="G42" s="79" t="s">
        <v>1</v>
      </c>
      <c r="H42" s="79" t="s">
        <v>1</v>
      </c>
      <c r="I42" s="79" t="s">
        <v>1</v>
      </c>
      <c r="J42" s="79" t="s">
        <v>1</v>
      </c>
      <c r="K42" s="79" t="s">
        <v>1</v>
      </c>
      <c r="L42" s="80" t="str">
        <f t="shared" si="12"/>
        <v>Topográficos</v>
      </c>
      <c r="M42" s="80" t="str">
        <f t="shared" si="13"/>
        <v>Altimetrias</v>
      </c>
      <c r="N42" s="80" t="str">
        <f t="shared" si="13"/>
        <v>Pontos Cotados</v>
      </c>
      <c r="O42" s="80" t="str">
        <f t="shared" si="13"/>
        <v>Ponto Perimetral</v>
      </c>
      <c r="P42" s="80" t="s">
        <v>1529</v>
      </c>
      <c r="Q42" s="80" t="s">
        <v>1693</v>
      </c>
      <c r="R42" s="77" t="s">
        <v>1</v>
      </c>
      <c r="S42" s="77" t="str">
        <f t="shared" si="14"/>
        <v>Topográficos</v>
      </c>
      <c r="T42" s="77" t="str">
        <f t="shared" si="14"/>
        <v>Altimetrias</v>
      </c>
      <c r="U42" s="77" t="str">
        <f t="shared" si="6"/>
        <v>Pontos Cotados</v>
      </c>
      <c r="V42" s="77" t="s">
        <v>1964</v>
      </c>
      <c r="W42" s="78" t="str">
        <f t="shared" si="2"/>
        <v>Key-BRASIL-42</v>
      </c>
      <c r="X42" s="77" t="s">
        <v>1831</v>
      </c>
      <c r="Y42" s="77" t="s">
        <v>1882</v>
      </c>
      <c r="Z42" s="81" t="s">
        <v>1</v>
      </c>
      <c r="AA42" s="77" t="str">
        <f t="shared" si="3"/>
        <v>Altimetric elevation points positioned on the perimeter of the land.</v>
      </c>
    </row>
    <row r="43" spans="1:27" ht="6.6" customHeight="1" x14ac:dyDescent="0.25">
      <c r="A43" s="72">
        <v>43</v>
      </c>
      <c r="B43" s="73" t="s">
        <v>1968</v>
      </c>
      <c r="C43" s="32" t="s">
        <v>1971</v>
      </c>
      <c r="D43" s="32" t="s">
        <v>1424</v>
      </c>
      <c r="E43" s="32" t="s">
        <v>1423</v>
      </c>
      <c r="F43" s="32" t="s">
        <v>1524</v>
      </c>
      <c r="G43" s="79" t="s">
        <v>1</v>
      </c>
      <c r="H43" s="79" t="s">
        <v>1</v>
      </c>
      <c r="I43" s="79" t="s">
        <v>1</v>
      </c>
      <c r="J43" s="79" t="s">
        <v>1</v>
      </c>
      <c r="K43" s="79" t="s">
        <v>1</v>
      </c>
      <c r="L43" s="80" t="str">
        <f t="shared" si="12"/>
        <v>Topográficos</v>
      </c>
      <c r="M43" s="80" t="str">
        <f t="shared" si="13"/>
        <v>Altimetrias</v>
      </c>
      <c r="N43" s="80" t="str">
        <f t="shared" si="13"/>
        <v>Terrenos</v>
      </c>
      <c r="O43" s="80" t="str">
        <f t="shared" si="13"/>
        <v>Terreno 3D Sólido</v>
      </c>
      <c r="P43" s="80" t="s">
        <v>1522</v>
      </c>
      <c r="Q43" s="80" t="s">
        <v>1694</v>
      </c>
      <c r="R43" s="77" t="s">
        <v>1</v>
      </c>
      <c r="S43" s="77" t="str">
        <f t="shared" si="14"/>
        <v>Topográficos</v>
      </c>
      <c r="T43" s="77" t="str">
        <f t="shared" si="14"/>
        <v>Altimetrias</v>
      </c>
      <c r="U43" s="77" t="str">
        <f t="shared" si="6"/>
        <v>Terrenos</v>
      </c>
      <c r="V43" s="77" t="s">
        <v>1964</v>
      </c>
      <c r="W43" s="78" t="str">
        <f t="shared" si="2"/>
        <v>Key-BRASIL-43</v>
      </c>
      <c r="X43" s="77" t="s">
        <v>1832</v>
      </c>
      <c r="Y43" s="77" t="s">
        <v>1882</v>
      </c>
      <c r="Z43" s="81" t="s">
        <v>1</v>
      </c>
      <c r="AA43" s="77" t="str">
        <f t="shared" si="3"/>
        <v>Three-dimensional solid terrain. Revit models above 2024 use solid terrain models, while still maintaining the terrain mesh scheme.</v>
      </c>
    </row>
    <row r="44" spans="1:27" ht="6.6" customHeight="1" x14ac:dyDescent="0.25">
      <c r="A44" s="72">
        <v>44</v>
      </c>
      <c r="B44" s="73" t="s">
        <v>1968</v>
      </c>
      <c r="C44" s="32" t="s">
        <v>1971</v>
      </c>
      <c r="D44" s="32" t="s">
        <v>1424</v>
      </c>
      <c r="E44" s="32" t="s">
        <v>1423</v>
      </c>
      <c r="F44" s="32" t="s">
        <v>1525</v>
      </c>
      <c r="G44" s="79" t="s">
        <v>1</v>
      </c>
      <c r="H44" s="79" t="s">
        <v>1</v>
      </c>
      <c r="I44" s="79" t="s">
        <v>1</v>
      </c>
      <c r="J44" s="79" t="s">
        <v>1</v>
      </c>
      <c r="K44" s="79" t="s">
        <v>1</v>
      </c>
      <c r="L44" s="80" t="str">
        <f t="shared" si="0"/>
        <v>Topográficos</v>
      </c>
      <c r="M44" s="80" t="str">
        <f t="shared" si="4"/>
        <v>Altimetrias</v>
      </c>
      <c r="N44" s="80" t="str">
        <f t="shared" si="4"/>
        <v>Terrenos</v>
      </c>
      <c r="O44" s="80" t="str">
        <f t="shared" si="13"/>
        <v>Terreno 3D Superficial</v>
      </c>
      <c r="P44" s="80" t="s">
        <v>1523</v>
      </c>
      <c r="Q44" s="80" t="s">
        <v>1695</v>
      </c>
      <c r="R44" s="77" t="s">
        <v>1</v>
      </c>
      <c r="S44" s="77" t="str">
        <f t="shared" si="6"/>
        <v>Topográficos</v>
      </c>
      <c r="T44" s="77" t="str">
        <f t="shared" si="6"/>
        <v>Altimetrias</v>
      </c>
      <c r="U44" s="77" t="str">
        <f t="shared" si="6"/>
        <v>Terrenos</v>
      </c>
      <c r="V44" s="77" t="s">
        <v>1964</v>
      </c>
      <c r="W44" s="78" t="str">
        <f t="shared" si="2"/>
        <v>Key-BRASIL-44</v>
      </c>
      <c r="X44" s="77" t="s">
        <v>1833</v>
      </c>
      <c r="Y44" s="77" t="s">
        <v>1882</v>
      </c>
      <c r="Z44" s="81" t="s">
        <v>1</v>
      </c>
      <c r="AA44" s="77" t="str">
        <f t="shared" si="3"/>
        <v>Three-dimensional maha of the terrain. Revit models prior to 2024 use surface terrain models.</v>
      </c>
    </row>
    <row r="45" spans="1:27" ht="6.6" customHeight="1" x14ac:dyDescent="0.25">
      <c r="A45" s="72">
        <v>45</v>
      </c>
      <c r="B45" s="73" t="s">
        <v>1968</v>
      </c>
      <c r="C45" s="32" t="s">
        <v>1971</v>
      </c>
      <c r="D45" s="32" t="s">
        <v>1424</v>
      </c>
      <c r="E45" s="32" t="s">
        <v>1423</v>
      </c>
      <c r="F45" s="32" t="s">
        <v>1517</v>
      </c>
      <c r="G45" s="79" t="s">
        <v>1</v>
      </c>
      <c r="H45" s="79" t="s">
        <v>1</v>
      </c>
      <c r="I45" s="79" t="s">
        <v>1</v>
      </c>
      <c r="J45" s="79" t="s">
        <v>1</v>
      </c>
      <c r="K45" s="79" t="s">
        <v>1</v>
      </c>
      <c r="L45" s="80" t="str">
        <f t="shared" si="0"/>
        <v>Topográficos</v>
      </c>
      <c r="M45" s="80" t="str">
        <f t="shared" si="4"/>
        <v>Altimetrias</v>
      </c>
      <c r="N45" s="80" t="str">
        <f t="shared" si="4"/>
        <v>Terrenos</v>
      </c>
      <c r="O45" s="80" t="str">
        <f t="shared" si="13"/>
        <v>MDT Camada Núcleo</v>
      </c>
      <c r="P45" s="80" t="s">
        <v>1542</v>
      </c>
      <c r="Q45" s="80" t="s">
        <v>1696</v>
      </c>
      <c r="R45" s="77" t="s">
        <v>1</v>
      </c>
      <c r="S45" s="77" t="str">
        <f t="shared" si="6"/>
        <v>Topográficos</v>
      </c>
      <c r="T45" s="77" t="str">
        <f t="shared" si="6"/>
        <v>Altimetrias</v>
      </c>
      <c r="U45" s="77" t="str">
        <f t="shared" si="6"/>
        <v>Terrenos</v>
      </c>
      <c r="V45" s="77" t="s">
        <v>1964</v>
      </c>
      <c r="W45" s="78" t="str">
        <f t="shared" si="2"/>
        <v>Key-BRASIL-45</v>
      </c>
      <c r="X45" s="77" t="s">
        <v>1834</v>
      </c>
      <c r="Y45" s="77" t="s">
        <v>1882</v>
      </c>
      <c r="Z45" s="81" t="s">
        <v>1</v>
      </c>
      <c r="AA45" s="77" t="str">
        <f t="shared" si="3"/>
        <v>Three-dimensional terrain solid: core layer.</v>
      </c>
    </row>
    <row r="46" spans="1:27" ht="6.6" customHeight="1" x14ac:dyDescent="0.25">
      <c r="A46" s="72">
        <v>46</v>
      </c>
      <c r="B46" s="73" t="s">
        <v>1968</v>
      </c>
      <c r="C46" s="32" t="s">
        <v>1971</v>
      </c>
      <c r="D46" s="32" t="s">
        <v>1424</v>
      </c>
      <c r="E46" s="32" t="s">
        <v>1423</v>
      </c>
      <c r="F46" s="32" t="s">
        <v>1521</v>
      </c>
      <c r="G46" s="79" t="s">
        <v>1</v>
      </c>
      <c r="H46" s="79" t="s">
        <v>1</v>
      </c>
      <c r="I46" s="79" t="s">
        <v>1</v>
      </c>
      <c r="J46" s="79" t="s">
        <v>1</v>
      </c>
      <c r="K46" s="79" t="s">
        <v>1</v>
      </c>
      <c r="L46" s="80" t="str">
        <f t="shared" si="0"/>
        <v>Topográficos</v>
      </c>
      <c r="M46" s="80" t="str">
        <f t="shared" si="4"/>
        <v>Altimetrias</v>
      </c>
      <c r="N46" s="80" t="str">
        <f t="shared" si="4"/>
        <v>Terrenos</v>
      </c>
      <c r="O46" s="80" t="str">
        <f t="shared" si="13"/>
        <v>MDT Camada Substrato</v>
      </c>
      <c r="P46" s="80" t="s">
        <v>1544</v>
      </c>
      <c r="Q46" s="80" t="s">
        <v>1697</v>
      </c>
      <c r="R46" s="77" t="s">
        <v>1</v>
      </c>
      <c r="S46" s="77" t="str">
        <f t="shared" si="6"/>
        <v>Topográficos</v>
      </c>
      <c r="T46" s="77" t="str">
        <f t="shared" si="6"/>
        <v>Altimetrias</v>
      </c>
      <c r="U46" s="77" t="str">
        <f t="shared" si="6"/>
        <v>Terrenos</v>
      </c>
      <c r="V46" s="77" t="s">
        <v>1964</v>
      </c>
      <c r="W46" s="78" t="str">
        <f t="shared" si="2"/>
        <v>Key-BRASIL-46</v>
      </c>
      <c r="X46" s="77" t="s">
        <v>1835</v>
      </c>
      <c r="Y46" s="77" t="s">
        <v>1882</v>
      </c>
      <c r="Z46" s="81" t="s">
        <v>1</v>
      </c>
      <c r="AA46" s="77" t="str">
        <f t="shared" si="3"/>
        <v>Three-dimensional solid of the terrain: substrate layer.</v>
      </c>
    </row>
    <row r="47" spans="1:27" ht="6.6" customHeight="1" x14ac:dyDescent="0.25">
      <c r="A47" s="72">
        <v>47</v>
      </c>
      <c r="B47" s="73" t="s">
        <v>1968</v>
      </c>
      <c r="C47" s="32" t="s">
        <v>1971</v>
      </c>
      <c r="D47" s="32" t="s">
        <v>1424</v>
      </c>
      <c r="E47" s="32" t="s">
        <v>1423</v>
      </c>
      <c r="F47" s="32" t="s">
        <v>1520</v>
      </c>
      <c r="G47" s="79" t="s">
        <v>1</v>
      </c>
      <c r="H47" s="79" t="s">
        <v>1</v>
      </c>
      <c r="I47" s="79" t="s">
        <v>1</v>
      </c>
      <c r="J47" s="79" t="s">
        <v>1</v>
      </c>
      <c r="K47" s="79" t="s">
        <v>1</v>
      </c>
      <c r="L47" s="80" t="str">
        <f t="shared" si="0"/>
        <v>Topográficos</v>
      </c>
      <c r="M47" s="80" t="str">
        <f t="shared" si="4"/>
        <v>Altimetrias</v>
      </c>
      <c r="N47" s="80" t="str">
        <f t="shared" si="4"/>
        <v>Terrenos</v>
      </c>
      <c r="O47" s="80" t="str">
        <f t="shared" si="13"/>
        <v>MDT Camada Membrana</v>
      </c>
      <c r="P47" s="80" t="s">
        <v>1543</v>
      </c>
      <c r="Q47" s="80" t="s">
        <v>1698</v>
      </c>
      <c r="R47" s="77" t="s">
        <v>1</v>
      </c>
      <c r="S47" s="77" t="str">
        <f t="shared" si="6"/>
        <v>Topográficos</v>
      </c>
      <c r="T47" s="77" t="str">
        <f t="shared" si="6"/>
        <v>Altimetrias</v>
      </c>
      <c r="U47" s="77" t="str">
        <f t="shared" si="6"/>
        <v>Terrenos</v>
      </c>
      <c r="V47" s="77" t="s">
        <v>1964</v>
      </c>
      <c r="W47" s="78" t="str">
        <f t="shared" si="2"/>
        <v>Key-BRASIL-47</v>
      </c>
      <c r="X47" s="77" t="s">
        <v>1930</v>
      </c>
      <c r="Y47" s="77" t="s">
        <v>1882</v>
      </c>
      <c r="Z47" s="81" t="s">
        <v>1</v>
      </c>
      <c r="AA47" s="77" t="str">
        <f t="shared" si="3"/>
        <v>Three-dimensional solid of the terrain: membrane layer.</v>
      </c>
    </row>
    <row r="48" spans="1:27" ht="6.6" customHeight="1" x14ac:dyDescent="0.25">
      <c r="A48" s="72">
        <v>48</v>
      </c>
      <c r="B48" s="73" t="s">
        <v>1968</v>
      </c>
      <c r="C48" s="32" t="s">
        <v>1971</v>
      </c>
      <c r="D48" s="32" t="s">
        <v>1424</v>
      </c>
      <c r="E48" s="32" t="s">
        <v>1423</v>
      </c>
      <c r="F48" s="32" t="s">
        <v>1519</v>
      </c>
      <c r="G48" s="79" t="s">
        <v>1</v>
      </c>
      <c r="H48" s="79" t="s">
        <v>1</v>
      </c>
      <c r="I48" s="79" t="s">
        <v>1</v>
      </c>
      <c r="J48" s="79" t="s">
        <v>1</v>
      </c>
      <c r="K48" s="79" t="s">
        <v>1</v>
      </c>
      <c r="L48" s="80" t="str">
        <f t="shared" si="0"/>
        <v>Topográficos</v>
      </c>
      <c r="M48" s="80" t="str">
        <f t="shared" si="4"/>
        <v>Altimetrias</v>
      </c>
      <c r="N48" s="80" t="str">
        <f t="shared" si="4"/>
        <v>Terrenos</v>
      </c>
      <c r="O48" s="80" t="str">
        <f t="shared" si="13"/>
        <v>MDT Camada Isolamento</v>
      </c>
      <c r="P48" s="80" t="s">
        <v>1546</v>
      </c>
      <c r="Q48" s="80" t="s">
        <v>1699</v>
      </c>
      <c r="R48" s="77" t="s">
        <v>1</v>
      </c>
      <c r="S48" s="77" t="str">
        <f t="shared" si="6"/>
        <v>Topográficos</v>
      </c>
      <c r="T48" s="77" t="str">
        <f t="shared" si="6"/>
        <v>Altimetrias</v>
      </c>
      <c r="U48" s="77" t="str">
        <f t="shared" si="6"/>
        <v>Terrenos</v>
      </c>
      <c r="V48" s="77" t="s">
        <v>1964</v>
      </c>
      <c r="W48" s="78" t="str">
        <f t="shared" si="2"/>
        <v>Key-BRASIL-48</v>
      </c>
      <c r="X48" s="77" t="s">
        <v>1836</v>
      </c>
      <c r="Y48" s="77" t="s">
        <v>1882</v>
      </c>
      <c r="Z48" s="81" t="s">
        <v>1</v>
      </c>
      <c r="AA48" s="77" t="str">
        <f t="shared" si="3"/>
        <v>Three-dimensional solid terrain: insulation layer.</v>
      </c>
    </row>
    <row r="49" spans="1:27" ht="6.6" customHeight="1" x14ac:dyDescent="0.25">
      <c r="A49" s="72">
        <v>49</v>
      </c>
      <c r="B49" s="73" t="s">
        <v>1968</v>
      </c>
      <c r="C49" s="32" t="s">
        <v>1971</v>
      </c>
      <c r="D49" s="32" t="s">
        <v>1424</v>
      </c>
      <c r="E49" s="32" t="s">
        <v>1423</v>
      </c>
      <c r="F49" s="32" t="s">
        <v>1518</v>
      </c>
      <c r="G49" s="79" t="s">
        <v>1</v>
      </c>
      <c r="H49" s="79" t="s">
        <v>1</v>
      </c>
      <c r="I49" s="79" t="s">
        <v>1</v>
      </c>
      <c r="J49" s="79" t="s">
        <v>1</v>
      </c>
      <c r="K49" s="79" t="s">
        <v>1</v>
      </c>
      <c r="L49" s="80" t="str">
        <f t="shared" si="0"/>
        <v>Topográficos</v>
      </c>
      <c r="M49" s="80" t="str">
        <f t="shared" si="4"/>
        <v>Altimetrias</v>
      </c>
      <c r="N49" s="80" t="str">
        <f t="shared" si="4"/>
        <v>Terrenos</v>
      </c>
      <c r="O49" s="80" t="str">
        <f t="shared" si="13"/>
        <v>MDT Camada Superficial</v>
      </c>
      <c r="P49" s="80" t="s">
        <v>1545</v>
      </c>
      <c r="Q49" s="80" t="s">
        <v>1700</v>
      </c>
      <c r="R49" s="77" t="s">
        <v>1</v>
      </c>
      <c r="S49" s="77" t="str">
        <f t="shared" si="6"/>
        <v>Topográficos</v>
      </c>
      <c r="T49" s="77" t="str">
        <f t="shared" si="6"/>
        <v>Altimetrias</v>
      </c>
      <c r="U49" s="77" t="str">
        <f t="shared" si="6"/>
        <v>Terrenos</v>
      </c>
      <c r="V49" s="77" t="s">
        <v>1964</v>
      </c>
      <c r="W49" s="78" t="str">
        <f t="shared" si="2"/>
        <v>Key-BRASIL-49</v>
      </c>
      <c r="X49" s="77" t="s">
        <v>1837</v>
      </c>
      <c r="Y49" s="77" t="s">
        <v>1883</v>
      </c>
      <c r="Z49" s="81" t="s">
        <v>1</v>
      </c>
      <c r="AA49" s="77" t="str">
        <f t="shared" si="3"/>
        <v>Three-dimensional solid of the terrain: surface layer.</v>
      </c>
    </row>
    <row r="50" spans="1:27" ht="6.6" customHeight="1" x14ac:dyDescent="0.25">
      <c r="A50" s="72">
        <v>50</v>
      </c>
      <c r="B50" s="73" t="s">
        <v>1968</v>
      </c>
      <c r="C50" s="32" t="s">
        <v>1971</v>
      </c>
      <c r="D50" s="32" t="s">
        <v>1424</v>
      </c>
      <c r="E50" s="32" t="s">
        <v>1425</v>
      </c>
      <c r="F50" s="32" t="s">
        <v>1428</v>
      </c>
      <c r="G50" s="79" t="s">
        <v>1</v>
      </c>
      <c r="H50" s="79" t="s">
        <v>1</v>
      </c>
      <c r="I50" s="79" t="s">
        <v>1</v>
      </c>
      <c r="J50" s="79" t="s">
        <v>1</v>
      </c>
      <c r="K50" s="79" t="s">
        <v>1</v>
      </c>
      <c r="L50" s="80" t="str">
        <f t="shared" si="0"/>
        <v>Topográficos</v>
      </c>
      <c r="M50" s="80" t="str">
        <f t="shared" si="4"/>
        <v>Altimetrias</v>
      </c>
      <c r="N50" s="80" t="str">
        <f t="shared" si="4"/>
        <v>Curvas de Nível</v>
      </c>
      <c r="O50" s="80" t="str">
        <f t="shared" si="13"/>
        <v>Curva de Nível 10m</v>
      </c>
      <c r="P50" s="80" t="s">
        <v>1547</v>
      </c>
      <c r="Q50" s="80" t="s">
        <v>1701</v>
      </c>
      <c r="R50" s="77" t="s">
        <v>1</v>
      </c>
      <c r="S50" s="77" t="str">
        <f t="shared" si="6"/>
        <v>Topográficos</v>
      </c>
      <c r="T50" s="77" t="str">
        <f t="shared" si="6"/>
        <v>Altimetrias</v>
      </c>
      <c r="U50" s="77" t="str">
        <f t="shared" si="6"/>
        <v>Curvas de Nível</v>
      </c>
      <c r="V50" s="77" t="s">
        <v>1964</v>
      </c>
      <c r="W50" s="78" t="str">
        <f t="shared" si="2"/>
        <v>Key-BRASIL-50</v>
      </c>
      <c r="X50" s="77" t="s">
        <v>1838</v>
      </c>
      <c r="Y50" s="77" t="s">
        <v>1883</v>
      </c>
      <c r="Z50" s="81" t="s">
        <v>1</v>
      </c>
      <c r="AA50" s="77" t="str">
        <f t="shared" si="3"/>
        <v>10-meter level curve.</v>
      </c>
    </row>
    <row r="51" spans="1:27" ht="6.6" customHeight="1" x14ac:dyDescent="0.25">
      <c r="A51" s="72">
        <v>51</v>
      </c>
      <c r="B51" s="73" t="s">
        <v>1968</v>
      </c>
      <c r="C51" s="32" t="s">
        <v>1971</v>
      </c>
      <c r="D51" s="32" t="s">
        <v>1424</v>
      </c>
      <c r="E51" s="32" t="s">
        <v>1425</v>
      </c>
      <c r="F51" s="32" t="s">
        <v>1429</v>
      </c>
      <c r="G51" s="79" t="s">
        <v>1</v>
      </c>
      <c r="H51" s="79" t="s">
        <v>1</v>
      </c>
      <c r="I51" s="79" t="s">
        <v>1</v>
      </c>
      <c r="J51" s="79" t="s">
        <v>1</v>
      </c>
      <c r="K51" s="79" t="s">
        <v>1</v>
      </c>
      <c r="L51" s="80" t="str">
        <f t="shared" si="0"/>
        <v>Topográficos</v>
      </c>
      <c r="M51" s="80" t="str">
        <f t="shared" si="4"/>
        <v>Altimetrias</v>
      </c>
      <c r="N51" s="80" t="str">
        <f t="shared" si="4"/>
        <v>Curvas de Nível</v>
      </c>
      <c r="O51" s="80" t="str">
        <f t="shared" si="13"/>
        <v>Curva de Nível 05m</v>
      </c>
      <c r="P51" s="80" t="s">
        <v>1548</v>
      </c>
      <c r="Q51" s="80" t="s">
        <v>1702</v>
      </c>
      <c r="R51" s="77" t="s">
        <v>1</v>
      </c>
      <c r="S51" s="77" t="str">
        <f t="shared" si="6"/>
        <v>Topográficos</v>
      </c>
      <c r="T51" s="77" t="str">
        <f t="shared" si="6"/>
        <v>Altimetrias</v>
      </c>
      <c r="U51" s="77" t="str">
        <f t="shared" si="6"/>
        <v>Curvas de Nível</v>
      </c>
      <c r="V51" s="77" t="s">
        <v>1964</v>
      </c>
      <c r="W51" s="78" t="str">
        <f t="shared" si="2"/>
        <v>Key-BRASIL-51</v>
      </c>
      <c r="X51" s="77" t="s">
        <v>1838</v>
      </c>
      <c r="Y51" s="77" t="s">
        <v>1883</v>
      </c>
      <c r="Z51" s="81" t="s">
        <v>1</v>
      </c>
      <c r="AA51" s="77" t="str">
        <f t="shared" si="3"/>
        <v>5 meter level curve.</v>
      </c>
    </row>
    <row r="52" spans="1:27" ht="6.6" customHeight="1" x14ac:dyDescent="0.25">
      <c r="A52" s="72">
        <v>52</v>
      </c>
      <c r="B52" s="73" t="s">
        <v>1968</v>
      </c>
      <c r="C52" s="32" t="s">
        <v>1971</v>
      </c>
      <c r="D52" s="32" t="s">
        <v>1424</v>
      </c>
      <c r="E52" s="32" t="s">
        <v>1425</v>
      </c>
      <c r="F52" s="32" t="s">
        <v>1430</v>
      </c>
      <c r="G52" s="79" t="s">
        <v>1</v>
      </c>
      <c r="H52" s="79" t="s">
        <v>1</v>
      </c>
      <c r="I52" s="79" t="s">
        <v>1</v>
      </c>
      <c r="J52" s="79" t="s">
        <v>1</v>
      </c>
      <c r="K52" s="79" t="s">
        <v>1</v>
      </c>
      <c r="L52" s="80" t="str">
        <f t="shared" si="0"/>
        <v>Topográficos</v>
      </c>
      <c r="M52" s="80" t="str">
        <f t="shared" si="4"/>
        <v>Altimetrias</v>
      </c>
      <c r="N52" s="80" t="str">
        <f t="shared" si="4"/>
        <v>Curvas de Nível</v>
      </c>
      <c r="O52" s="80" t="str">
        <f t="shared" si="13"/>
        <v>Curva de Nível 01m</v>
      </c>
      <c r="P52" s="80" t="s">
        <v>1432</v>
      </c>
      <c r="Q52" s="80" t="s">
        <v>1703</v>
      </c>
      <c r="R52" s="77" t="s">
        <v>1</v>
      </c>
      <c r="S52" s="77" t="str">
        <f t="shared" si="6"/>
        <v>Topográficos</v>
      </c>
      <c r="T52" s="77" t="str">
        <f t="shared" si="6"/>
        <v>Altimetrias</v>
      </c>
      <c r="U52" s="77" t="str">
        <f t="shared" si="6"/>
        <v>Curvas de Nível</v>
      </c>
      <c r="V52" s="77" t="s">
        <v>1964</v>
      </c>
      <c r="W52" s="78" t="str">
        <f t="shared" si="2"/>
        <v>Key-BRASIL-52</v>
      </c>
      <c r="X52" s="77" t="s">
        <v>1838</v>
      </c>
      <c r="Y52" s="77" t="s">
        <v>1883</v>
      </c>
      <c r="Z52" s="81" t="s">
        <v>1</v>
      </c>
      <c r="AA52" s="77" t="str">
        <f t="shared" si="3"/>
        <v>Level curve of 1 meter.</v>
      </c>
    </row>
    <row r="53" spans="1:27" ht="6.6" customHeight="1" x14ac:dyDescent="0.25">
      <c r="A53" s="72">
        <v>53</v>
      </c>
      <c r="B53" s="73" t="s">
        <v>1968</v>
      </c>
      <c r="C53" s="32" t="s">
        <v>1971</v>
      </c>
      <c r="D53" s="32" t="s">
        <v>1424</v>
      </c>
      <c r="E53" s="32" t="s">
        <v>1425</v>
      </c>
      <c r="F53" s="32" t="s">
        <v>1431</v>
      </c>
      <c r="G53" s="79" t="s">
        <v>1</v>
      </c>
      <c r="H53" s="79" t="s">
        <v>1</v>
      </c>
      <c r="I53" s="79" t="s">
        <v>1</v>
      </c>
      <c r="J53" s="79" t="s">
        <v>1</v>
      </c>
      <c r="K53" s="79" t="s">
        <v>1</v>
      </c>
      <c r="L53" s="80" t="str">
        <f t="shared" si="0"/>
        <v>Topográficos</v>
      </c>
      <c r="M53" s="80" t="str">
        <f t="shared" si="4"/>
        <v>Altimetrias</v>
      </c>
      <c r="N53" s="80" t="str">
        <f t="shared" si="4"/>
        <v>Curvas de Nível</v>
      </c>
      <c r="O53" s="80" t="str">
        <f t="shared" si="13"/>
        <v>Curva de Nível Submétrica</v>
      </c>
      <c r="P53" s="80" t="s">
        <v>1433</v>
      </c>
      <c r="Q53" s="80" t="s">
        <v>1704</v>
      </c>
      <c r="R53" s="77" t="s">
        <v>1</v>
      </c>
      <c r="S53" s="77" t="str">
        <f t="shared" si="6"/>
        <v>Topográficos</v>
      </c>
      <c r="T53" s="77" t="str">
        <f t="shared" si="6"/>
        <v>Altimetrias</v>
      </c>
      <c r="U53" s="77" t="str">
        <f t="shared" si="6"/>
        <v>Curvas de Nível</v>
      </c>
      <c r="V53" s="77" t="s">
        <v>1964</v>
      </c>
      <c r="W53" s="78" t="str">
        <f t="shared" si="2"/>
        <v>Key-BRASIL-53</v>
      </c>
      <c r="X53" s="77" t="s">
        <v>1838</v>
      </c>
      <c r="Y53" s="77" t="s">
        <v>1881</v>
      </c>
      <c r="Z53" s="81" t="s">
        <v>1</v>
      </c>
      <c r="AA53" s="77" t="str">
        <f t="shared" si="3"/>
        <v>Submetric contour line, its value must be less than 1m and can be 5 cm, 10 cm, 25 cm, etc. For adjustments of boxes or poles on the ground.</v>
      </c>
    </row>
    <row r="54" spans="1:27" ht="6.6" customHeight="1" x14ac:dyDescent="0.25">
      <c r="A54" s="72">
        <v>54</v>
      </c>
      <c r="B54" s="73" t="s">
        <v>1968</v>
      </c>
      <c r="C54" s="32" t="s">
        <v>1971</v>
      </c>
      <c r="D54" s="32" t="s">
        <v>1424</v>
      </c>
      <c r="E54" s="32" t="s">
        <v>1426</v>
      </c>
      <c r="F54" s="32" t="s">
        <v>1395</v>
      </c>
      <c r="G54" s="79" t="s">
        <v>1</v>
      </c>
      <c r="H54" s="79" t="s">
        <v>1</v>
      </c>
      <c r="I54" s="79" t="s">
        <v>1</v>
      </c>
      <c r="J54" s="79" t="s">
        <v>1</v>
      </c>
      <c r="K54" s="79" t="s">
        <v>1</v>
      </c>
      <c r="L54" s="80" t="str">
        <f t="shared" si="0"/>
        <v>Topográficos</v>
      </c>
      <c r="M54" s="80" t="str">
        <f t="shared" si="4"/>
        <v>Altimetrias</v>
      </c>
      <c r="N54" s="80" t="str">
        <f t="shared" si="4"/>
        <v>Sondagens</v>
      </c>
      <c r="O54" s="80" t="str">
        <f t="shared" si="13"/>
        <v>Ponto de Sondagem</v>
      </c>
      <c r="P54" s="80" t="s">
        <v>1549</v>
      </c>
      <c r="Q54" s="80" t="s">
        <v>1705</v>
      </c>
      <c r="R54" s="77" t="s">
        <v>1</v>
      </c>
      <c r="S54" s="77" t="str">
        <f t="shared" si="6"/>
        <v>Topográficos</v>
      </c>
      <c r="T54" s="77" t="str">
        <f t="shared" si="6"/>
        <v>Altimetrias</v>
      </c>
      <c r="U54" s="77" t="str">
        <f t="shared" si="6"/>
        <v>Sondagens</v>
      </c>
      <c r="V54" s="77" t="s">
        <v>1964</v>
      </c>
      <c r="W54" s="78" t="str">
        <f t="shared" si="2"/>
        <v>Key-BRASIL-54</v>
      </c>
      <c r="X54" s="77" t="s">
        <v>1830</v>
      </c>
      <c r="Y54" s="77" t="s">
        <v>1828</v>
      </c>
      <c r="Z54" s="81" t="s">
        <v>1</v>
      </c>
      <c r="AA54" s="77" t="str">
        <f t="shared" si="3"/>
        <v>Land polling point.</v>
      </c>
    </row>
    <row r="55" spans="1:27" ht="6.6" customHeight="1" x14ac:dyDescent="0.25">
      <c r="A55" s="72">
        <v>55</v>
      </c>
      <c r="B55" s="73" t="s">
        <v>1968</v>
      </c>
      <c r="C55" s="32" t="s">
        <v>1396</v>
      </c>
      <c r="D55" s="32" t="s">
        <v>1997</v>
      </c>
      <c r="E55" s="32" t="s">
        <v>1421</v>
      </c>
      <c r="F55" s="32" t="s">
        <v>644</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4"/>
        <v>De Planejamento</v>
      </c>
      <c r="N55" s="80" t="str">
        <f t="shared" si="4"/>
        <v>Zonificações</v>
      </c>
      <c r="O55" s="80" t="str">
        <f t="shared" si="4"/>
        <v>Area de Planejamento</v>
      </c>
      <c r="P55" s="80" t="s">
        <v>1551</v>
      </c>
      <c r="Q55" s="80" t="s">
        <v>645</v>
      </c>
      <c r="R55" s="77" t="s">
        <v>1</v>
      </c>
      <c r="S55" s="77" t="str">
        <f t="shared" si="6"/>
        <v>Urbanísticos</v>
      </c>
      <c r="T55" s="77" t="str">
        <f t="shared" si="6"/>
        <v>De Planejamento</v>
      </c>
      <c r="U55" s="77" t="str">
        <f t="shared" si="6"/>
        <v>Zonificações</v>
      </c>
      <c r="V55" s="77" t="s">
        <v>1964</v>
      </c>
      <c r="W55" s="78" t="str">
        <f t="shared" si="2"/>
        <v>Key-BRASIL-55</v>
      </c>
      <c r="X55" s="77" t="s">
        <v>1829</v>
      </c>
      <c r="Y55" s="77" t="s">
        <v>1828</v>
      </c>
      <c r="Z55" s="81" t="s">
        <v>1</v>
      </c>
      <c r="AA55" s="77" t="str">
        <f t="shared" si="3"/>
        <v>AP stands for Planning Area.</v>
      </c>
    </row>
    <row r="56" spans="1:27" ht="6.6" customHeight="1" x14ac:dyDescent="0.25">
      <c r="A56" s="72">
        <v>56</v>
      </c>
      <c r="B56" s="73" t="s">
        <v>1968</v>
      </c>
      <c r="C56" s="32" t="s">
        <v>1396</v>
      </c>
      <c r="D56" s="32" t="s">
        <v>1997</v>
      </c>
      <c r="E56" s="32" t="s">
        <v>1421</v>
      </c>
      <c r="F56" s="32" t="s">
        <v>646</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4"/>
        <v>De Planejamento</v>
      </c>
      <c r="N56" s="80" t="str">
        <f t="shared" si="4"/>
        <v>Zonificações</v>
      </c>
      <c r="O56" s="80" t="str">
        <f t="shared" si="4"/>
        <v>Região Administrativa</v>
      </c>
      <c r="P56" s="80" t="s">
        <v>1550</v>
      </c>
      <c r="Q56" s="80" t="s">
        <v>647</v>
      </c>
      <c r="R56" s="77" t="s">
        <v>1</v>
      </c>
      <c r="S56" s="77" t="str">
        <f t="shared" si="6"/>
        <v>Urbanísticos</v>
      </c>
      <c r="T56" s="77" t="str">
        <f t="shared" si="6"/>
        <v>De Planejamento</v>
      </c>
      <c r="U56" s="77" t="str">
        <f t="shared" si="6"/>
        <v>Zonificações</v>
      </c>
      <c r="V56" s="77" t="s">
        <v>1964</v>
      </c>
      <c r="W56" s="78" t="str">
        <f t="shared" si="2"/>
        <v>Key-BRASIL-56</v>
      </c>
      <c r="X56" s="77" t="s">
        <v>1829</v>
      </c>
      <c r="Y56" s="77" t="s">
        <v>1828</v>
      </c>
      <c r="Z56" s="81" t="s">
        <v>1</v>
      </c>
      <c r="AA56" s="77" t="str">
        <f t="shared" si="3"/>
        <v>RA stands for Administrative Region.</v>
      </c>
    </row>
    <row r="57" spans="1:27" ht="6.6" customHeight="1" x14ac:dyDescent="0.25">
      <c r="A57" s="72">
        <v>57</v>
      </c>
      <c r="B57" s="73" t="s">
        <v>1968</v>
      </c>
      <c r="C57" s="32" t="s">
        <v>1396</v>
      </c>
      <c r="D57" s="32" t="s">
        <v>1997</v>
      </c>
      <c r="E57" s="32" t="s">
        <v>1421</v>
      </c>
      <c r="F57" s="32" t="s">
        <v>1516</v>
      </c>
      <c r="G57" s="79" t="s">
        <v>1</v>
      </c>
      <c r="H57" s="79" t="s">
        <v>1</v>
      </c>
      <c r="I57" s="79" t="s">
        <v>1</v>
      </c>
      <c r="J57" s="79" t="s">
        <v>1</v>
      </c>
      <c r="K57" s="79" t="s">
        <v>1</v>
      </c>
      <c r="L57" s="80" t="str">
        <f t="shared" si="0"/>
        <v>Urbanísticos</v>
      </c>
      <c r="M57" s="80" t="str">
        <f t="shared" si="4"/>
        <v>De Planejamento</v>
      </c>
      <c r="N57" s="80" t="str">
        <f t="shared" si="4"/>
        <v>Zonificações</v>
      </c>
      <c r="O57" s="80" t="str">
        <f t="shared" si="4"/>
        <v>Area de Interesse Especial</v>
      </c>
      <c r="P57" s="80" t="s">
        <v>1552</v>
      </c>
      <c r="Q57" s="80" t="s">
        <v>648</v>
      </c>
      <c r="R57" s="77" t="s">
        <v>1</v>
      </c>
      <c r="S57" s="77" t="str">
        <f t="shared" si="6"/>
        <v>Urbanísticos</v>
      </c>
      <c r="T57" s="77" t="str">
        <f t="shared" si="6"/>
        <v>De Planejamento</v>
      </c>
      <c r="U57" s="77" t="str">
        <f t="shared" si="6"/>
        <v>Zonificações</v>
      </c>
      <c r="V57" s="77" t="s">
        <v>1964</v>
      </c>
      <c r="W57" s="78" t="str">
        <f t="shared" si="2"/>
        <v>Key-BRASIL-57</v>
      </c>
      <c r="X57" s="77" t="s">
        <v>1829</v>
      </c>
      <c r="Y57" s="77" t="s">
        <v>1828</v>
      </c>
      <c r="Z57" s="81" t="s">
        <v>1</v>
      </c>
      <c r="AA57" s="77" t="str">
        <f t="shared" si="3"/>
        <v>Area of Special Interest.</v>
      </c>
    </row>
    <row r="58" spans="1:27" ht="6.6" customHeight="1" x14ac:dyDescent="0.25">
      <c r="A58" s="72">
        <v>58</v>
      </c>
      <c r="B58" s="73" t="s">
        <v>1968</v>
      </c>
      <c r="C58" s="32" t="s">
        <v>1396</v>
      </c>
      <c r="D58" s="32" t="s">
        <v>1997</v>
      </c>
      <c r="E58" s="32" t="s">
        <v>1421</v>
      </c>
      <c r="F58" s="32" t="s">
        <v>649</v>
      </c>
      <c r="G58" s="79" t="s">
        <v>1</v>
      </c>
      <c r="H58" s="79" t="s">
        <v>1</v>
      </c>
      <c r="I58" s="79" t="s">
        <v>1</v>
      </c>
      <c r="J58" s="79" t="s">
        <v>1</v>
      </c>
      <c r="K58" s="79" t="s">
        <v>1</v>
      </c>
      <c r="L58" s="80" t="str">
        <f t="shared" si="0"/>
        <v>Urbanísticos</v>
      </c>
      <c r="M58" s="80" t="str">
        <f t="shared" ref="M58:O73" si="15">_xlfn.CONCAT(SUBSTITUTE(D58,"."," "))</f>
        <v>De Planejamento</v>
      </c>
      <c r="N58" s="80" t="str">
        <f t="shared" si="15"/>
        <v>Zonificações</v>
      </c>
      <c r="O58" s="80" t="str">
        <f t="shared" si="15"/>
        <v>Area Restringida</v>
      </c>
      <c r="P58" s="80" t="s">
        <v>650</v>
      </c>
      <c r="Q58" s="80" t="s">
        <v>651</v>
      </c>
      <c r="R58" s="77" t="s">
        <v>1</v>
      </c>
      <c r="S58" s="77" t="str">
        <f t="shared" si="6"/>
        <v>Urbanísticos</v>
      </c>
      <c r="T58" s="77" t="str">
        <f t="shared" si="6"/>
        <v>De Planejamento</v>
      </c>
      <c r="U58" s="77" t="str">
        <f t="shared" si="6"/>
        <v>Zonificações</v>
      </c>
      <c r="V58" s="77" t="s">
        <v>1964</v>
      </c>
      <c r="W58" s="78" t="str">
        <f t="shared" si="2"/>
        <v>Key-BRASIL-58</v>
      </c>
      <c r="X58" s="77" t="s">
        <v>1829</v>
      </c>
      <c r="Y58" s="77" t="s">
        <v>1828</v>
      </c>
      <c r="Z58" s="81" t="s">
        <v>1</v>
      </c>
      <c r="AA58" s="77" t="str">
        <f t="shared" si="3"/>
        <v>Area with occupancy restrictions</v>
      </c>
    </row>
    <row r="59" spans="1:27" ht="6.6" customHeight="1" x14ac:dyDescent="0.25">
      <c r="A59" s="72">
        <v>59</v>
      </c>
      <c r="B59" s="73" t="s">
        <v>1968</v>
      </c>
      <c r="C59" s="32" t="s">
        <v>1396</v>
      </c>
      <c r="D59" s="32" t="s">
        <v>1997</v>
      </c>
      <c r="E59" s="32" t="s">
        <v>1421</v>
      </c>
      <c r="F59" s="32" t="s">
        <v>652</v>
      </c>
      <c r="G59" s="79" t="s">
        <v>1</v>
      </c>
      <c r="H59" s="79" t="s">
        <v>1</v>
      </c>
      <c r="I59" s="79" t="s">
        <v>1</v>
      </c>
      <c r="J59" s="79" t="s">
        <v>1</v>
      </c>
      <c r="K59" s="79" t="s">
        <v>653</v>
      </c>
      <c r="L59" s="80" t="str">
        <f t="shared" si="0"/>
        <v>Urbanísticos</v>
      </c>
      <c r="M59" s="80" t="str">
        <f t="shared" si="15"/>
        <v>De Planejamento</v>
      </c>
      <c r="N59" s="80" t="str">
        <f t="shared" si="15"/>
        <v>Zonificações</v>
      </c>
      <c r="O59" s="80" t="str">
        <f t="shared" si="15"/>
        <v>Zona</v>
      </c>
      <c r="P59" s="80" t="s">
        <v>1553</v>
      </c>
      <c r="Q59" s="80" t="s">
        <v>654</v>
      </c>
      <c r="R59" s="77" t="s">
        <v>1</v>
      </c>
      <c r="S59" s="77" t="str">
        <f t="shared" si="6"/>
        <v>Urbanísticos</v>
      </c>
      <c r="T59" s="77" t="str">
        <f t="shared" si="6"/>
        <v>De Planejamento</v>
      </c>
      <c r="U59" s="77" t="str">
        <f t="shared" si="6"/>
        <v>Zonificações</v>
      </c>
      <c r="V59" s="77" t="s">
        <v>1964</v>
      </c>
      <c r="W59" s="78" t="str">
        <f t="shared" si="2"/>
        <v>Key-BRASIL-59</v>
      </c>
      <c r="X59" s="77" t="s">
        <v>1829</v>
      </c>
      <c r="Y59" s="77" t="s">
        <v>1828</v>
      </c>
      <c r="Z59" s="81" t="s">
        <v>1</v>
      </c>
      <c r="AA59" s="77" t="str">
        <f t="shared" si="3"/>
        <v>Areas of the city of Rio de Janeiro.</v>
      </c>
    </row>
    <row r="60" spans="1:27" ht="6.6" customHeight="1" x14ac:dyDescent="0.25">
      <c r="A60" s="72">
        <v>60</v>
      </c>
      <c r="B60" s="73" t="s">
        <v>1968</v>
      </c>
      <c r="C60" s="32" t="s">
        <v>1396</v>
      </c>
      <c r="D60" s="32" t="s">
        <v>1997</v>
      </c>
      <c r="E60" s="32" t="s">
        <v>1421</v>
      </c>
      <c r="F60" s="32" t="s">
        <v>655</v>
      </c>
      <c r="G60" s="79" t="s">
        <v>1</v>
      </c>
      <c r="H60" s="79" t="s">
        <v>1</v>
      </c>
      <c r="I60" s="79" t="s">
        <v>1</v>
      </c>
      <c r="J60" s="79" t="s">
        <v>1</v>
      </c>
      <c r="K60" s="79" t="s">
        <v>653</v>
      </c>
      <c r="L60" s="80" t="str">
        <f t="shared" si="0"/>
        <v>Urbanísticos</v>
      </c>
      <c r="M60" s="80" t="str">
        <f t="shared" si="15"/>
        <v>De Planejamento</v>
      </c>
      <c r="N60" s="80" t="str">
        <f t="shared" si="15"/>
        <v>Zonificações</v>
      </c>
      <c r="O60" s="80" t="str">
        <f t="shared" si="15"/>
        <v>Bairro</v>
      </c>
      <c r="P60" s="80" t="s">
        <v>656</v>
      </c>
      <c r="Q60" s="80" t="s">
        <v>657</v>
      </c>
      <c r="R60" s="77" t="s">
        <v>1</v>
      </c>
      <c r="S60" s="77" t="str">
        <f t="shared" si="6"/>
        <v>Urbanísticos</v>
      </c>
      <c r="T60" s="77" t="str">
        <f t="shared" si="6"/>
        <v>De Planejamento</v>
      </c>
      <c r="U60" s="77" t="str">
        <f t="shared" si="6"/>
        <v>Zonificações</v>
      </c>
      <c r="V60" s="77" t="s">
        <v>1964</v>
      </c>
      <c r="W60" s="78" t="str">
        <f t="shared" si="2"/>
        <v>Key-BRASIL-60</v>
      </c>
      <c r="X60" s="77" t="s">
        <v>1829</v>
      </c>
      <c r="Y60" s="77" t="s">
        <v>1828</v>
      </c>
      <c r="Z60" s="81" t="s">
        <v>1</v>
      </c>
      <c r="AA60" s="77" t="str">
        <f t="shared" si="3"/>
        <v>City Neighborhood</v>
      </c>
    </row>
    <row r="61" spans="1:27" ht="6.6" customHeight="1" x14ac:dyDescent="0.25">
      <c r="A61" s="72">
        <v>61</v>
      </c>
      <c r="B61" s="73" t="s">
        <v>1968</v>
      </c>
      <c r="C61" s="32" t="s">
        <v>1396</v>
      </c>
      <c r="D61" s="32" t="s">
        <v>1997</v>
      </c>
      <c r="E61" s="32" t="s">
        <v>1421</v>
      </c>
      <c r="F61" s="32" t="s">
        <v>1422</v>
      </c>
      <c r="G61" s="79" t="s">
        <v>1</v>
      </c>
      <c r="H61" s="79" t="s">
        <v>1</v>
      </c>
      <c r="I61" s="79" t="s">
        <v>1</v>
      </c>
      <c r="J61" s="79" t="s">
        <v>1</v>
      </c>
      <c r="K61" s="79" t="s">
        <v>653</v>
      </c>
      <c r="L61" s="80" t="str">
        <f t="shared" si="0"/>
        <v>Urbanísticos</v>
      </c>
      <c r="M61" s="80" t="str">
        <f t="shared" si="15"/>
        <v>De Planejamento</v>
      </c>
      <c r="N61" s="80" t="str">
        <f t="shared" si="15"/>
        <v>Zonificações</v>
      </c>
      <c r="O61" s="80" t="str">
        <f t="shared" si="15"/>
        <v>Zona de Uso</v>
      </c>
      <c r="P61" s="80" t="s">
        <v>1554</v>
      </c>
      <c r="Q61" s="80" t="s">
        <v>658</v>
      </c>
      <c r="R61" s="77" t="s">
        <v>1</v>
      </c>
      <c r="S61" s="77" t="str">
        <f t="shared" si="6"/>
        <v>Urbanísticos</v>
      </c>
      <c r="T61" s="77" t="str">
        <f t="shared" si="6"/>
        <v>De Planejamento</v>
      </c>
      <c r="U61" s="77" t="str">
        <f t="shared" si="6"/>
        <v>Zonificações</v>
      </c>
      <c r="V61" s="77" t="s">
        <v>1964</v>
      </c>
      <c r="W61" s="78" t="str">
        <f t="shared" si="2"/>
        <v>Key-BRASIL-61</v>
      </c>
      <c r="X61" s="77" t="s">
        <v>1829</v>
      </c>
      <c r="Y61" s="77" t="s">
        <v>1828</v>
      </c>
      <c r="Z61" s="81" t="s">
        <v>1</v>
      </c>
      <c r="AA61" s="77" t="str">
        <f t="shared" ref="AA61:AA131" si="16">_xlfn.TRANSLATE(P61,"pt","en")</f>
        <v>Zone of use of the municipal zoning of the city of Rio de Janeiro.</v>
      </c>
    </row>
    <row r="62" spans="1:27" ht="6.6" customHeight="1" x14ac:dyDescent="0.25">
      <c r="A62" s="72">
        <v>62</v>
      </c>
      <c r="B62" s="73" t="s">
        <v>1968</v>
      </c>
      <c r="C62" s="32" t="s">
        <v>1396</v>
      </c>
      <c r="D62" s="32" t="s">
        <v>1997</v>
      </c>
      <c r="E62" s="32" t="s">
        <v>1421</v>
      </c>
      <c r="F62" s="32" t="s">
        <v>659</v>
      </c>
      <c r="G62" s="79" t="s">
        <v>1</v>
      </c>
      <c r="H62" s="79" t="s">
        <v>1</v>
      </c>
      <c r="I62" s="79" t="s">
        <v>1</v>
      </c>
      <c r="J62" s="79" t="s">
        <v>1</v>
      </c>
      <c r="K62" s="79" t="s">
        <v>653</v>
      </c>
      <c r="L62" s="80" t="str">
        <f t="shared" si="0"/>
        <v>Urbanísticos</v>
      </c>
      <c r="M62" s="80" t="str">
        <f t="shared" si="15"/>
        <v>De Planejamento</v>
      </c>
      <c r="N62" s="80" t="str">
        <f t="shared" si="15"/>
        <v>Zonificações</v>
      </c>
      <c r="O62" s="80" t="str">
        <f t="shared" si="15"/>
        <v>Macrozona</v>
      </c>
      <c r="P62" s="80" t="s">
        <v>656</v>
      </c>
      <c r="Q62" s="80" t="s">
        <v>657</v>
      </c>
      <c r="R62" s="77" t="s">
        <v>1</v>
      </c>
      <c r="S62" s="77" t="str">
        <f t="shared" si="6"/>
        <v>Urbanísticos</v>
      </c>
      <c r="T62" s="77" t="str">
        <f t="shared" si="6"/>
        <v>De Planejamento</v>
      </c>
      <c r="U62" s="77" t="str">
        <f t="shared" si="6"/>
        <v>Zonificações</v>
      </c>
      <c r="V62" s="77" t="s">
        <v>1964</v>
      </c>
      <c r="W62" s="78" t="str">
        <f t="shared" ref="W62:W127" si="17">CONCATENATE("Key-BRASIL-",A62)</f>
        <v>Key-BRASIL-62</v>
      </c>
      <c r="X62" s="77" t="s">
        <v>1829</v>
      </c>
      <c r="Y62" s="77" t="s">
        <v>1884</v>
      </c>
      <c r="Z62" s="81" t="s">
        <v>1</v>
      </c>
      <c r="AA62" s="77" t="str">
        <f t="shared" si="16"/>
        <v>City Neighborhood</v>
      </c>
    </row>
    <row r="63" spans="1:27" ht="6.6" customHeight="1" x14ac:dyDescent="0.25">
      <c r="A63" s="72">
        <v>63</v>
      </c>
      <c r="B63" s="73" t="s">
        <v>1968</v>
      </c>
      <c r="C63" s="32" t="s">
        <v>1396</v>
      </c>
      <c r="D63" s="32" t="s">
        <v>1997</v>
      </c>
      <c r="E63" s="32" t="s">
        <v>1420</v>
      </c>
      <c r="F63" s="32" t="s">
        <v>660</v>
      </c>
      <c r="G63" s="79" t="s">
        <v>1</v>
      </c>
      <c r="H63" s="79" t="s">
        <v>1</v>
      </c>
      <c r="I63" s="79" t="s">
        <v>1</v>
      </c>
      <c r="J63" s="79" t="s">
        <v>1</v>
      </c>
      <c r="K63" s="79" t="s">
        <v>661</v>
      </c>
      <c r="L63" s="80" t="str">
        <f t="shared" si="0"/>
        <v>Urbanísticos</v>
      </c>
      <c r="M63" s="80" t="str">
        <f t="shared" si="15"/>
        <v>De Planejamento</v>
      </c>
      <c r="N63" s="80" t="str">
        <f t="shared" si="15"/>
        <v>Frações</v>
      </c>
      <c r="O63" s="80" t="str">
        <f t="shared" si="15"/>
        <v>Quadra</v>
      </c>
      <c r="P63" s="80" t="s">
        <v>1555</v>
      </c>
      <c r="Q63" s="80" t="s">
        <v>662</v>
      </c>
      <c r="R63" s="77" t="s">
        <v>1</v>
      </c>
      <c r="S63" s="77" t="str">
        <f t="shared" si="6"/>
        <v>Urbanísticos</v>
      </c>
      <c r="T63" s="77" t="str">
        <f t="shared" si="6"/>
        <v>De Planejamento</v>
      </c>
      <c r="U63" s="77" t="str">
        <f t="shared" si="6"/>
        <v>Frações</v>
      </c>
      <c r="V63" s="77" t="s">
        <v>1964</v>
      </c>
      <c r="W63" s="78" t="str">
        <f t="shared" si="17"/>
        <v>Key-BRASIL-63</v>
      </c>
      <c r="X63" s="77" t="s">
        <v>1839</v>
      </c>
      <c r="Y63" s="77" t="s">
        <v>1884</v>
      </c>
      <c r="Z63" s="81" t="s">
        <v>1</v>
      </c>
      <c r="AA63" s="77" t="str">
        <f t="shared" si="16"/>
        <v>Block of a neighborhood.</v>
      </c>
    </row>
    <row r="64" spans="1:27" ht="6.6" customHeight="1" x14ac:dyDescent="0.25">
      <c r="A64" s="72">
        <v>64</v>
      </c>
      <c r="B64" s="73" t="s">
        <v>1968</v>
      </c>
      <c r="C64" s="32" t="s">
        <v>1396</v>
      </c>
      <c r="D64" s="32" t="s">
        <v>1997</v>
      </c>
      <c r="E64" s="32" t="s">
        <v>1420</v>
      </c>
      <c r="F64" s="32" t="s">
        <v>663</v>
      </c>
      <c r="G64" s="79" t="s">
        <v>1</v>
      </c>
      <c r="H64" s="79" t="s">
        <v>1</v>
      </c>
      <c r="I64" s="79" t="s">
        <v>1</v>
      </c>
      <c r="J64" s="79" t="s">
        <v>1</v>
      </c>
      <c r="K64" s="79" t="s">
        <v>1</v>
      </c>
      <c r="L64" s="80" t="str">
        <f t="shared" si="0"/>
        <v>Urbanísticos</v>
      </c>
      <c r="M64" s="80" t="str">
        <f t="shared" si="15"/>
        <v>De Planejamento</v>
      </c>
      <c r="N64" s="80" t="str">
        <f t="shared" si="15"/>
        <v>Frações</v>
      </c>
      <c r="O64" s="80" t="str">
        <f t="shared" si="15"/>
        <v>Gleba</v>
      </c>
      <c r="P64" s="80" t="s">
        <v>1556</v>
      </c>
      <c r="Q64" s="80" t="s">
        <v>664</v>
      </c>
      <c r="R64" s="77" t="s">
        <v>1</v>
      </c>
      <c r="S64" s="77" t="str">
        <f t="shared" si="6"/>
        <v>Urbanísticos</v>
      </c>
      <c r="T64" s="77" t="str">
        <f t="shared" si="6"/>
        <v>De Planejamento</v>
      </c>
      <c r="U64" s="77" t="str">
        <f t="shared" si="6"/>
        <v>Frações</v>
      </c>
      <c r="V64" s="77" t="s">
        <v>1964</v>
      </c>
      <c r="W64" s="78" t="str">
        <f t="shared" si="17"/>
        <v>Key-BRASIL-64</v>
      </c>
      <c r="X64" s="77" t="s">
        <v>1839</v>
      </c>
      <c r="Y64" s="77" t="s">
        <v>1885</v>
      </c>
      <c r="Z64" s="81" t="s">
        <v>1</v>
      </c>
      <c r="AA64" s="77" t="str">
        <f t="shared" si="16"/>
        <v>Large land that has not yet been subdivided.</v>
      </c>
    </row>
    <row r="65" spans="1:27" ht="6.6" customHeight="1" x14ac:dyDescent="0.25">
      <c r="A65" s="72">
        <v>65</v>
      </c>
      <c r="B65" s="73" t="s">
        <v>1968</v>
      </c>
      <c r="C65" s="32" t="s">
        <v>1396</v>
      </c>
      <c r="D65" s="32" t="s">
        <v>1997</v>
      </c>
      <c r="E65" s="32" t="s">
        <v>1420</v>
      </c>
      <c r="F65" s="32" t="s">
        <v>665</v>
      </c>
      <c r="G65" s="79" t="s">
        <v>1</v>
      </c>
      <c r="H65" s="79" t="s">
        <v>1</v>
      </c>
      <c r="I65" s="79" t="s">
        <v>1</v>
      </c>
      <c r="J65" s="79" t="s">
        <v>1</v>
      </c>
      <c r="K65" s="79" t="s">
        <v>1</v>
      </c>
      <c r="L65" s="80" t="str">
        <f t="shared" si="0"/>
        <v>Urbanísticos</v>
      </c>
      <c r="M65" s="80" t="str">
        <f t="shared" si="15"/>
        <v>De Planejamento</v>
      </c>
      <c r="N65" s="80" t="str">
        <f t="shared" si="15"/>
        <v>Frações</v>
      </c>
      <c r="O65" s="80" t="str">
        <f t="shared" si="15"/>
        <v>Loteamento</v>
      </c>
      <c r="P65" s="80" t="s">
        <v>1561</v>
      </c>
      <c r="Q65" s="80" t="s">
        <v>666</v>
      </c>
      <c r="R65" s="77" t="s">
        <v>1</v>
      </c>
      <c r="S65" s="77" t="str">
        <f t="shared" si="6"/>
        <v>Urbanísticos</v>
      </c>
      <c r="T65" s="77" t="str">
        <f t="shared" si="6"/>
        <v>De Planejamento</v>
      </c>
      <c r="U65" s="77" t="str">
        <f t="shared" si="6"/>
        <v>Frações</v>
      </c>
      <c r="V65" s="77" t="s">
        <v>1964</v>
      </c>
      <c r="W65" s="78" t="str">
        <f t="shared" si="17"/>
        <v>Key-BRASIL-65</v>
      </c>
      <c r="X65" s="77" t="s">
        <v>1840</v>
      </c>
      <c r="Y65" s="77" t="s">
        <v>1885</v>
      </c>
      <c r="Z65" s="81" t="s">
        <v>1</v>
      </c>
      <c r="AA65" s="77" t="str">
        <f t="shared" si="16"/>
        <v>Urban allotment.</v>
      </c>
    </row>
    <row r="66" spans="1:27" ht="6.6" customHeight="1" x14ac:dyDescent="0.25">
      <c r="A66" s="72">
        <v>66</v>
      </c>
      <c r="B66" s="73" t="s">
        <v>1968</v>
      </c>
      <c r="C66" s="32" t="s">
        <v>1396</v>
      </c>
      <c r="D66" s="32" t="s">
        <v>1997</v>
      </c>
      <c r="E66" s="32" t="s">
        <v>1420</v>
      </c>
      <c r="F66" s="32" t="s">
        <v>667</v>
      </c>
      <c r="G66" s="79" t="s">
        <v>1</v>
      </c>
      <c r="H66" s="79" t="s">
        <v>1</v>
      </c>
      <c r="I66" s="79" t="s">
        <v>1</v>
      </c>
      <c r="J66" s="79" t="s">
        <v>1</v>
      </c>
      <c r="K66" s="79" t="s">
        <v>1</v>
      </c>
      <c r="L66" s="80" t="str">
        <f t="shared" si="0"/>
        <v>Urbanísticos</v>
      </c>
      <c r="M66" s="80" t="str">
        <f t="shared" si="15"/>
        <v>De Planejamento</v>
      </c>
      <c r="N66" s="80" t="str">
        <f t="shared" si="15"/>
        <v>Frações</v>
      </c>
      <c r="O66" s="80" t="str">
        <f t="shared" si="15"/>
        <v>Parcela</v>
      </c>
      <c r="P66" s="80" t="s">
        <v>1557</v>
      </c>
      <c r="Q66" s="80" t="s">
        <v>668</v>
      </c>
      <c r="R66" s="77" t="s">
        <v>1</v>
      </c>
      <c r="S66" s="77" t="str">
        <f t="shared" si="6"/>
        <v>Urbanísticos</v>
      </c>
      <c r="T66" s="77" t="str">
        <f t="shared" si="6"/>
        <v>De Planejamento</v>
      </c>
      <c r="U66" s="77" t="str">
        <f t="shared" si="6"/>
        <v>Frações</v>
      </c>
      <c r="V66" s="77" t="s">
        <v>1964</v>
      </c>
      <c r="W66" s="78" t="str">
        <f t="shared" si="17"/>
        <v>Key-BRASIL-66</v>
      </c>
      <c r="X66" s="77" t="s">
        <v>1840</v>
      </c>
      <c r="Y66" s="77" t="s">
        <v>1885</v>
      </c>
      <c r="Z66" s="81" t="s">
        <v>1</v>
      </c>
      <c r="AA66" s="77" t="str">
        <f t="shared" si="16"/>
        <v>Urban parcel.</v>
      </c>
    </row>
    <row r="67" spans="1:27" ht="6.6" customHeight="1" x14ac:dyDescent="0.25">
      <c r="A67" s="72">
        <v>67</v>
      </c>
      <c r="B67" s="73" t="s">
        <v>1968</v>
      </c>
      <c r="C67" s="32" t="s">
        <v>1396</v>
      </c>
      <c r="D67" s="32" t="s">
        <v>1997</v>
      </c>
      <c r="E67" s="32" t="s">
        <v>1420</v>
      </c>
      <c r="F67" s="32" t="s">
        <v>669</v>
      </c>
      <c r="G67" s="79" t="s">
        <v>1</v>
      </c>
      <c r="H67" s="79" t="s">
        <v>1</v>
      </c>
      <c r="I67" s="79" t="s">
        <v>1</v>
      </c>
      <c r="J67" s="79" t="s">
        <v>1</v>
      </c>
      <c r="K67" s="79" t="s">
        <v>1</v>
      </c>
      <c r="L67" s="80" t="str">
        <f t="shared" si="0"/>
        <v>Urbanísticos</v>
      </c>
      <c r="M67" s="80" t="str">
        <f t="shared" si="15"/>
        <v>De Planejamento</v>
      </c>
      <c r="N67" s="80" t="str">
        <f t="shared" si="15"/>
        <v>Frações</v>
      </c>
      <c r="O67" s="80" t="str">
        <f t="shared" si="15"/>
        <v>Lote</v>
      </c>
      <c r="P67" s="80" t="s">
        <v>1558</v>
      </c>
      <c r="Q67" s="80" t="s">
        <v>670</v>
      </c>
      <c r="R67" s="77" t="s">
        <v>1</v>
      </c>
      <c r="S67" s="77" t="str">
        <f t="shared" si="6"/>
        <v>Urbanísticos</v>
      </c>
      <c r="T67" s="77" t="str">
        <f t="shared" si="6"/>
        <v>De Planejamento</v>
      </c>
      <c r="U67" s="77" t="str">
        <f t="shared" si="6"/>
        <v>Frações</v>
      </c>
      <c r="V67" s="77" t="s">
        <v>1964</v>
      </c>
      <c r="W67" s="78" t="str">
        <f t="shared" si="17"/>
        <v>Key-BRASIL-67</v>
      </c>
      <c r="X67" s="77" t="s">
        <v>1840</v>
      </c>
      <c r="Y67" s="77" t="s">
        <v>1828</v>
      </c>
      <c r="Z67" s="81" t="s">
        <v>1</v>
      </c>
      <c r="AA67" s="77" t="str">
        <f t="shared" si="16"/>
        <v>Urban lot.</v>
      </c>
    </row>
    <row r="68" spans="1:27" ht="6.6" customHeight="1" x14ac:dyDescent="0.25">
      <c r="A68" s="72">
        <v>68</v>
      </c>
      <c r="B68" s="73" t="s">
        <v>1968</v>
      </c>
      <c r="C68" s="32" t="s">
        <v>1972</v>
      </c>
      <c r="D68" s="32" t="s">
        <v>1397</v>
      </c>
      <c r="E68" s="32" t="s">
        <v>1480</v>
      </c>
      <c r="F68" s="32" t="s">
        <v>57</v>
      </c>
      <c r="G68" s="79" t="s">
        <v>1</v>
      </c>
      <c r="H68" s="79" t="s">
        <v>1</v>
      </c>
      <c r="I68" s="79" t="s">
        <v>1</v>
      </c>
      <c r="J68" s="79" t="s">
        <v>1</v>
      </c>
      <c r="K68" s="79" t="str">
        <f>_xlfn.CONCAT("é.dentro.de some ",F67)</f>
        <v>é.dentro.de some Lote</v>
      </c>
      <c r="L68" s="80" t="str">
        <f t="shared" si="0"/>
        <v>Arquitetônicos</v>
      </c>
      <c r="M68" s="80" t="str">
        <f t="shared" si="15"/>
        <v>Prediais</v>
      </c>
      <c r="N68" s="80" t="str">
        <f t="shared" si="15"/>
        <v>Construídas</v>
      </c>
      <c r="O68" s="80" t="str">
        <f t="shared" si="15"/>
        <v>Prédio</v>
      </c>
      <c r="P68" s="80" t="s">
        <v>1560</v>
      </c>
      <c r="Q68" s="80" t="s">
        <v>1706</v>
      </c>
      <c r="R68" s="77" t="s">
        <v>1</v>
      </c>
      <c r="S68" s="77" t="str">
        <f t="shared" si="6"/>
        <v>Arquitetônicos</v>
      </c>
      <c r="T68" s="77" t="str">
        <f t="shared" si="6"/>
        <v>Prediais</v>
      </c>
      <c r="U68" s="77" t="str">
        <f t="shared" si="6"/>
        <v>Construídas</v>
      </c>
      <c r="V68" s="77" t="s">
        <v>1964</v>
      </c>
      <c r="W68" s="78" t="str">
        <f t="shared" si="17"/>
        <v>Key-BRASIL-68</v>
      </c>
      <c r="X68" s="77" t="s">
        <v>1829</v>
      </c>
      <c r="Y68" s="77" t="s">
        <v>1828</v>
      </c>
      <c r="Z68" s="81" t="s">
        <v>1</v>
      </c>
      <c r="AA68" s="77" t="str">
        <f t="shared" si="16"/>
        <v>Building.</v>
      </c>
    </row>
    <row r="69" spans="1:27" ht="6.6" customHeight="1" x14ac:dyDescent="0.25">
      <c r="A69" s="72">
        <v>69</v>
      </c>
      <c r="B69" s="73" t="s">
        <v>1968</v>
      </c>
      <c r="C69" s="32" t="s">
        <v>1972</v>
      </c>
      <c r="D69" s="32" t="s">
        <v>1397</v>
      </c>
      <c r="E69" s="32" t="s">
        <v>1480</v>
      </c>
      <c r="F69" s="32" t="s">
        <v>671</v>
      </c>
      <c r="G69" s="79" t="s">
        <v>1</v>
      </c>
      <c r="H69" s="79" t="s">
        <v>1</v>
      </c>
      <c r="I69" s="79" t="s">
        <v>1</v>
      </c>
      <c r="J69" s="79" t="s">
        <v>1</v>
      </c>
      <c r="K69" s="79" t="str">
        <f>_xlfn.CONCAT("é.dentro.de some ",F67)</f>
        <v>é.dentro.de some Lote</v>
      </c>
      <c r="L69" s="80" t="str">
        <f t="shared" si="0"/>
        <v>Arquitetônicos</v>
      </c>
      <c r="M69" s="80" t="str">
        <f t="shared" si="15"/>
        <v>Prediais</v>
      </c>
      <c r="N69" s="80" t="str">
        <f t="shared" si="15"/>
        <v>Construídas</v>
      </c>
      <c r="O69" s="80" t="str">
        <f t="shared" si="15"/>
        <v>Bloco</v>
      </c>
      <c r="P69" s="80" t="s">
        <v>1559</v>
      </c>
      <c r="Q69" s="80" t="s">
        <v>672</v>
      </c>
      <c r="R69" s="77" t="s">
        <v>1</v>
      </c>
      <c r="S69" s="77" t="str">
        <f t="shared" si="6"/>
        <v>Arquitetônicos</v>
      </c>
      <c r="T69" s="77" t="str">
        <f t="shared" si="6"/>
        <v>Prediais</v>
      </c>
      <c r="U69" s="77" t="str">
        <f t="shared" si="6"/>
        <v>Construídas</v>
      </c>
      <c r="V69" s="77" t="s">
        <v>1964</v>
      </c>
      <c r="W69" s="78" t="str">
        <f t="shared" si="17"/>
        <v>Key-BRASIL-69</v>
      </c>
      <c r="X69" s="77" t="s">
        <v>1829</v>
      </c>
      <c r="Y69" s="77" t="s">
        <v>1828</v>
      </c>
      <c r="Z69" s="81" t="s">
        <v>1</v>
      </c>
      <c r="AA69" s="77" t="str">
        <f t="shared" si="16"/>
        <v>Built block.</v>
      </c>
    </row>
    <row r="70" spans="1:27" ht="6.6" customHeight="1" x14ac:dyDescent="0.25">
      <c r="A70" s="72">
        <v>70</v>
      </c>
      <c r="B70" s="73" t="s">
        <v>1968</v>
      </c>
      <c r="C70" s="32" t="s">
        <v>1972</v>
      </c>
      <c r="D70" s="32" t="s">
        <v>1397</v>
      </c>
      <c r="E70" s="32" t="s">
        <v>1480</v>
      </c>
      <c r="F70" s="32" t="s">
        <v>673</v>
      </c>
      <c r="G70" s="79" t="s">
        <v>1</v>
      </c>
      <c r="H70" s="79" t="s">
        <v>1</v>
      </c>
      <c r="I70" s="79" t="s">
        <v>1</v>
      </c>
      <c r="J70" s="79" t="s">
        <v>1</v>
      </c>
      <c r="K70" s="79" t="str">
        <f>_xlfn.CONCAT("é.dentro.de some ",F67)</f>
        <v>é.dentro.de some Lote</v>
      </c>
      <c r="L70" s="80" t="str">
        <f t="shared" si="0"/>
        <v>Arquitetônicos</v>
      </c>
      <c r="M70" s="80" t="str">
        <f t="shared" si="15"/>
        <v>Prediais</v>
      </c>
      <c r="N70" s="80" t="str">
        <f t="shared" si="15"/>
        <v>Construídas</v>
      </c>
      <c r="O70" s="80" t="str">
        <f t="shared" si="15"/>
        <v>Edifício</v>
      </c>
      <c r="P70" s="80" t="s">
        <v>1562</v>
      </c>
      <c r="Q70" s="80" t="s">
        <v>674</v>
      </c>
      <c r="R70" s="77" t="s">
        <v>1</v>
      </c>
      <c r="S70" s="77" t="str">
        <f t="shared" si="6"/>
        <v>Arquitetônicos</v>
      </c>
      <c r="T70" s="77" t="str">
        <f t="shared" si="6"/>
        <v>Prediais</v>
      </c>
      <c r="U70" s="77" t="str">
        <f t="shared" si="6"/>
        <v>Construídas</v>
      </c>
      <c r="V70" s="77" t="s">
        <v>1964</v>
      </c>
      <c r="W70" s="78" t="str">
        <f t="shared" si="17"/>
        <v>Key-BRASIL-70</v>
      </c>
      <c r="X70" s="77" t="s">
        <v>1829</v>
      </c>
      <c r="Y70" s="77" t="s">
        <v>1828</v>
      </c>
      <c r="Z70" s="81" t="s">
        <v>1</v>
      </c>
      <c r="AA70" s="77" t="str">
        <f t="shared" si="16"/>
        <v>Building.</v>
      </c>
    </row>
    <row r="71" spans="1:27" ht="6.6" customHeight="1" x14ac:dyDescent="0.25">
      <c r="A71" s="72">
        <v>71</v>
      </c>
      <c r="B71" s="73" t="s">
        <v>1968</v>
      </c>
      <c r="C71" s="32" t="s">
        <v>1972</v>
      </c>
      <c r="D71" s="32" t="s">
        <v>1397</v>
      </c>
      <c r="E71" s="32" t="s">
        <v>1480</v>
      </c>
      <c r="F71" s="32" t="s">
        <v>675</v>
      </c>
      <c r="G71" s="79" t="s">
        <v>1</v>
      </c>
      <c r="H71" s="79" t="s">
        <v>1</v>
      </c>
      <c r="I71" s="79" t="s">
        <v>1</v>
      </c>
      <c r="J71" s="79" t="s">
        <v>1</v>
      </c>
      <c r="K71" s="79" t="str">
        <f>_xlfn.CONCAT("é.dentro.de some ",F66)</f>
        <v>é.dentro.de some Parcela</v>
      </c>
      <c r="L71" s="80" t="str">
        <f t="shared" si="0"/>
        <v>Arquitetônicos</v>
      </c>
      <c r="M71" s="80" t="str">
        <f t="shared" si="15"/>
        <v>Prediais</v>
      </c>
      <c r="N71" s="80" t="str">
        <f t="shared" si="15"/>
        <v>Construídas</v>
      </c>
      <c r="O71" s="80" t="str">
        <f t="shared" si="15"/>
        <v>Casa</v>
      </c>
      <c r="P71" s="80" t="s">
        <v>1565</v>
      </c>
      <c r="Q71" s="80" t="s">
        <v>675</v>
      </c>
      <c r="R71" s="77" t="s">
        <v>1</v>
      </c>
      <c r="S71" s="77" t="str">
        <f t="shared" si="6"/>
        <v>Arquitetônicos</v>
      </c>
      <c r="T71" s="77" t="str">
        <f t="shared" si="6"/>
        <v>Prediais</v>
      </c>
      <c r="U71" s="77" t="str">
        <f t="shared" si="6"/>
        <v>Construídas</v>
      </c>
      <c r="V71" s="77" t="s">
        <v>1964</v>
      </c>
      <c r="W71" s="78" t="str">
        <f t="shared" si="17"/>
        <v>Key-BRASIL-71</v>
      </c>
      <c r="X71" s="77" t="s">
        <v>1829</v>
      </c>
      <c r="Y71" s="77" t="s">
        <v>1828</v>
      </c>
      <c r="Z71" s="81" t="s">
        <v>1</v>
      </c>
      <c r="AA71" s="77" t="str">
        <f t="shared" si="16"/>
        <v>Home.</v>
      </c>
    </row>
    <row r="72" spans="1:27" ht="6.6" customHeight="1" x14ac:dyDescent="0.25">
      <c r="A72" s="72">
        <v>72</v>
      </c>
      <c r="B72" s="73" t="s">
        <v>1968</v>
      </c>
      <c r="C72" s="32" t="s">
        <v>1972</v>
      </c>
      <c r="D72" s="32" t="s">
        <v>1397</v>
      </c>
      <c r="E72" s="32" t="s">
        <v>1480</v>
      </c>
      <c r="F72" s="32" t="s">
        <v>676</v>
      </c>
      <c r="G72" s="79" t="s">
        <v>1</v>
      </c>
      <c r="H72" s="79" t="s">
        <v>1</v>
      </c>
      <c r="I72" s="79" t="s">
        <v>1</v>
      </c>
      <c r="J72" s="79" t="s">
        <v>1</v>
      </c>
      <c r="K72" s="79" t="str">
        <f>_xlfn.CONCAT("é.dentro.de some ",F67)</f>
        <v>é.dentro.de some Lote</v>
      </c>
      <c r="L72" s="80" t="str">
        <f t="shared" si="0"/>
        <v>Arquitetônicos</v>
      </c>
      <c r="M72" s="80" t="str">
        <f t="shared" si="15"/>
        <v>Prediais</v>
      </c>
      <c r="N72" s="80" t="str">
        <f t="shared" si="15"/>
        <v>Construídas</v>
      </c>
      <c r="O72" s="80" t="str">
        <f t="shared" si="15"/>
        <v>HIS</v>
      </c>
      <c r="P72" s="80" t="s">
        <v>1563</v>
      </c>
      <c r="Q72" s="80" t="s">
        <v>677</v>
      </c>
      <c r="R72" s="77" t="s">
        <v>1</v>
      </c>
      <c r="S72" s="77" t="str">
        <f t="shared" si="6"/>
        <v>Arquitetônicos</v>
      </c>
      <c r="T72" s="77" t="str">
        <f t="shared" si="6"/>
        <v>Prediais</v>
      </c>
      <c r="U72" s="77" t="str">
        <f t="shared" si="6"/>
        <v>Construídas</v>
      </c>
      <c r="V72" s="77" t="s">
        <v>1964</v>
      </c>
      <c r="W72" s="78" t="str">
        <f t="shared" si="17"/>
        <v>Key-BRASIL-72</v>
      </c>
      <c r="X72" s="77" t="s">
        <v>1829</v>
      </c>
      <c r="Y72" s="77" t="s">
        <v>1828</v>
      </c>
      <c r="Z72" s="81" t="s">
        <v>1</v>
      </c>
      <c r="AA72" s="77" t="str">
        <f t="shared" si="16"/>
        <v>Social Interest Housing.</v>
      </c>
    </row>
    <row r="73" spans="1:27" ht="6.6" customHeight="1" x14ac:dyDescent="0.25">
      <c r="A73" s="72">
        <v>73</v>
      </c>
      <c r="B73" s="73" t="s">
        <v>1968</v>
      </c>
      <c r="C73" s="32" t="s">
        <v>1972</v>
      </c>
      <c r="D73" s="32" t="s">
        <v>1397</v>
      </c>
      <c r="E73" s="32" t="s">
        <v>1480</v>
      </c>
      <c r="F73" s="32" t="s">
        <v>678</v>
      </c>
      <c r="G73" s="79" t="s">
        <v>1</v>
      </c>
      <c r="H73" s="79" t="s">
        <v>1</v>
      </c>
      <c r="I73" s="79" t="s">
        <v>1</v>
      </c>
      <c r="J73" s="79" t="s">
        <v>1</v>
      </c>
      <c r="K73" s="79" t="s">
        <v>679</v>
      </c>
      <c r="L73" s="80" t="str">
        <f t="shared" si="0"/>
        <v>Arquitetônicos</v>
      </c>
      <c r="M73" s="80" t="str">
        <f t="shared" si="15"/>
        <v>Prediais</v>
      </c>
      <c r="N73" s="80" t="str">
        <f t="shared" si="15"/>
        <v>Construídas</v>
      </c>
      <c r="O73" s="80" t="str">
        <f t="shared" si="15"/>
        <v>Galpão</v>
      </c>
      <c r="P73" s="80" t="s">
        <v>1566</v>
      </c>
      <c r="Q73" s="80" t="s">
        <v>680</v>
      </c>
      <c r="R73" s="77" t="s">
        <v>1</v>
      </c>
      <c r="S73" s="77" t="str">
        <f t="shared" si="6"/>
        <v>Arquitetônicos</v>
      </c>
      <c r="T73" s="77" t="str">
        <f t="shared" si="6"/>
        <v>Prediais</v>
      </c>
      <c r="U73" s="77" t="str">
        <f t="shared" si="6"/>
        <v>Construídas</v>
      </c>
      <c r="V73" s="77" t="s">
        <v>1964</v>
      </c>
      <c r="W73" s="78" t="str">
        <f t="shared" si="17"/>
        <v>Key-BRASIL-73</v>
      </c>
      <c r="X73" s="77" t="s">
        <v>1829</v>
      </c>
      <c r="Y73" s="77" t="s">
        <v>1828</v>
      </c>
      <c r="Z73" s="81" t="s">
        <v>1</v>
      </c>
      <c r="AA73" s="77" t="str">
        <f t="shared" si="16"/>
        <v>Shed.</v>
      </c>
    </row>
    <row r="74" spans="1:27" ht="6.6" customHeight="1" x14ac:dyDescent="0.25">
      <c r="A74" s="72">
        <v>74</v>
      </c>
      <c r="B74" s="73" t="s">
        <v>1968</v>
      </c>
      <c r="C74" s="32" t="s">
        <v>1972</v>
      </c>
      <c r="D74" s="32" t="s">
        <v>1397</v>
      </c>
      <c r="E74" s="32" t="s">
        <v>1480</v>
      </c>
      <c r="F74" s="32" t="s">
        <v>681</v>
      </c>
      <c r="G74" s="79" t="s">
        <v>1</v>
      </c>
      <c r="H74" s="79" t="s">
        <v>1</v>
      </c>
      <c r="I74" s="79" t="s">
        <v>1</v>
      </c>
      <c r="J74" s="79" t="s">
        <v>1</v>
      </c>
      <c r="K74" s="79" t="s">
        <v>679</v>
      </c>
      <c r="L74" s="80" t="str">
        <f t="shared" si="0"/>
        <v>Arquitetônicos</v>
      </c>
      <c r="M74" s="80" t="str">
        <f t="shared" ref="M74:O89" si="18">_xlfn.CONCAT(SUBSTITUTE(D74,"."," "))</f>
        <v>Prediais</v>
      </c>
      <c r="N74" s="80" t="str">
        <f t="shared" si="18"/>
        <v>Construídas</v>
      </c>
      <c r="O74" s="80" t="str">
        <f t="shared" si="18"/>
        <v>Edícula</v>
      </c>
      <c r="P74" s="80" t="s">
        <v>1564</v>
      </c>
      <c r="Q74" s="80" t="s">
        <v>681</v>
      </c>
      <c r="R74" s="77" t="s">
        <v>1</v>
      </c>
      <c r="S74" s="77" t="str">
        <f t="shared" si="6"/>
        <v>Arquitetônicos</v>
      </c>
      <c r="T74" s="77" t="str">
        <f t="shared" si="6"/>
        <v>Prediais</v>
      </c>
      <c r="U74" s="77" t="str">
        <f t="shared" si="6"/>
        <v>Construídas</v>
      </c>
      <c r="V74" s="77" t="s">
        <v>1964</v>
      </c>
      <c r="W74" s="78" t="str">
        <f t="shared" si="17"/>
        <v>Key-BRASIL-74</v>
      </c>
      <c r="X74" s="77" t="s">
        <v>1829</v>
      </c>
      <c r="Y74" s="77" t="s">
        <v>1885</v>
      </c>
      <c r="Z74" s="81" t="s">
        <v>1</v>
      </c>
      <c r="AA74" s="77" t="str">
        <f t="shared" si="16"/>
        <v>Edicule.</v>
      </c>
    </row>
    <row r="75" spans="1:27" ht="6.6" customHeight="1" x14ac:dyDescent="0.25">
      <c r="A75" s="72">
        <v>75</v>
      </c>
      <c r="B75" s="73" t="s">
        <v>1968</v>
      </c>
      <c r="C75" s="32" t="s">
        <v>1972</v>
      </c>
      <c r="D75" s="32" t="s">
        <v>1398</v>
      </c>
      <c r="E75" s="32" t="s">
        <v>1481</v>
      </c>
      <c r="F75" s="32" t="s">
        <v>682</v>
      </c>
      <c r="G75" s="79" t="s">
        <v>1</v>
      </c>
      <c r="H75" s="79" t="s">
        <v>1</v>
      </c>
      <c r="I75" s="79" t="str">
        <f>_xlfn.CONCAT("é.nomeado some ",D75)</f>
        <v>é.nomeado some Funcionais</v>
      </c>
      <c r="J75" s="79" t="s">
        <v>1</v>
      </c>
      <c r="K75" s="79" t="s">
        <v>683</v>
      </c>
      <c r="L75" s="80" t="str">
        <f t="shared" si="0"/>
        <v>Arquitetônicos</v>
      </c>
      <c r="M75" s="80" t="str">
        <f t="shared" si="18"/>
        <v>Funcionais</v>
      </c>
      <c r="N75" s="80" t="str">
        <f t="shared" si="18"/>
        <v>Organizativas</v>
      </c>
      <c r="O75" s="80" t="str">
        <f t="shared" si="18"/>
        <v>Unidade</v>
      </c>
      <c r="P75" s="80" t="s">
        <v>1567</v>
      </c>
      <c r="Q75" s="80" t="s">
        <v>684</v>
      </c>
      <c r="R75" s="77" t="s">
        <v>1</v>
      </c>
      <c r="S75" s="77" t="str">
        <f t="shared" si="6"/>
        <v>Arquitetônicos</v>
      </c>
      <c r="T75" s="77" t="str">
        <f t="shared" si="6"/>
        <v>Funcionais</v>
      </c>
      <c r="U75" s="77" t="str">
        <f t="shared" si="6"/>
        <v>Organizativas</v>
      </c>
      <c r="V75" s="77" t="s">
        <v>1964</v>
      </c>
      <c r="W75" s="78" t="str">
        <f t="shared" si="17"/>
        <v>Key-BRASIL-75</v>
      </c>
      <c r="X75" s="77" t="s">
        <v>1829</v>
      </c>
      <c r="Y75" s="77" t="s">
        <v>1885</v>
      </c>
      <c r="Z75" s="81" t="s">
        <v>1</v>
      </c>
      <c r="AA75" s="77" t="str">
        <f t="shared" si="16"/>
        <v>Unity.</v>
      </c>
    </row>
    <row r="76" spans="1:27" ht="6.6" customHeight="1" x14ac:dyDescent="0.25">
      <c r="A76" s="72">
        <v>76</v>
      </c>
      <c r="B76" s="73" t="s">
        <v>1968</v>
      </c>
      <c r="C76" s="32" t="s">
        <v>1972</v>
      </c>
      <c r="D76" s="32" t="s">
        <v>1398</v>
      </c>
      <c r="E76" s="32" t="s">
        <v>1481</v>
      </c>
      <c r="F76" s="32" t="s">
        <v>1399</v>
      </c>
      <c r="G76" s="79" t="s">
        <v>1</v>
      </c>
      <c r="H76" s="79" t="s">
        <v>1</v>
      </c>
      <c r="I76" s="79" t="s">
        <v>1</v>
      </c>
      <c r="J76" s="79" t="s">
        <v>1</v>
      </c>
      <c r="K76" s="79" t="s">
        <v>683</v>
      </c>
      <c r="L76" s="80" t="str">
        <f t="shared" si="0"/>
        <v>Arquitetônicos</v>
      </c>
      <c r="M76" s="80" t="str">
        <f t="shared" si="18"/>
        <v>Funcionais</v>
      </c>
      <c r="N76" s="80" t="str">
        <f t="shared" si="18"/>
        <v>Organizativas</v>
      </c>
      <c r="O76" s="80" t="str">
        <f t="shared" si="18"/>
        <v>Setor Urbano</v>
      </c>
      <c r="P76" s="80" t="s">
        <v>1572</v>
      </c>
      <c r="Q76" s="80" t="s">
        <v>685</v>
      </c>
      <c r="R76" s="77" t="s">
        <v>1</v>
      </c>
      <c r="S76" s="77" t="str">
        <f t="shared" si="6"/>
        <v>Arquitetônicos</v>
      </c>
      <c r="T76" s="77" t="str">
        <f t="shared" si="6"/>
        <v>Funcionais</v>
      </c>
      <c r="U76" s="77" t="str">
        <f t="shared" si="6"/>
        <v>Organizativas</v>
      </c>
      <c r="V76" s="77" t="s">
        <v>1964</v>
      </c>
      <c r="W76" s="78" t="str">
        <f t="shared" si="17"/>
        <v>Key-BRASIL-76</v>
      </c>
      <c r="X76" s="77" t="s">
        <v>1841</v>
      </c>
      <c r="Y76" s="77" t="s">
        <v>1885</v>
      </c>
      <c r="Z76" s="81" t="s">
        <v>1</v>
      </c>
      <c r="AA76" s="77" t="str">
        <f t="shared" si="16"/>
        <v>Sector.</v>
      </c>
    </row>
    <row r="77" spans="1:27" ht="6.6" customHeight="1" x14ac:dyDescent="0.25">
      <c r="A77" s="72">
        <v>77</v>
      </c>
      <c r="B77" s="73" t="s">
        <v>1968</v>
      </c>
      <c r="C77" s="32" t="s">
        <v>1972</v>
      </c>
      <c r="D77" s="32" t="s">
        <v>1398</v>
      </c>
      <c r="E77" s="32" t="s">
        <v>1481</v>
      </c>
      <c r="F77" s="32" t="s">
        <v>686</v>
      </c>
      <c r="G77" s="79" t="s">
        <v>1</v>
      </c>
      <c r="H77" s="79" t="s">
        <v>1</v>
      </c>
      <c r="I77" s="79" t="s">
        <v>1</v>
      </c>
      <c r="J77" s="79" t="s">
        <v>1</v>
      </c>
      <c r="K77" s="79" t="s">
        <v>683</v>
      </c>
      <c r="L77" s="80" t="str">
        <f t="shared" si="0"/>
        <v>Arquitetônicos</v>
      </c>
      <c r="M77" s="80" t="str">
        <f t="shared" si="18"/>
        <v>Funcionais</v>
      </c>
      <c r="N77" s="80" t="str">
        <f t="shared" si="18"/>
        <v>Organizativas</v>
      </c>
      <c r="O77" s="80" t="str">
        <f t="shared" si="18"/>
        <v>Divisão</v>
      </c>
      <c r="P77" s="80" t="s">
        <v>1568</v>
      </c>
      <c r="Q77" s="80" t="s">
        <v>687</v>
      </c>
      <c r="R77" s="77" t="s">
        <v>1</v>
      </c>
      <c r="S77" s="77" t="str">
        <f t="shared" si="6"/>
        <v>Arquitetônicos</v>
      </c>
      <c r="T77" s="77" t="str">
        <f t="shared" si="6"/>
        <v>Funcionais</v>
      </c>
      <c r="U77" s="77" t="str">
        <f t="shared" si="6"/>
        <v>Organizativas</v>
      </c>
      <c r="V77" s="77" t="s">
        <v>1964</v>
      </c>
      <c r="W77" s="78" t="str">
        <f t="shared" si="17"/>
        <v>Key-BRASIL-77</v>
      </c>
      <c r="X77" s="77" t="s">
        <v>1841</v>
      </c>
      <c r="Y77" s="77" t="s">
        <v>1885</v>
      </c>
      <c r="Z77" s="81" t="s">
        <v>1</v>
      </c>
      <c r="AA77" s="77" t="str">
        <f t="shared" si="16"/>
        <v>Division.</v>
      </c>
    </row>
    <row r="78" spans="1:27" ht="6.6" customHeight="1" x14ac:dyDescent="0.25">
      <c r="A78" s="72">
        <v>78</v>
      </c>
      <c r="B78" s="73" t="s">
        <v>1968</v>
      </c>
      <c r="C78" s="32" t="s">
        <v>1972</v>
      </c>
      <c r="D78" s="32" t="s">
        <v>1398</v>
      </c>
      <c r="E78" s="32" t="s">
        <v>1481</v>
      </c>
      <c r="F78" s="32" t="s">
        <v>688</v>
      </c>
      <c r="G78" s="79" t="s">
        <v>1</v>
      </c>
      <c r="H78" s="79" t="s">
        <v>1</v>
      </c>
      <c r="I78" s="79" t="s">
        <v>1</v>
      </c>
      <c r="J78" s="79" t="s">
        <v>1</v>
      </c>
      <c r="K78" s="79" t="s">
        <v>683</v>
      </c>
      <c r="L78" s="80" t="str">
        <f t="shared" si="0"/>
        <v>Arquitetônicos</v>
      </c>
      <c r="M78" s="80" t="str">
        <f t="shared" si="18"/>
        <v>Funcionais</v>
      </c>
      <c r="N78" s="80" t="str">
        <f t="shared" si="18"/>
        <v>Organizativas</v>
      </c>
      <c r="O78" s="80" t="str">
        <f t="shared" si="18"/>
        <v>Departamento</v>
      </c>
      <c r="P78" s="80" t="s">
        <v>688</v>
      </c>
      <c r="Q78" s="80" t="s">
        <v>688</v>
      </c>
      <c r="R78" s="77" t="s">
        <v>1</v>
      </c>
      <c r="S78" s="77" t="str">
        <f t="shared" si="6"/>
        <v>Arquitetônicos</v>
      </c>
      <c r="T78" s="77" t="str">
        <f t="shared" si="6"/>
        <v>Funcionais</v>
      </c>
      <c r="U78" s="77" t="str">
        <f t="shared" si="6"/>
        <v>Organizativas</v>
      </c>
      <c r="V78" s="77" t="s">
        <v>1964</v>
      </c>
      <c r="W78" s="78" t="str">
        <f t="shared" si="17"/>
        <v>Key-BRASIL-78</v>
      </c>
      <c r="X78" s="77" t="s">
        <v>1841</v>
      </c>
      <c r="Y78" s="77" t="s">
        <v>1886</v>
      </c>
      <c r="Z78" s="81" t="s">
        <v>1</v>
      </c>
      <c r="AA78" s="77" t="str">
        <f t="shared" si="16"/>
        <v>Department</v>
      </c>
    </row>
    <row r="79" spans="1:27" ht="6.6" customHeight="1" x14ac:dyDescent="0.25">
      <c r="A79" s="72">
        <v>79</v>
      </c>
      <c r="B79" s="73" t="s">
        <v>1968</v>
      </c>
      <c r="C79" s="32" t="s">
        <v>1972</v>
      </c>
      <c r="D79" s="32" t="s">
        <v>1398</v>
      </c>
      <c r="E79" s="32" t="s">
        <v>1400</v>
      </c>
      <c r="F79" s="32" t="s">
        <v>689</v>
      </c>
      <c r="G79" s="79" t="s">
        <v>1</v>
      </c>
      <c r="H79" s="79" t="s">
        <v>1</v>
      </c>
      <c r="I79" s="79" t="s">
        <v>1</v>
      </c>
      <c r="J79" s="79" t="s">
        <v>1</v>
      </c>
      <c r="K79" s="79" t="s">
        <v>683</v>
      </c>
      <c r="L79" s="80" t="str">
        <f t="shared" si="0"/>
        <v>Arquitetônicos</v>
      </c>
      <c r="M79" s="80" t="str">
        <f t="shared" si="18"/>
        <v>Funcionais</v>
      </c>
      <c r="N79" s="80" t="str">
        <f t="shared" si="18"/>
        <v>Distribuição</v>
      </c>
      <c r="O79" s="80" t="str">
        <f t="shared" si="18"/>
        <v>Ambiente</v>
      </c>
      <c r="P79" s="80" t="s">
        <v>1569</v>
      </c>
      <c r="Q79" s="80" t="s">
        <v>689</v>
      </c>
      <c r="R79" s="77" t="s">
        <v>1</v>
      </c>
      <c r="S79" s="77" t="str">
        <f t="shared" si="6"/>
        <v>Arquitetônicos</v>
      </c>
      <c r="T79" s="77" t="str">
        <f t="shared" si="6"/>
        <v>Funcionais</v>
      </c>
      <c r="U79" s="77" t="str">
        <f t="shared" si="6"/>
        <v>Distribuição</v>
      </c>
      <c r="V79" s="77" t="s">
        <v>1964</v>
      </c>
      <c r="W79" s="78" t="str">
        <f t="shared" si="17"/>
        <v>Key-BRASIL-79</v>
      </c>
      <c r="X79" s="77" t="s">
        <v>1842</v>
      </c>
      <c r="Y79" s="77" t="s">
        <v>1885</v>
      </c>
      <c r="Z79" s="81" t="s">
        <v>1</v>
      </c>
      <c r="AA79" s="77" t="str">
        <f t="shared" si="16"/>
        <v>Environment.</v>
      </c>
    </row>
    <row r="80" spans="1:27" ht="6.6" customHeight="1" x14ac:dyDescent="0.25">
      <c r="A80" s="72">
        <v>80</v>
      </c>
      <c r="B80" s="73" t="s">
        <v>1968</v>
      </c>
      <c r="C80" s="32" t="s">
        <v>1972</v>
      </c>
      <c r="D80" s="32" t="s">
        <v>1398</v>
      </c>
      <c r="E80" s="32" t="s">
        <v>1400</v>
      </c>
      <c r="F80" s="32" t="s">
        <v>690</v>
      </c>
      <c r="G80" s="79" t="s">
        <v>1</v>
      </c>
      <c r="H80" s="79" t="s">
        <v>1</v>
      </c>
      <c r="I80" s="79" t="s">
        <v>1</v>
      </c>
      <c r="J80" s="79" t="s">
        <v>1</v>
      </c>
      <c r="K80" s="79" t="s">
        <v>683</v>
      </c>
      <c r="L80" s="80" t="str">
        <f t="shared" si="0"/>
        <v>Arquitetônicos</v>
      </c>
      <c r="M80" s="80" t="str">
        <f t="shared" si="18"/>
        <v>Funcionais</v>
      </c>
      <c r="N80" s="80" t="str">
        <f t="shared" si="18"/>
        <v>Distribuição</v>
      </c>
      <c r="O80" s="80" t="str">
        <f t="shared" si="18"/>
        <v>Apartamento</v>
      </c>
      <c r="P80" s="80" t="s">
        <v>690</v>
      </c>
      <c r="Q80" s="80" t="s">
        <v>690</v>
      </c>
      <c r="R80" s="77" t="s">
        <v>1</v>
      </c>
      <c r="S80" s="77" t="str">
        <f t="shared" si="6"/>
        <v>Arquitetônicos</v>
      </c>
      <c r="T80" s="77" t="str">
        <f t="shared" si="6"/>
        <v>Funcionais</v>
      </c>
      <c r="U80" s="77" t="str">
        <f t="shared" si="6"/>
        <v>Distribuição</v>
      </c>
      <c r="V80" s="77" t="s">
        <v>1964</v>
      </c>
      <c r="W80" s="78" t="str">
        <f t="shared" si="17"/>
        <v>Key-BRASIL-80</v>
      </c>
      <c r="X80" s="77" t="s">
        <v>1841</v>
      </c>
      <c r="Y80" s="77" t="s">
        <v>1885</v>
      </c>
      <c r="Z80" s="81" t="s">
        <v>1</v>
      </c>
      <c r="AA80" s="77" t="str">
        <f t="shared" si="16"/>
        <v>Apartment</v>
      </c>
    </row>
    <row r="81" spans="1:27" ht="6.6" customHeight="1" x14ac:dyDescent="0.25">
      <c r="A81" s="72">
        <v>81</v>
      </c>
      <c r="B81" s="73" t="s">
        <v>1968</v>
      </c>
      <c r="C81" s="32" t="s">
        <v>1972</v>
      </c>
      <c r="D81" s="32" t="s">
        <v>1398</v>
      </c>
      <c r="E81" s="32" t="s">
        <v>1400</v>
      </c>
      <c r="F81" s="32" t="s">
        <v>691</v>
      </c>
      <c r="G81" s="79" t="s">
        <v>1</v>
      </c>
      <c r="H81" s="79" t="s">
        <v>1</v>
      </c>
      <c r="I81" s="79" t="s">
        <v>1</v>
      </c>
      <c r="J81" s="79" t="s">
        <v>1</v>
      </c>
      <c r="K81" s="79" t="s">
        <v>683</v>
      </c>
      <c r="L81" s="80" t="str">
        <f t="shared" si="0"/>
        <v>Arquitetônicos</v>
      </c>
      <c r="M81" s="80" t="str">
        <f t="shared" si="18"/>
        <v>Funcionais</v>
      </c>
      <c r="N81" s="80" t="str">
        <f t="shared" si="18"/>
        <v>Distribuição</v>
      </c>
      <c r="O81" s="80" t="str">
        <f t="shared" si="18"/>
        <v>Núcleo de Circulação</v>
      </c>
      <c r="P81" s="80" t="s">
        <v>1570</v>
      </c>
      <c r="Q81" s="80" t="s">
        <v>692</v>
      </c>
      <c r="R81" s="77" t="s">
        <v>1</v>
      </c>
      <c r="S81" s="77" t="str">
        <f t="shared" si="6"/>
        <v>Arquitetônicos</v>
      </c>
      <c r="T81" s="77" t="str">
        <f t="shared" si="6"/>
        <v>Funcionais</v>
      </c>
      <c r="U81" s="77" t="str">
        <f t="shared" si="6"/>
        <v>Distribuição</v>
      </c>
      <c r="V81" s="77" t="s">
        <v>1964</v>
      </c>
      <c r="W81" s="78" t="str">
        <f t="shared" si="17"/>
        <v>Key-BRASIL-81</v>
      </c>
      <c r="X81" s="77" t="s">
        <v>1841</v>
      </c>
      <c r="Y81" s="77" t="s">
        <v>1887</v>
      </c>
      <c r="Z81" s="81" t="s">
        <v>1</v>
      </c>
      <c r="AA81" s="77" t="str">
        <f t="shared" si="16"/>
        <v>Circulation Center.</v>
      </c>
    </row>
    <row r="82" spans="1:27" ht="6.6" customHeight="1" x14ac:dyDescent="0.25">
      <c r="A82" s="72">
        <v>82</v>
      </c>
      <c r="B82" s="73" t="s">
        <v>1968</v>
      </c>
      <c r="C82" s="32" t="s">
        <v>1998</v>
      </c>
      <c r="D82" s="32" t="s">
        <v>1999</v>
      </c>
      <c r="E82" s="32" t="s">
        <v>693</v>
      </c>
      <c r="F82" s="32" t="s">
        <v>694</v>
      </c>
      <c r="G82" s="79" t="s">
        <v>1</v>
      </c>
      <c r="H82" s="79" t="s">
        <v>1</v>
      </c>
      <c r="I82" s="79" t="s">
        <v>1</v>
      </c>
      <c r="J82" s="79" t="s">
        <v>1</v>
      </c>
      <c r="K82" s="79" t="s">
        <v>1</v>
      </c>
      <c r="L82" s="80" t="str">
        <f t="shared" si="0"/>
        <v>Institucionais</v>
      </c>
      <c r="M82" s="80" t="str">
        <f t="shared" si="18"/>
        <v>Serviços Públicos</v>
      </c>
      <c r="N82" s="80" t="str">
        <f t="shared" si="18"/>
        <v>Saúde</v>
      </c>
      <c r="O82" s="80" t="str">
        <f t="shared" si="18"/>
        <v>Hospital Federal</v>
      </c>
      <c r="P82" s="80" t="s">
        <v>1573</v>
      </c>
      <c r="Q82" s="80" t="s">
        <v>695</v>
      </c>
      <c r="R82" s="77" t="s">
        <v>1</v>
      </c>
      <c r="S82" s="77" t="str">
        <f t="shared" si="6"/>
        <v>Institucionais</v>
      </c>
      <c r="T82" s="77" t="str">
        <f t="shared" si="6"/>
        <v>Serviços Públicos</v>
      </c>
      <c r="U82" s="77" t="str">
        <f t="shared" si="6"/>
        <v>Saúde</v>
      </c>
      <c r="V82" s="77" t="s">
        <v>1964</v>
      </c>
      <c r="W82" s="78" t="str">
        <f t="shared" si="17"/>
        <v>Key-BRASIL-82</v>
      </c>
      <c r="X82" s="77" t="s">
        <v>1843</v>
      </c>
      <c r="Y82" s="77" t="s">
        <v>1887</v>
      </c>
      <c r="Z82" s="81" t="s">
        <v>1</v>
      </c>
      <c r="AA82" s="77" t="str">
        <f t="shared" si="16"/>
        <v>National Hospital.</v>
      </c>
    </row>
    <row r="83" spans="1:27" ht="6.6" customHeight="1" x14ac:dyDescent="0.25">
      <c r="A83" s="72">
        <v>83</v>
      </c>
      <c r="B83" s="73" t="s">
        <v>1968</v>
      </c>
      <c r="C83" s="32" t="s">
        <v>1998</v>
      </c>
      <c r="D83" s="32" t="s">
        <v>1999</v>
      </c>
      <c r="E83" s="32" t="s">
        <v>693</v>
      </c>
      <c r="F83" s="32" t="s">
        <v>696</v>
      </c>
      <c r="G83" s="79" t="s">
        <v>1</v>
      </c>
      <c r="H83" s="79" t="s">
        <v>1</v>
      </c>
      <c r="I83" s="79" t="s">
        <v>1</v>
      </c>
      <c r="J83" s="79" t="s">
        <v>1</v>
      </c>
      <c r="K83" s="79" t="s">
        <v>1</v>
      </c>
      <c r="L83" s="80" t="str">
        <f t="shared" si="0"/>
        <v>Institucionais</v>
      </c>
      <c r="M83" s="80" t="str">
        <f t="shared" si="18"/>
        <v>Serviços Públicos</v>
      </c>
      <c r="N83" s="80" t="str">
        <f t="shared" si="18"/>
        <v>Saúde</v>
      </c>
      <c r="O83" s="80" t="str">
        <f t="shared" si="18"/>
        <v>Hospital Estadual</v>
      </c>
      <c r="P83" s="80" t="s">
        <v>1571</v>
      </c>
      <c r="Q83" s="80" t="s">
        <v>697</v>
      </c>
      <c r="R83" s="77" t="s">
        <v>1</v>
      </c>
      <c r="S83" s="77" t="str">
        <f t="shared" si="6"/>
        <v>Institucionais</v>
      </c>
      <c r="T83" s="77" t="str">
        <f t="shared" si="6"/>
        <v>Serviços Públicos</v>
      </c>
      <c r="U83" s="77" t="str">
        <f t="shared" si="6"/>
        <v>Saúde</v>
      </c>
      <c r="V83" s="77" t="s">
        <v>1964</v>
      </c>
      <c r="W83" s="78" t="str">
        <f t="shared" si="17"/>
        <v>Key-BRASIL-83</v>
      </c>
      <c r="X83" s="77" t="s">
        <v>1843</v>
      </c>
      <c r="Y83" s="77" t="s">
        <v>1887</v>
      </c>
      <c r="Z83" s="81" t="s">
        <v>1</v>
      </c>
      <c r="AA83" s="77" t="str">
        <f t="shared" si="16"/>
        <v>State Hospital.</v>
      </c>
    </row>
    <row r="84" spans="1:27" ht="6.6" customHeight="1" x14ac:dyDescent="0.25">
      <c r="A84" s="72">
        <v>84</v>
      </c>
      <c r="B84" s="73" t="s">
        <v>1968</v>
      </c>
      <c r="C84" s="32" t="s">
        <v>1998</v>
      </c>
      <c r="D84" s="32" t="s">
        <v>1999</v>
      </c>
      <c r="E84" s="32" t="s">
        <v>693</v>
      </c>
      <c r="F84" s="32" t="s">
        <v>698</v>
      </c>
      <c r="G84" s="79" t="s">
        <v>1</v>
      </c>
      <c r="H84" s="79" t="s">
        <v>1</v>
      </c>
      <c r="I84" s="79" t="s">
        <v>1</v>
      </c>
      <c r="J84" s="79" t="s">
        <v>1</v>
      </c>
      <c r="K84" s="79" t="s">
        <v>1</v>
      </c>
      <c r="L84" s="80" t="str">
        <f t="shared" si="0"/>
        <v>Institucionais</v>
      </c>
      <c r="M84" s="80" t="str">
        <f t="shared" si="18"/>
        <v>Serviços Públicos</v>
      </c>
      <c r="N84" s="80" t="str">
        <f t="shared" si="18"/>
        <v>Saúde</v>
      </c>
      <c r="O84" s="80" t="str">
        <f t="shared" si="18"/>
        <v>Hospital Municipal</v>
      </c>
      <c r="P84" s="80" t="s">
        <v>1575</v>
      </c>
      <c r="Q84" s="80" t="s">
        <v>699</v>
      </c>
      <c r="R84" s="77" t="s">
        <v>1</v>
      </c>
      <c r="S84" s="77" t="str">
        <f t="shared" si="6"/>
        <v>Institucionais</v>
      </c>
      <c r="T84" s="77" t="str">
        <f t="shared" si="6"/>
        <v>Serviços Públicos</v>
      </c>
      <c r="U84" s="77" t="str">
        <f t="shared" si="6"/>
        <v>Saúde</v>
      </c>
      <c r="V84" s="77" t="s">
        <v>1964</v>
      </c>
      <c r="W84" s="78" t="str">
        <f t="shared" si="17"/>
        <v>Key-BRASIL-84</v>
      </c>
      <c r="X84" s="77" t="s">
        <v>1843</v>
      </c>
      <c r="Y84" s="77" t="s">
        <v>1887</v>
      </c>
      <c r="Z84" s="81" t="s">
        <v>1</v>
      </c>
      <c r="AA84" s="77" t="str">
        <f t="shared" si="16"/>
        <v>Municipal Hospital.</v>
      </c>
    </row>
    <row r="85" spans="1:27" ht="6.6" customHeight="1" x14ac:dyDescent="0.25">
      <c r="A85" s="72">
        <v>85</v>
      </c>
      <c r="B85" s="73" t="s">
        <v>1968</v>
      </c>
      <c r="C85" s="32" t="s">
        <v>1998</v>
      </c>
      <c r="D85" s="32" t="s">
        <v>1999</v>
      </c>
      <c r="E85" s="32" t="s">
        <v>693</v>
      </c>
      <c r="F85" s="32" t="s">
        <v>700</v>
      </c>
      <c r="G85" s="79" t="s">
        <v>1</v>
      </c>
      <c r="H85" s="79" t="s">
        <v>1</v>
      </c>
      <c r="I85" s="79" t="s">
        <v>1</v>
      </c>
      <c r="J85" s="79" t="s">
        <v>1</v>
      </c>
      <c r="K85" s="79" t="s">
        <v>1</v>
      </c>
      <c r="L85" s="80" t="str">
        <f t="shared" si="0"/>
        <v>Institucionais</v>
      </c>
      <c r="M85" s="80" t="str">
        <f t="shared" si="18"/>
        <v>Serviços Públicos</v>
      </c>
      <c r="N85" s="80" t="str">
        <f t="shared" si="18"/>
        <v>Saúde</v>
      </c>
      <c r="O85" s="80" t="str">
        <f t="shared" si="18"/>
        <v>UBS</v>
      </c>
      <c r="P85" s="80" t="s">
        <v>701</v>
      </c>
      <c r="Q85" s="80" t="s">
        <v>702</v>
      </c>
      <c r="R85" s="77" t="s">
        <v>1</v>
      </c>
      <c r="S85" s="77" t="str">
        <f t="shared" si="6"/>
        <v>Institucionais</v>
      </c>
      <c r="T85" s="77" t="str">
        <f t="shared" si="6"/>
        <v>Serviços Públicos</v>
      </c>
      <c r="U85" s="77" t="str">
        <f t="shared" si="6"/>
        <v>Saúde</v>
      </c>
      <c r="V85" s="77" t="s">
        <v>1964</v>
      </c>
      <c r="W85" s="78" t="str">
        <f t="shared" si="17"/>
        <v>Key-BRASIL-85</v>
      </c>
      <c r="X85" s="77" t="s">
        <v>1843</v>
      </c>
      <c r="Y85" s="77" t="s">
        <v>1887</v>
      </c>
      <c r="Z85" s="81" t="s">
        <v>1</v>
      </c>
      <c r="AA85" s="77" t="str">
        <f t="shared" si="16"/>
        <v>UBS Basic Health Unit. Primary and preventive health care offered by the SUS.</v>
      </c>
    </row>
    <row r="86" spans="1:27" ht="6.6" customHeight="1" x14ac:dyDescent="0.25">
      <c r="A86" s="72">
        <v>86</v>
      </c>
      <c r="B86" s="73" t="s">
        <v>1968</v>
      </c>
      <c r="C86" s="32" t="s">
        <v>1998</v>
      </c>
      <c r="D86" s="32" t="s">
        <v>1999</v>
      </c>
      <c r="E86" s="32" t="s">
        <v>693</v>
      </c>
      <c r="F86" s="32" t="s">
        <v>703</v>
      </c>
      <c r="G86" s="79" t="s">
        <v>1</v>
      </c>
      <c r="H86" s="79" t="s">
        <v>1</v>
      </c>
      <c r="I86" s="79" t="s">
        <v>1</v>
      </c>
      <c r="J86" s="79" t="s">
        <v>1</v>
      </c>
      <c r="K86" s="79" t="s">
        <v>1</v>
      </c>
      <c r="L86" s="80" t="str">
        <f t="shared" si="0"/>
        <v>Institucionais</v>
      </c>
      <c r="M86" s="80" t="str">
        <f t="shared" si="18"/>
        <v>Serviços Públicos</v>
      </c>
      <c r="N86" s="80" t="str">
        <f t="shared" si="18"/>
        <v>Saúde</v>
      </c>
      <c r="O86" s="80" t="str">
        <f t="shared" si="18"/>
        <v>UPA</v>
      </c>
      <c r="P86" s="80" t="s">
        <v>704</v>
      </c>
      <c r="Q86" s="80" t="s">
        <v>705</v>
      </c>
      <c r="R86" s="77" t="s">
        <v>1</v>
      </c>
      <c r="S86" s="77" t="str">
        <f t="shared" si="6"/>
        <v>Institucionais</v>
      </c>
      <c r="T86" s="77" t="str">
        <f t="shared" si="6"/>
        <v>Serviços Públicos</v>
      </c>
      <c r="U86" s="77" t="str">
        <f t="shared" si="6"/>
        <v>Saúde</v>
      </c>
      <c r="V86" s="77" t="s">
        <v>1964</v>
      </c>
      <c r="W86" s="78" t="str">
        <f t="shared" si="17"/>
        <v>Key-BRASIL-86</v>
      </c>
      <c r="X86" s="77" t="s">
        <v>1843</v>
      </c>
      <c r="Y86" s="77" t="s">
        <v>1887</v>
      </c>
      <c r="Z86" s="81" t="s">
        <v>1</v>
      </c>
      <c r="AA86" s="77" t="str">
        <f t="shared" si="16"/>
        <v>UPA Emergency Health Care Unit. Urgencies and emergencies 24x7.</v>
      </c>
    </row>
    <row r="87" spans="1:27" ht="6.6" customHeight="1" x14ac:dyDescent="0.25">
      <c r="A87" s="72">
        <v>87</v>
      </c>
      <c r="B87" s="73" t="s">
        <v>1968</v>
      </c>
      <c r="C87" s="32" t="s">
        <v>1998</v>
      </c>
      <c r="D87" s="32" t="s">
        <v>1999</v>
      </c>
      <c r="E87" s="32" t="s">
        <v>1401</v>
      </c>
      <c r="F87" s="32" t="s">
        <v>706</v>
      </c>
      <c r="G87" s="79" t="s">
        <v>1</v>
      </c>
      <c r="H87" s="79" t="s">
        <v>1</v>
      </c>
      <c r="I87" s="79" t="s">
        <v>1</v>
      </c>
      <c r="J87" s="79" t="s">
        <v>1</v>
      </c>
      <c r="K87" s="79" t="s">
        <v>1</v>
      </c>
      <c r="L87" s="80" t="str">
        <f t="shared" si="0"/>
        <v>Institucionais</v>
      </c>
      <c r="M87" s="80" t="str">
        <f t="shared" si="18"/>
        <v>Serviços Públicos</v>
      </c>
      <c r="N87" s="80" t="str">
        <f t="shared" si="18"/>
        <v>Educacionais</v>
      </c>
      <c r="O87" s="80" t="str">
        <f t="shared" si="18"/>
        <v>Universidade Federal</v>
      </c>
      <c r="P87" s="80" t="s">
        <v>1574</v>
      </c>
      <c r="Q87" s="80" t="s">
        <v>707</v>
      </c>
      <c r="R87" s="77" t="s">
        <v>1</v>
      </c>
      <c r="S87" s="77" t="str">
        <f t="shared" si="6"/>
        <v>Institucionais</v>
      </c>
      <c r="T87" s="77" t="str">
        <f t="shared" si="6"/>
        <v>Serviços Públicos</v>
      </c>
      <c r="U87" s="77" t="str">
        <f t="shared" si="6"/>
        <v>Educacionais</v>
      </c>
      <c r="V87" s="77" t="s">
        <v>1964</v>
      </c>
      <c r="W87" s="78" t="str">
        <f t="shared" si="17"/>
        <v>Key-BRASIL-87</v>
      </c>
      <c r="X87" s="77" t="s">
        <v>1843</v>
      </c>
      <c r="Y87" s="77" t="s">
        <v>1887</v>
      </c>
      <c r="Z87" s="81" t="s">
        <v>1</v>
      </c>
      <c r="AA87" s="77" t="str">
        <f t="shared" si="16"/>
        <v>Federal University.</v>
      </c>
    </row>
    <row r="88" spans="1:27" ht="6.6" customHeight="1" x14ac:dyDescent="0.25">
      <c r="A88" s="72">
        <v>88</v>
      </c>
      <c r="B88" s="73" t="s">
        <v>1968</v>
      </c>
      <c r="C88" s="32" t="s">
        <v>1998</v>
      </c>
      <c r="D88" s="32" t="s">
        <v>1999</v>
      </c>
      <c r="E88" s="32" t="s">
        <v>1401</v>
      </c>
      <c r="F88" s="32" t="s">
        <v>708</v>
      </c>
      <c r="G88" s="79" t="s">
        <v>1</v>
      </c>
      <c r="H88" s="79" t="s">
        <v>1</v>
      </c>
      <c r="I88" s="79" t="s">
        <v>1</v>
      </c>
      <c r="J88" s="79" t="s">
        <v>1</v>
      </c>
      <c r="K88" s="79" t="s">
        <v>1</v>
      </c>
      <c r="L88" s="80" t="str">
        <f t="shared" si="0"/>
        <v>Institucionais</v>
      </c>
      <c r="M88" s="80" t="str">
        <f t="shared" si="18"/>
        <v>Serviços Públicos</v>
      </c>
      <c r="N88" s="80" t="str">
        <f t="shared" si="18"/>
        <v>Educacionais</v>
      </c>
      <c r="O88" s="80" t="str">
        <f t="shared" si="18"/>
        <v>Universidade Estadual</v>
      </c>
      <c r="P88" s="80" t="s">
        <v>1576</v>
      </c>
      <c r="Q88" s="80" t="s">
        <v>709</v>
      </c>
      <c r="R88" s="77" t="s">
        <v>1</v>
      </c>
      <c r="S88" s="77" t="str">
        <f t="shared" si="6"/>
        <v>Institucionais</v>
      </c>
      <c r="T88" s="77" t="str">
        <f t="shared" si="6"/>
        <v>Serviços Públicos</v>
      </c>
      <c r="U88" s="77" t="str">
        <f t="shared" si="6"/>
        <v>Educacionais</v>
      </c>
      <c r="V88" s="77" t="s">
        <v>1964</v>
      </c>
      <c r="W88" s="78" t="str">
        <f t="shared" si="17"/>
        <v>Key-BRASIL-88</v>
      </c>
      <c r="X88" s="77" t="s">
        <v>1843</v>
      </c>
      <c r="Y88" s="77" t="s">
        <v>1887</v>
      </c>
      <c r="Z88" s="81" t="s">
        <v>1</v>
      </c>
      <c r="AA88" s="77" t="str">
        <f t="shared" si="16"/>
        <v>State University.</v>
      </c>
    </row>
    <row r="89" spans="1:27" ht="6.6" customHeight="1" x14ac:dyDescent="0.25">
      <c r="A89" s="72">
        <v>89</v>
      </c>
      <c r="B89" s="73" t="s">
        <v>1968</v>
      </c>
      <c r="C89" s="32" t="s">
        <v>1998</v>
      </c>
      <c r="D89" s="32" t="s">
        <v>1999</v>
      </c>
      <c r="E89" s="32" t="s">
        <v>1401</v>
      </c>
      <c r="F89" s="32" t="s">
        <v>710</v>
      </c>
      <c r="G89" s="79" t="s">
        <v>1</v>
      </c>
      <c r="H89" s="79" t="s">
        <v>1</v>
      </c>
      <c r="I89" s="79" t="s">
        <v>1</v>
      </c>
      <c r="J89" s="79" t="s">
        <v>1</v>
      </c>
      <c r="K89" s="79" t="s">
        <v>1</v>
      </c>
      <c r="L89" s="80" t="str">
        <f t="shared" si="0"/>
        <v>Institucionais</v>
      </c>
      <c r="M89" s="80" t="str">
        <f t="shared" si="18"/>
        <v>Serviços Públicos</v>
      </c>
      <c r="N89" s="80" t="str">
        <f t="shared" si="18"/>
        <v>Educacionais</v>
      </c>
      <c r="O89" s="80" t="str">
        <f t="shared" si="18"/>
        <v>Escola Estadual</v>
      </c>
      <c r="P89" s="80" t="s">
        <v>1578</v>
      </c>
      <c r="Q89" s="80" t="s">
        <v>711</v>
      </c>
      <c r="R89" s="77" t="s">
        <v>1</v>
      </c>
      <c r="S89" s="77" t="str">
        <f t="shared" si="6"/>
        <v>Institucionais</v>
      </c>
      <c r="T89" s="77" t="str">
        <f t="shared" si="6"/>
        <v>Serviços Públicos</v>
      </c>
      <c r="U89" s="77" t="str">
        <f t="shared" si="6"/>
        <v>Educacionais</v>
      </c>
      <c r="V89" s="77" t="s">
        <v>1964</v>
      </c>
      <c r="W89" s="78" t="str">
        <f t="shared" si="17"/>
        <v>Key-BRASIL-89</v>
      </c>
      <c r="X89" s="77" t="s">
        <v>1843</v>
      </c>
      <c r="Y89" s="77" t="s">
        <v>1887</v>
      </c>
      <c r="Z89" s="81" t="s">
        <v>1</v>
      </c>
      <c r="AA89" s="77" t="str">
        <f t="shared" si="16"/>
        <v>State School.</v>
      </c>
    </row>
    <row r="90" spans="1:27" ht="6.6" customHeight="1" x14ac:dyDescent="0.25">
      <c r="A90" s="72">
        <v>90</v>
      </c>
      <c r="B90" s="73" t="s">
        <v>1968</v>
      </c>
      <c r="C90" s="32" t="s">
        <v>1998</v>
      </c>
      <c r="D90" s="32" t="s">
        <v>1999</v>
      </c>
      <c r="E90" s="32" t="s">
        <v>1401</v>
      </c>
      <c r="F90" s="32" t="s">
        <v>712</v>
      </c>
      <c r="G90" s="79" t="s">
        <v>1</v>
      </c>
      <c r="H90" s="79" t="s">
        <v>1</v>
      </c>
      <c r="I90" s="79" t="s">
        <v>1</v>
      </c>
      <c r="J90" s="79" t="s">
        <v>1</v>
      </c>
      <c r="K90" s="79" t="s">
        <v>1</v>
      </c>
      <c r="L90" s="80" t="str">
        <f t="shared" si="0"/>
        <v>Institucionais</v>
      </c>
      <c r="M90" s="80" t="str">
        <f t="shared" ref="M90:O100" si="19">_xlfn.CONCAT(SUBSTITUTE(D90,"."," "))</f>
        <v>Serviços Públicos</v>
      </c>
      <c r="N90" s="80" t="str">
        <f t="shared" si="19"/>
        <v>Educacionais</v>
      </c>
      <c r="O90" s="80" t="str">
        <f t="shared" si="19"/>
        <v>Escola Municipal</v>
      </c>
      <c r="P90" s="80" t="s">
        <v>1577</v>
      </c>
      <c r="Q90" s="80" t="s">
        <v>713</v>
      </c>
      <c r="R90" s="77" t="s">
        <v>1</v>
      </c>
      <c r="S90" s="77" t="str">
        <f t="shared" si="6"/>
        <v>Institucionais</v>
      </c>
      <c r="T90" s="77" t="str">
        <f t="shared" si="6"/>
        <v>Serviços Públicos</v>
      </c>
      <c r="U90" s="77" t="str">
        <f t="shared" si="6"/>
        <v>Educacionais</v>
      </c>
      <c r="V90" s="77" t="s">
        <v>1964</v>
      </c>
      <c r="W90" s="78" t="str">
        <f t="shared" si="17"/>
        <v>Key-BRASIL-90</v>
      </c>
      <c r="X90" s="77" t="s">
        <v>1843</v>
      </c>
      <c r="Y90" s="77" t="s">
        <v>1887</v>
      </c>
      <c r="Z90" s="81" t="s">
        <v>1</v>
      </c>
      <c r="AA90" s="77" t="str">
        <f t="shared" si="16"/>
        <v>Municipal School.</v>
      </c>
    </row>
    <row r="91" spans="1:27" ht="6.6" customHeight="1" x14ac:dyDescent="0.25">
      <c r="A91" s="72">
        <v>91</v>
      </c>
      <c r="B91" s="73" t="s">
        <v>1968</v>
      </c>
      <c r="C91" s="32" t="s">
        <v>1998</v>
      </c>
      <c r="D91" s="32" t="s">
        <v>1999</v>
      </c>
      <c r="E91" s="32" t="s">
        <v>1401</v>
      </c>
      <c r="F91" s="32" t="s">
        <v>1733</v>
      </c>
      <c r="G91" s="79" t="s">
        <v>1</v>
      </c>
      <c r="H91" s="79" t="s">
        <v>1</v>
      </c>
      <c r="I91" s="79" t="s">
        <v>1</v>
      </c>
      <c r="J91" s="79" t="s">
        <v>1</v>
      </c>
      <c r="K91" s="79" t="s">
        <v>1</v>
      </c>
      <c r="L91" s="80" t="str">
        <f t="shared" si="0"/>
        <v>Institucionais</v>
      </c>
      <c r="M91" s="80" t="str">
        <f t="shared" si="19"/>
        <v>Serviços Públicos</v>
      </c>
      <c r="N91" s="80" t="str">
        <f t="shared" si="19"/>
        <v>Educacionais</v>
      </c>
      <c r="O91" s="80" t="str">
        <f t="shared" si="19"/>
        <v>Colégio de Aplicação</v>
      </c>
      <c r="P91" s="80" t="s">
        <v>1732</v>
      </c>
      <c r="Q91" s="80" t="s">
        <v>1734</v>
      </c>
      <c r="R91" s="77" t="s">
        <v>1</v>
      </c>
      <c r="S91" s="77" t="str">
        <f t="shared" si="6"/>
        <v>Institucionais</v>
      </c>
      <c r="T91" s="77" t="str">
        <f t="shared" si="6"/>
        <v>Serviços Públicos</v>
      </c>
      <c r="U91" s="77" t="str">
        <f t="shared" si="6"/>
        <v>Educacionais</v>
      </c>
      <c r="V91" s="77" t="s">
        <v>1964</v>
      </c>
      <c r="W91" s="78" t="str">
        <f t="shared" si="17"/>
        <v>Key-BRASIL-91</v>
      </c>
      <c r="X91" s="77" t="s">
        <v>1843</v>
      </c>
      <c r="Y91" s="77" t="s">
        <v>1887</v>
      </c>
      <c r="Z91" s="81" t="s">
        <v>1</v>
      </c>
      <c r="AA91" s="77" t="str">
        <f t="shared" si="16"/>
        <v>The application colleges are educational institutions linked to universities, with the mission of integrating theory and practice in the training of students and teachers.</v>
      </c>
    </row>
    <row r="92" spans="1:27" ht="6.6" customHeight="1" x14ac:dyDescent="0.25">
      <c r="A92" s="72">
        <v>92</v>
      </c>
      <c r="B92" s="73" t="s">
        <v>1968</v>
      </c>
      <c r="C92" s="32" t="s">
        <v>1998</v>
      </c>
      <c r="D92" s="32" t="s">
        <v>1999</v>
      </c>
      <c r="E92" s="32" t="s">
        <v>1401</v>
      </c>
      <c r="F92" s="32" t="s">
        <v>1735</v>
      </c>
      <c r="G92" s="79" t="s">
        <v>1</v>
      </c>
      <c r="H92" s="79" t="s">
        <v>1</v>
      </c>
      <c r="I92" s="79" t="s">
        <v>1</v>
      </c>
      <c r="J92" s="79" t="s">
        <v>1</v>
      </c>
      <c r="K92" s="79" t="s">
        <v>1</v>
      </c>
      <c r="L92" s="80" t="str">
        <f t="shared" si="0"/>
        <v>Institucionais</v>
      </c>
      <c r="M92" s="80" t="str">
        <f t="shared" si="19"/>
        <v>Serviços Públicos</v>
      </c>
      <c r="N92" s="80" t="str">
        <f t="shared" si="19"/>
        <v>Educacionais</v>
      </c>
      <c r="O92" s="80" t="str">
        <f t="shared" si="19"/>
        <v>Instituiçao de Ensino Militar</v>
      </c>
      <c r="P92" s="80" t="s">
        <v>1736</v>
      </c>
      <c r="Q92" s="80" t="s">
        <v>1737</v>
      </c>
      <c r="R92" s="77" t="s">
        <v>1</v>
      </c>
      <c r="S92" s="77" t="str">
        <f t="shared" si="6"/>
        <v>Institucionais</v>
      </c>
      <c r="T92" s="77" t="str">
        <f t="shared" si="6"/>
        <v>Serviços Públicos</v>
      </c>
      <c r="U92" s="77" t="str">
        <f t="shared" si="6"/>
        <v>Educacionais</v>
      </c>
      <c r="V92" s="77" t="s">
        <v>1964</v>
      </c>
      <c r="W92" s="78" t="str">
        <f t="shared" si="17"/>
        <v>Key-BRASIL-92</v>
      </c>
      <c r="X92" s="77" t="s">
        <v>1843</v>
      </c>
      <c r="Y92" s="77" t="s">
        <v>1881</v>
      </c>
      <c r="Z92" s="81" t="s">
        <v>1</v>
      </c>
      <c r="AA92" s="77" t="str">
        <f t="shared" si="16"/>
        <v>Military education institutions include military elementary and secondary education colleges as well as the vocational schools of the Armed Forces.</v>
      </c>
    </row>
    <row r="93" spans="1:27" ht="6.6" customHeight="1" x14ac:dyDescent="0.25">
      <c r="A93" s="72">
        <v>93</v>
      </c>
      <c r="B93" s="73" t="s">
        <v>1968</v>
      </c>
      <c r="C93" s="32" t="s">
        <v>1998</v>
      </c>
      <c r="D93" s="32" t="s">
        <v>1999</v>
      </c>
      <c r="E93" s="32" t="s">
        <v>714</v>
      </c>
      <c r="F93" s="32" t="s">
        <v>715</v>
      </c>
      <c r="G93" s="79" t="s">
        <v>1</v>
      </c>
      <c r="H93" s="79" t="s">
        <v>1</v>
      </c>
      <c r="I93" s="79" t="s">
        <v>1</v>
      </c>
      <c r="J93" s="79" t="s">
        <v>1</v>
      </c>
      <c r="K93" s="79" t="s">
        <v>1</v>
      </c>
      <c r="L93" s="80" t="str">
        <f t="shared" si="0"/>
        <v>Institucionais</v>
      </c>
      <c r="M93" s="80" t="str">
        <f t="shared" si="19"/>
        <v>Serviços Públicos</v>
      </c>
      <c r="N93" s="80" t="str">
        <f t="shared" si="19"/>
        <v>INMET</v>
      </c>
      <c r="O93" s="80" t="str">
        <f t="shared" si="19"/>
        <v>Estação Meteorológica</v>
      </c>
      <c r="P93" s="80" t="s">
        <v>716</v>
      </c>
      <c r="Q93" s="80" t="s">
        <v>717</v>
      </c>
      <c r="R93" s="77" t="s">
        <v>1</v>
      </c>
      <c r="S93" s="77" t="str">
        <f t="shared" si="6"/>
        <v>Institucionais</v>
      </c>
      <c r="T93" s="77" t="str">
        <f t="shared" si="6"/>
        <v>Serviços Públicos</v>
      </c>
      <c r="U93" s="77" t="str">
        <f t="shared" si="6"/>
        <v>INMET</v>
      </c>
      <c r="V93" s="77" t="s">
        <v>1964</v>
      </c>
      <c r="W93" s="78" t="str">
        <f t="shared" si="17"/>
        <v>Key-BRASIL-93</v>
      </c>
      <c r="X93" s="77" t="s">
        <v>1844</v>
      </c>
      <c r="Y93" s="77" t="s">
        <v>1881</v>
      </c>
      <c r="Z93" s="81" t="s">
        <v>1</v>
      </c>
      <c r="AA93" s="77" t="str">
        <f t="shared" si="16"/>
        <v>Meteorological station managed by the National Institute of Meteorology (INMET) dependent on the Ministry of Agriculture and Livestock.</v>
      </c>
    </row>
    <row r="94" spans="1:27" ht="6.6" customHeight="1" x14ac:dyDescent="0.25">
      <c r="A94" s="72">
        <v>94</v>
      </c>
      <c r="B94" s="73" t="s">
        <v>1968</v>
      </c>
      <c r="C94" s="32" t="s">
        <v>1998</v>
      </c>
      <c r="D94" s="32" t="s">
        <v>1999</v>
      </c>
      <c r="E94" s="32" t="s">
        <v>714</v>
      </c>
      <c r="F94" s="38" t="s">
        <v>2006</v>
      </c>
      <c r="G94" s="79" t="s">
        <v>1</v>
      </c>
      <c r="H94" s="79" t="s">
        <v>1</v>
      </c>
      <c r="I94" s="79" t="s">
        <v>1</v>
      </c>
      <c r="J94" s="79" t="s">
        <v>1</v>
      </c>
      <c r="K94" s="79" t="s">
        <v>1</v>
      </c>
      <c r="L94" s="80" t="str">
        <f t="shared" si="0"/>
        <v>Institucionais</v>
      </c>
      <c r="M94" s="80" t="str">
        <f t="shared" si="19"/>
        <v>Serviços Públicos</v>
      </c>
      <c r="N94" s="80" t="str">
        <f t="shared" si="19"/>
        <v>INMET</v>
      </c>
      <c r="O94" s="80" t="str">
        <f t="shared" si="19"/>
        <v>Estação Meteorológica Automática</v>
      </c>
      <c r="P94" s="80" t="s">
        <v>2007</v>
      </c>
      <c r="Q94" s="80" t="s">
        <v>717</v>
      </c>
      <c r="R94" s="77" t="s">
        <v>1</v>
      </c>
      <c r="S94" s="77" t="str">
        <f t="shared" si="6"/>
        <v>Institucionais</v>
      </c>
      <c r="T94" s="77" t="str">
        <f t="shared" ref="S94:U100" si="20">SUBSTITUTE(D94, ".", " ")</f>
        <v>Serviços Públicos</v>
      </c>
      <c r="U94" s="77" t="str">
        <f t="shared" si="20"/>
        <v>INMET</v>
      </c>
      <c r="V94" s="77" t="s">
        <v>1964</v>
      </c>
      <c r="W94" s="78" t="str">
        <f t="shared" si="17"/>
        <v>Key-BRASIL-94</v>
      </c>
      <c r="X94" s="77" t="s">
        <v>1844</v>
      </c>
      <c r="Y94" s="77" t="s">
        <v>1881</v>
      </c>
      <c r="Z94" s="81" t="s">
        <v>1</v>
      </c>
      <c r="AA94" s="77" t="str">
        <f t="shared" si="16"/>
        <v>Automatic meteorological station managed by the National Institute of Meteorology (INMET) dependent on the Ministry of Agriculture and Livestock.</v>
      </c>
    </row>
    <row r="95" spans="1:27" ht="6.6" customHeight="1" x14ac:dyDescent="0.25">
      <c r="A95" s="72">
        <v>95</v>
      </c>
      <c r="B95" s="73" t="s">
        <v>1968</v>
      </c>
      <c r="C95" s="32" t="s">
        <v>1998</v>
      </c>
      <c r="D95" s="32" t="s">
        <v>1999</v>
      </c>
      <c r="E95" s="32" t="s">
        <v>714</v>
      </c>
      <c r="F95" s="38" t="s">
        <v>2008</v>
      </c>
      <c r="G95" s="79" t="s">
        <v>1</v>
      </c>
      <c r="H95" s="79" t="s">
        <v>1</v>
      </c>
      <c r="I95" s="79" t="s">
        <v>1</v>
      </c>
      <c r="J95" s="79" t="s">
        <v>1</v>
      </c>
      <c r="K95" s="79" t="s">
        <v>1</v>
      </c>
      <c r="L95" s="80" t="str">
        <f t="shared" si="0"/>
        <v>Institucionais</v>
      </c>
      <c r="M95" s="80" t="str">
        <f t="shared" si="19"/>
        <v>Serviços Públicos</v>
      </c>
      <c r="N95" s="80" t="str">
        <f t="shared" si="19"/>
        <v>INMET</v>
      </c>
      <c r="O95" s="80" t="str">
        <f t="shared" si="19"/>
        <v>Estação Meteorológica Convencional</v>
      </c>
      <c r="P95" s="80" t="s">
        <v>2009</v>
      </c>
      <c r="Q95" s="80" t="s">
        <v>717</v>
      </c>
      <c r="R95" s="77" t="s">
        <v>1</v>
      </c>
      <c r="S95" s="77" t="str">
        <f t="shared" si="20"/>
        <v>Institucionais</v>
      </c>
      <c r="T95" s="77" t="str">
        <f t="shared" si="20"/>
        <v>Serviços Públicos</v>
      </c>
      <c r="U95" s="77" t="str">
        <f t="shared" si="20"/>
        <v>INMET</v>
      </c>
      <c r="V95" s="77" t="s">
        <v>1964</v>
      </c>
      <c r="W95" s="78" t="str">
        <f t="shared" si="17"/>
        <v>Key-BRASIL-95</v>
      </c>
      <c r="X95" s="77" t="s">
        <v>1844</v>
      </c>
      <c r="Y95" s="77" t="s">
        <v>1881</v>
      </c>
      <c r="Z95" s="81" t="s">
        <v>1</v>
      </c>
      <c r="AA95" s="77" t="str">
        <f t="shared" si="16"/>
        <v>Conventional meteorological station managed by the National Institute of Meteorology (INMET) dependent on the Ministry of Agriculture and Livestock.</v>
      </c>
    </row>
    <row r="96" spans="1:27" ht="6.6" customHeight="1" x14ac:dyDescent="0.25">
      <c r="A96" s="72">
        <v>96</v>
      </c>
      <c r="B96" s="73" t="s">
        <v>1968</v>
      </c>
      <c r="C96" s="32" t="s">
        <v>1998</v>
      </c>
      <c r="D96" s="32" t="s">
        <v>1999</v>
      </c>
      <c r="E96" s="32" t="s">
        <v>718</v>
      </c>
      <c r="F96" s="32" t="s">
        <v>719</v>
      </c>
      <c r="G96" s="79" t="s">
        <v>1</v>
      </c>
      <c r="H96" s="79" t="s">
        <v>1</v>
      </c>
      <c r="I96" s="79" t="s">
        <v>1</v>
      </c>
      <c r="J96" s="79" t="s">
        <v>1</v>
      </c>
      <c r="K96" s="79" t="s">
        <v>1</v>
      </c>
      <c r="L96" s="80" t="str">
        <f t="shared" si="0"/>
        <v>Institucionais</v>
      </c>
      <c r="M96" s="80" t="str">
        <f t="shared" si="19"/>
        <v>Serviços Públicos</v>
      </c>
      <c r="N96" s="80" t="str">
        <f t="shared" si="19"/>
        <v>IBGE</v>
      </c>
      <c r="O96" s="80" t="str">
        <f t="shared" si="19"/>
        <v>Area Densa</v>
      </c>
      <c r="P96" s="80" t="s">
        <v>720</v>
      </c>
      <c r="Q96" s="80" t="s">
        <v>721</v>
      </c>
      <c r="R96" s="77" t="s">
        <v>1</v>
      </c>
      <c r="S96" s="77" t="str">
        <f t="shared" si="20"/>
        <v>Institucionais</v>
      </c>
      <c r="T96" s="77" t="str">
        <f t="shared" si="20"/>
        <v>Serviços Públicos</v>
      </c>
      <c r="U96" s="77" t="str">
        <f t="shared" si="20"/>
        <v>IBGE</v>
      </c>
      <c r="V96" s="77" t="s">
        <v>1964</v>
      </c>
      <c r="W96" s="78" t="str">
        <f t="shared" si="17"/>
        <v>Key-BRASIL-96</v>
      </c>
      <c r="X96" s="77" t="s">
        <v>1845</v>
      </c>
      <c r="Y96" s="77" t="s">
        <v>1888</v>
      </c>
      <c r="Z96" s="81" t="s">
        <v>1</v>
      </c>
      <c r="AA96" s="77" t="str">
        <f t="shared" si="16"/>
        <v>IBGE Index - Number of inhabitants per square kilometer measured by the Brazilian Institute of Geography and Statistics.</v>
      </c>
    </row>
    <row r="97" spans="1:27" ht="6.6" customHeight="1" x14ac:dyDescent="0.25">
      <c r="A97" s="72">
        <v>97</v>
      </c>
      <c r="B97" s="73" t="s">
        <v>1968</v>
      </c>
      <c r="C97" s="32" t="s">
        <v>1998</v>
      </c>
      <c r="D97" s="32" t="s">
        <v>1999</v>
      </c>
      <c r="E97" s="32" t="s">
        <v>718</v>
      </c>
      <c r="F97" s="32" t="s">
        <v>722</v>
      </c>
      <c r="G97" s="79" t="s">
        <v>1</v>
      </c>
      <c r="H97" s="79" t="s">
        <v>1</v>
      </c>
      <c r="I97" s="79" t="s">
        <v>1</v>
      </c>
      <c r="J97" s="79" t="s">
        <v>1</v>
      </c>
      <c r="K97" s="79" t="s">
        <v>1</v>
      </c>
      <c r="L97" s="80" t="str">
        <f t="shared" si="0"/>
        <v>Institucionais</v>
      </c>
      <c r="M97" s="80" t="str">
        <f t="shared" si="19"/>
        <v>Serviços Públicos</v>
      </c>
      <c r="N97" s="80" t="str">
        <f t="shared" si="19"/>
        <v>IBGE</v>
      </c>
      <c r="O97" s="80" t="str">
        <f>_xlfn.CONCAT(SUBSTITUTE(F97,"."," "))</f>
        <v>Area Pouco Densa</v>
      </c>
      <c r="P97" s="80" t="s">
        <v>720</v>
      </c>
      <c r="Q97" s="80" t="s">
        <v>721</v>
      </c>
      <c r="R97" s="77" t="s">
        <v>1</v>
      </c>
      <c r="S97" s="77" t="str">
        <f t="shared" si="20"/>
        <v>Institucionais</v>
      </c>
      <c r="T97" s="77" t="str">
        <f t="shared" si="20"/>
        <v>Serviços Públicos</v>
      </c>
      <c r="U97" s="77" t="str">
        <f t="shared" si="20"/>
        <v>IBGE</v>
      </c>
      <c r="V97" s="77" t="s">
        <v>1964</v>
      </c>
      <c r="W97" s="78" t="str">
        <f t="shared" si="17"/>
        <v>Key-BRASIL-97</v>
      </c>
      <c r="X97" s="77" t="s">
        <v>1845</v>
      </c>
      <c r="Y97" s="77" t="s">
        <v>1888</v>
      </c>
      <c r="Z97" s="81" t="s">
        <v>1</v>
      </c>
      <c r="AA97" s="77" t="str">
        <f t="shared" si="16"/>
        <v>IBGE Index - Number of inhabitants per square kilometer measured by the Brazilian Institute of Geography and Statistics.</v>
      </c>
    </row>
    <row r="98" spans="1:27" ht="6.6" customHeight="1" x14ac:dyDescent="0.25">
      <c r="A98" s="72">
        <v>98</v>
      </c>
      <c r="B98" s="73" t="s">
        <v>1968</v>
      </c>
      <c r="C98" s="32" t="s">
        <v>1998</v>
      </c>
      <c r="D98" s="32" t="s">
        <v>1999</v>
      </c>
      <c r="E98" s="32" t="s">
        <v>718</v>
      </c>
      <c r="F98" s="32" t="s">
        <v>723</v>
      </c>
      <c r="G98" s="79" t="s">
        <v>1</v>
      </c>
      <c r="H98" s="79" t="s">
        <v>1</v>
      </c>
      <c r="I98" s="79" t="s">
        <v>1</v>
      </c>
      <c r="J98" s="79" t="s">
        <v>1</v>
      </c>
      <c r="K98" s="79" t="s">
        <v>1</v>
      </c>
      <c r="L98" s="80" t="str">
        <f t="shared" si="0"/>
        <v>Institucionais</v>
      </c>
      <c r="M98" s="80" t="str">
        <f t="shared" si="19"/>
        <v>Serviços Públicos</v>
      </c>
      <c r="N98" s="80" t="str">
        <f t="shared" si="19"/>
        <v>IBGE</v>
      </c>
      <c r="O98" s="80" t="str">
        <f t="shared" si="19"/>
        <v>IDU</v>
      </c>
      <c r="P98" s="80" t="s">
        <v>724</v>
      </c>
      <c r="Q98" s="80" t="s">
        <v>725</v>
      </c>
      <c r="R98" s="77" t="s">
        <v>1</v>
      </c>
      <c r="S98" s="77" t="str">
        <f t="shared" si="20"/>
        <v>Institucionais</v>
      </c>
      <c r="T98" s="77" t="str">
        <f t="shared" si="20"/>
        <v>Serviços Públicos</v>
      </c>
      <c r="U98" s="77" t="str">
        <f t="shared" si="20"/>
        <v>IBGE</v>
      </c>
      <c r="V98" s="77" t="s">
        <v>1964</v>
      </c>
      <c r="W98" s="78" t="str">
        <f t="shared" si="17"/>
        <v>Key-BRASIL-98</v>
      </c>
      <c r="X98" s="77" t="s">
        <v>1845</v>
      </c>
      <c r="Y98" s="77" t="s">
        <v>1888</v>
      </c>
      <c r="Z98" s="81" t="s">
        <v>1</v>
      </c>
      <c r="AA98" s="77" t="str">
        <f t="shared" si="16"/>
        <v>IBGE Index - IDU (Urban Development Index) evaluates the quality of life and access to urban services measured by the Brazilian Institute of Geography and Statistics.</v>
      </c>
    </row>
    <row r="99" spans="1:27" ht="6.6" customHeight="1" x14ac:dyDescent="0.25">
      <c r="A99" s="72">
        <v>99</v>
      </c>
      <c r="B99" s="73" t="s">
        <v>1968</v>
      </c>
      <c r="C99" s="32" t="s">
        <v>1998</v>
      </c>
      <c r="D99" s="32" t="s">
        <v>1999</v>
      </c>
      <c r="E99" s="32" t="s">
        <v>718</v>
      </c>
      <c r="F99" s="32" t="s">
        <v>726</v>
      </c>
      <c r="G99" s="79" t="s">
        <v>1</v>
      </c>
      <c r="H99" s="79" t="s">
        <v>1</v>
      </c>
      <c r="I99" s="79" t="s">
        <v>1</v>
      </c>
      <c r="J99" s="79" t="s">
        <v>1</v>
      </c>
      <c r="K99" s="79" t="s">
        <v>1</v>
      </c>
      <c r="L99" s="80" t="str">
        <f t="shared" si="0"/>
        <v>Institucionais</v>
      </c>
      <c r="M99" s="80" t="str">
        <f t="shared" si="19"/>
        <v>Serviços Públicos</v>
      </c>
      <c r="N99" s="80" t="str">
        <f t="shared" si="19"/>
        <v>IBGE</v>
      </c>
      <c r="O99" s="80" t="str">
        <f t="shared" si="19"/>
        <v>Taxa Urbanização</v>
      </c>
      <c r="P99" s="80" t="s">
        <v>727</v>
      </c>
      <c r="Q99" s="80" t="s">
        <v>728</v>
      </c>
      <c r="R99" s="77" t="s">
        <v>1</v>
      </c>
      <c r="S99" s="77" t="str">
        <f t="shared" si="20"/>
        <v>Institucionais</v>
      </c>
      <c r="T99" s="77" t="str">
        <f t="shared" si="20"/>
        <v>Serviços Públicos</v>
      </c>
      <c r="U99" s="77" t="str">
        <f t="shared" si="20"/>
        <v>IBGE</v>
      </c>
      <c r="V99" s="77" t="s">
        <v>1964</v>
      </c>
      <c r="W99" s="78" t="str">
        <f t="shared" si="17"/>
        <v>Key-BRASIL-99</v>
      </c>
      <c r="X99" s="77" t="s">
        <v>1845</v>
      </c>
      <c r="Y99" s="77" t="s">
        <v>1888</v>
      </c>
      <c r="Z99" s="81" t="s">
        <v>1</v>
      </c>
      <c r="AA99" s="77" t="str">
        <f t="shared" si="16"/>
        <v>IBGE Index - Proportion between urban and rural population measured by the Brazilian Institute of Geography and Statistics.</v>
      </c>
    </row>
    <row r="100" spans="1:27" ht="6.6" customHeight="1" x14ac:dyDescent="0.25">
      <c r="A100" s="72">
        <v>100</v>
      </c>
      <c r="B100" s="73" t="s">
        <v>1968</v>
      </c>
      <c r="C100" s="32" t="s">
        <v>1998</v>
      </c>
      <c r="D100" s="32" t="s">
        <v>1999</v>
      </c>
      <c r="E100" s="32" t="s">
        <v>718</v>
      </c>
      <c r="F100" s="32" t="s">
        <v>729</v>
      </c>
      <c r="G100" s="79" t="s">
        <v>1</v>
      </c>
      <c r="H100" s="79" t="s">
        <v>1</v>
      </c>
      <c r="I100" s="79" t="s">
        <v>1</v>
      </c>
      <c r="J100" s="79" t="s">
        <v>1</v>
      </c>
      <c r="K100" s="79" t="s">
        <v>1</v>
      </c>
      <c r="L100" s="80" t="str">
        <f t="shared" si="0"/>
        <v>Institucionais</v>
      </c>
      <c r="M100" s="80" t="str">
        <f t="shared" si="19"/>
        <v>Serviços Públicos</v>
      </c>
      <c r="N100" s="80" t="str">
        <f t="shared" si="19"/>
        <v>IBGE</v>
      </c>
      <c r="O100" s="80" t="str">
        <f t="shared" si="19"/>
        <v>Expansão Urbana</v>
      </c>
      <c r="P100" s="80" t="s">
        <v>730</v>
      </c>
      <c r="Q100" s="80" t="s">
        <v>731</v>
      </c>
      <c r="R100" s="77" t="s">
        <v>1</v>
      </c>
      <c r="S100" s="77" t="str">
        <f t="shared" si="20"/>
        <v>Institucionais</v>
      </c>
      <c r="T100" s="77" t="str">
        <f t="shared" si="20"/>
        <v>Serviços Públicos</v>
      </c>
      <c r="U100" s="77" t="str">
        <f t="shared" si="20"/>
        <v>IBGE</v>
      </c>
      <c r="V100" s="77" t="s">
        <v>1964</v>
      </c>
      <c r="W100" s="78" t="str">
        <f t="shared" si="17"/>
        <v>Key-BRASIL-100</v>
      </c>
      <c r="X100" s="77" t="s">
        <v>1845</v>
      </c>
      <c r="Y100" s="77" t="s">
        <v>1888</v>
      </c>
      <c r="Z100" s="81" t="s">
        <v>1</v>
      </c>
      <c r="AA100" s="77" t="str">
        <f t="shared" si="16"/>
        <v>IBGE Index - Measure of physical growth of cities established by the Brazilian Institute of Geography and Statistics.</v>
      </c>
    </row>
    <row r="101" spans="1:27" ht="6.6" customHeight="1" x14ac:dyDescent="0.25">
      <c r="A101" s="72">
        <v>101</v>
      </c>
      <c r="B101" s="73" t="s">
        <v>1968</v>
      </c>
      <c r="C101" s="83" t="s">
        <v>2000</v>
      </c>
      <c r="D101" s="73" t="s">
        <v>1491</v>
      </c>
      <c r="E101" s="84" t="s">
        <v>1406</v>
      </c>
      <c r="F101" s="32" t="s">
        <v>315</v>
      </c>
      <c r="G101" s="85" t="s">
        <v>1</v>
      </c>
      <c r="H101" s="85" t="s">
        <v>1</v>
      </c>
      <c r="I101" s="85" t="s">
        <v>1</v>
      </c>
      <c r="J101" s="85" t="s">
        <v>1</v>
      </c>
      <c r="K101" s="85" t="s">
        <v>1</v>
      </c>
      <c r="L101" s="86" t="str">
        <f t="shared" ref="L101:L164" si="21">_xlfn.CONCAT(C101)</f>
        <v>De.Transportes</v>
      </c>
      <c r="M101" s="76" t="str">
        <f t="shared" ref="M101:M164" si="22">CONCATENATE("", D101)</f>
        <v>Ferroviários</v>
      </c>
      <c r="N101" s="76" t="str">
        <f t="shared" ref="N101:N164" si="23">(SUBSTITUTE(SUBSTITUTE(CONCATENATE("",E101),"."," ")," De "," de "))</f>
        <v>Trens</v>
      </c>
      <c r="O101" s="77" t="str">
        <f t="shared" ref="O101:O164" si="24">F101</f>
        <v>Locomotiva</v>
      </c>
      <c r="P101" s="80" t="s">
        <v>318</v>
      </c>
      <c r="Q101" s="77" t="s">
        <v>326</v>
      </c>
      <c r="R101" s="77" t="s">
        <v>1</v>
      </c>
      <c r="S101" s="77" t="str">
        <f t="shared" si="6"/>
        <v>De Transportes</v>
      </c>
      <c r="T101" s="77" t="str">
        <f t="shared" si="6"/>
        <v>Ferroviários</v>
      </c>
      <c r="U101" s="77" t="str">
        <f t="shared" si="6"/>
        <v>Trens</v>
      </c>
      <c r="V101" s="77" t="s">
        <v>1964</v>
      </c>
      <c r="W101" s="78" t="str">
        <f t="shared" si="17"/>
        <v>Key-BRASIL-101</v>
      </c>
      <c r="X101" s="77" t="s">
        <v>1846</v>
      </c>
      <c r="Y101" s="77" t="s">
        <v>1889</v>
      </c>
      <c r="Z101" s="81" t="s">
        <v>1</v>
      </c>
      <c r="AA101" s="77" t="str">
        <f t="shared" si="16"/>
        <v>A heavy rail vehicle that pulls or pushes railway cars. They can be electric, diesel-electric or steam.</v>
      </c>
    </row>
    <row r="102" spans="1:27" ht="6.6" customHeight="1" x14ac:dyDescent="0.25">
      <c r="A102" s="72">
        <v>102</v>
      </c>
      <c r="B102" s="73" t="s">
        <v>1968</v>
      </c>
      <c r="C102" s="83" t="s">
        <v>2000</v>
      </c>
      <c r="D102" s="73" t="s">
        <v>1491</v>
      </c>
      <c r="E102" s="84" t="s">
        <v>1406</v>
      </c>
      <c r="F102" s="32" t="s">
        <v>316</v>
      </c>
      <c r="G102" s="85" t="s">
        <v>1</v>
      </c>
      <c r="H102" s="85" t="s">
        <v>1</v>
      </c>
      <c r="I102" s="85" t="s">
        <v>1</v>
      </c>
      <c r="J102" s="85" t="s">
        <v>1</v>
      </c>
      <c r="K102" s="85" t="s">
        <v>1</v>
      </c>
      <c r="L102" s="86" t="str">
        <f t="shared" si="21"/>
        <v>De.Transportes</v>
      </c>
      <c r="M102" s="76" t="str">
        <f t="shared" si="22"/>
        <v>Ferroviários</v>
      </c>
      <c r="N102" s="76" t="str">
        <f t="shared" si="23"/>
        <v>Trens</v>
      </c>
      <c r="O102" s="77" t="str">
        <f t="shared" si="24"/>
        <v>Vagão.Carga</v>
      </c>
      <c r="P102" s="80" t="s">
        <v>319</v>
      </c>
      <c r="Q102" s="77" t="s">
        <v>327</v>
      </c>
      <c r="R102" s="77" t="s">
        <v>1</v>
      </c>
      <c r="S102" s="77" t="str">
        <f t="shared" si="6"/>
        <v>De Transportes</v>
      </c>
      <c r="T102" s="77" t="str">
        <f t="shared" si="6"/>
        <v>Ferroviários</v>
      </c>
      <c r="U102" s="77" t="str">
        <f t="shared" si="6"/>
        <v>Trens</v>
      </c>
      <c r="V102" s="77" t="s">
        <v>1964</v>
      </c>
      <c r="W102" s="78" t="str">
        <f t="shared" si="17"/>
        <v>Key-BRASIL-102</v>
      </c>
      <c r="X102" s="77" t="s">
        <v>1846</v>
      </c>
      <c r="Y102" s="77" t="s">
        <v>1889</v>
      </c>
      <c r="Z102" s="81" t="s">
        <v>1</v>
      </c>
      <c r="AA102" s="77" t="str">
        <f t="shared" si="16"/>
        <v>Heavy vehicle to run on rails to transport goods (grains, ores, fuels, containers).</v>
      </c>
    </row>
    <row r="103" spans="1:27" ht="6.6" customHeight="1" x14ac:dyDescent="0.25">
      <c r="A103" s="72">
        <v>103</v>
      </c>
      <c r="B103" s="73" t="s">
        <v>1968</v>
      </c>
      <c r="C103" s="83" t="s">
        <v>2000</v>
      </c>
      <c r="D103" s="73" t="s">
        <v>1491</v>
      </c>
      <c r="E103" s="84" t="s">
        <v>1406</v>
      </c>
      <c r="F103" s="32" t="s">
        <v>317</v>
      </c>
      <c r="G103" s="85" t="s">
        <v>1</v>
      </c>
      <c r="H103" s="85" t="s">
        <v>1</v>
      </c>
      <c r="I103" s="85" t="s">
        <v>1</v>
      </c>
      <c r="J103" s="85" t="s">
        <v>1</v>
      </c>
      <c r="K103" s="85" t="s">
        <v>1</v>
      </c>
      <c r="L103" s="86" t="str">
        <f t="shared" si="21"/>
        <v>De.Transportes</v>
      </c>
      <c r="M103" s="76" t="str">
        <f t="shared" si="22"/>
        <v>Ferroviários</v>
      </c>
      <c r="N103" s="76" t="str">
        <f t="shared" si="23"/>
        <v>Trens</v>
      </c>
      <c r="O103" s="77" t="str">
        <f t="shared" si="24"/>
        <v>Vagão.Passageiro</v>
      </c>
      <c r="P103" s="80" t="s">
        <v>320</v>
      </c>
      <c r="Q103" s="77" t="s">
        <v>328</v>
      </c>
      <c r="R103" s="77" t="s">
        <v>1</v>
      </c>
      <c r="S103" s="77" t="str">
        <f t="shared" si="6"/>
        <v>De Transportes</v>
      </c>
      <c r="T103" s="77" t="str">
        <f t="shared" si="6"/>
        <v>Ferroviários</v>
      </c>
      <c r="U103" s="77" t="str">
        <f t="shared" si="6"/>
        <v>Trens</v>
      </c>
      <c r="V103" s="77" t="s">
        <v>1964</v>
      </c>
      <c r="W103" s="78" t="str">
        <f t="shared" si="17"/>
        <v>Key-BRASIL-103</v>
      </c>
      <c r="X103" s="77" t="s">
        <v>1846</v>
      </c>
      <c r="Y103" s="77" t="s">
        <v>1889</v>
      </c>
      <c r="Z103" s="81" t="s">
        <v>1</v>
      </c>
      <c r="AA103" s="77" t="str">
        <f t="shared" si="16"/>
        <v>Heavy vehicles to run on rails to transport people, can be equipped with toilets and special facilities.</v>
      </c>
    </row>
    <row r="104" spans="1:27" ht="6.6" customHeight="1" x14ac:dyDescent="0.25">
      <c r="A104" s="72">
        <v>104</v>
      </c>
      <c r="B104" s="73" t="s">
        <v>1968</v>
      </c>
      <c r="C104" s="83" t="s">
        <v>2000</v>
      </c>
      <c r="D104" s="73" t="s">
        <v>1491</v>
      </c>
      <c r="E104" s="84" t="s">
        <v>1406</v>
      </c>
      <c r="F104" s="32" t="s">
        <v>322</v>
      </c>
      <c r="G104" s="85" t="s">
        <v>1</v>
      </c>
      <c r="H104" s="85" t="s">
        <v>1</v>
      </c>
      <c r="I104" s="85" t="s">
        <v>1</v>
      </c>
      <c r="J104" s="85" t="s">
        <v>1</v>
      </c>
      <c r="K104" s="85" t="s">
        <v>1</v>
      </c>
      <c r="L104" s="86" t="str">
        <f t="shared" si="21"/>
        <v>De.Transportes</v>
      </c>
      <c r="M104" s="76" t="str">
        <f t="shared" si="22"/>
        <v>Ferroviários</v>
      </c>
      <c r="N104" s="76" t="str">
        <f t="shared" si="23"/>
        <v>Trens</v>
      </c>
      <c r="O104" s="77" t="str">
        <f t="shared" si="24"/>
        <v>Vagão.Dormitório</v>
      </c>
      <c r="P104" s="80" t="s">
        <v>323</v>
      </c>
      <c r="Q104" s="77" t="s">
        <v>329</v>
      </c>
      <c r="R104" s="77" t="s">
        <v>1</v>
      </c>
      <c r="S104" s="77" t="str">
        <f t="shared" si="6"/>
        <v>De Transportes</v>
      </c>
      <c r="T104" s="77" t="str">
        <f t="shared" si="6"/>
        <v>Ferroviários</v>
      </c>
      <c r="U104" s="77" t="str">
        <f t="shared" si="6"/>
        <v>Trens</v>
      </c>
      <c r="V104" s="77" t="s">
        <v>1964</v>
      </c>
      <c r="W104" s="78" t="str">
        <f t="shared" si="17"/>
        <v>Key-BRASIL-104</v>
      </c>
      <c r="X104" s="77" t="s">
        <v>1846</v>
      </c>
      <c r="Y104" s="77" t="s">
        <v>1889</v>
      </c>
      <c r="Z104" s="81" t="s">
        <v>1</v>
      </c>
      <c r="AA104" s="77" t="str">
        <f t="shared" si="16"/>
        <v>Heavy rail vehicle to transport people prepared with sleeping facilities.</v>
      </c>
    </row>
    <row r="105" spans="1:27" ht="6.6" customHeight="1" x14ac:dyDescent="0.25">
      <c r="A105" s="72">
        <v>105</v>
      </c>
      <c r="B105" s="73" t="s">
        <v>1968</v>
      </c>
      <c r="C105" s="83" t="s">
        <v>2000</v>
      </c>
      <c r="D105" s="73" t="s">
        <v>1491</v>
      </c>
      <c r="E105" s="84" t="s">
        <v>1406</v>
      </c>
      <c r="F105" s="32" t="s">
        <v>314</v>
      </c>
      <c r="G105" s="85" t="s">
        <v>1</v>
      </c>
      <c r="H105" s="85" t="s">
        <v>1</v>
      </c>
      <c r="I105" s="85" t="s">
        <v>1</v>
      </c>
      <c r="J105" s="85" t="s">
        <v>1</v>
      </c>
      <c r="K105" s="85" t="s">
        <v>1</v>
      </c>
      <c r="L105" s="86" t="str">
        <f t="shared" si="21"/>
        <v>De.Transportes</v>
      </c>
      <c r="M105" s="76" t="str">
        <f t="shared" si="22"/>
        <v>Ferroviários</v>
      </c>
      <c r="N105" s="76" t="str">
        <f t="shared" si="23"/>
        <v>Trens</v>
      </c>
      <c r="O105" s="77" t="str">
        <f t="shared" si="24"/>
        <v>Vagão.Metro</v>
      </c>
      <c r="P105" s="80" t="s">
        <v>321</v>
      </c>
      <c r="Q105" s="77" t="s">
        <v>330</v>
      </c>
      <c r="R105" s="77" t="s">
        <v>1</v>
      </c>
      <c r="S105" s="77" t="str">
        <f t="shared" si="6"/>
        <v>De Transportes</v>
      </c>
      <c r="T105" s="77" t="str">
        <f t="shared" si="6"/>
        <v>Ferroviários</v>
      </c>
      <c r="U105" s="77" t="str">
        <f t="shared" si="6"/>
        <v>Trens</v>
      </c>
      <c r="V105" s="77" t="s">
        <v>1964</v>
      </c>
      <c r="W105" s="78" t="str">
        <f t="shared" si="17"/>
        <v>Key-BRASIL-105</v>
      </c>
      <c r="X105" s="77" t="s">
        <v>1846</v>
      </c>
      <c r="Y105" s="77" t="s">
        <v>1889</v>
      </c>
      <c r="Z105" s="81" t="s">
        <v>1</v>
      </c>
      <c r="AA105" s="77" t="str">
        <f t="shared" si="16"/>
        <v>Heavy vehicle to run on rails to transport people in urban environments.</v>
      </c>
    </row>
    <row r="106" spans="1:27" ht="6.6" customHeight="1" x14ac:dyDescent="0.25">
      <c r="A106" s="72">
        <v>106</v>
      </c>
      <c r="B106" s="73" t="s">
        <v>1968</v>
      </c>
      <c r="C106" s="83" t="s">
        <v>2000</v>
      </c>
      <c r="D106" s="73" t="s">
        <v>1491</v>
      </c>
      <c r="E106" s="84" t="s">
        <v>1406</v>
      </c>
      <c r="F106" s="32" t="s">
        <v>363</v>
      </c>
      <c r="G106" s="85" t="s">
        <v>1</v>
      </c>
      <c r="H106" s="85" t="s">
        <v>1</v>
      </c>
      <c r="I106" s="85" t="s">
        <v>1</v>
      </c>
      <c r="J106" s="85" t="s">
        <v>1</v>
      </c>
      <c r="K106" s="85" t="s">
        <v>1</v>
      </c>
      <c r="L106" s="86" t="str">
        <f t="shared" si="21"/>
        <v>De.Transportes</v>
      </c>
      <c r="M106" s="76" t="str">
        <f t="shared" si="22"/>
        <v>Ferroviários</v>
      </c>
      <c r="N106" s="76" t="str">
        <f t="shared" si="23"/>
        <v>Trens</v>
      </c>
      <c r="O106" s="77" t="str">
        <f t="shared" si="24"/>
        <v>Vagão.Monotrilho</v>
      </c>
      <c r="P106" s="80" t="s">
        <v>321</v>
      </c>
      <c r="Q106" s="77" t="s">
        <v>330</v>
      </c>
      <c r="R106" s="77" t="s">
        <v>1</v>
      </c>
      <c r="S106" s="77" t="str">
        <f t="shared" si="6"/>
        <v>De Transportes</v>
      </c>
      <c r="T106" s="77" t="str">
        <f t="shared" si="6"/>
        <v>Ferroviários</v>
      </c>
      <c r="U106" s="77" t="str">
        <f t="shared" si="6"/>
        <v>Trens</v>
      </c>
      <c r="V106" s="77" t="s">
        <v>1964</v>
      </c>
      <c r="W106" s="78" t="str">
        <f t="shared" si="17"/>
        <v>Key-BRASIL-106</v>
      </c>
      <c r="X106" s="77" t="s">
        <v>1846</v>
      </c>
      <c r="Y106" s="77" t="s">
        <v>1889</v>
      </c>
      <c r="Z106" s="81" t="s">
        <v>1</v>
      </c>
      <c r="AA106" s="77" t="str">
        <f t="shared" si="16"/>
        <v>Heavy vehicle to run on rails to transport people in urban environments.</v>
      </c>
    </row>
    <row r="107" spans="1:27" ht="6.6" customHeight="1" x14ac:dyDescent="0.25">
      <c r="A107" s="72">
        <v>107</v>
      </c>
      <c r="B107" s="73" t="s">
        <v>1968</v>
      </c>
      <c r="C107" s="83" t="s">
        <v>2000</v>
      </c>
      <c r="D107" s="73" t="s">
        <v>1491</v>
      </c>
      <c r="E107" s="84" t="s">
        <v>1406</v>
      </c>
      <c r="F107" s="32" t="s">
        <v>1301</v>
      </c>
      <c r="G107" s="85" t="s">
        <v>1</v>
      </c>
      <c r="H107" s="85" t="s">
        <v>1</v>
      </c>
      <c r="I107" s="85" t="s">
        <v>1</v>
      </c>
      <c r="J107" s="85" t="s">
        <v>1</v>
      </c>
      <c r="K107" s="85" t="s">
        <v>1</v>
      </c>
      <c r="L107" s="86" t="str">
        <f t="shared" si="21"/>
        <v>De.Transportes</v>
      </c>
      <c r="M107" s="76" t="str">
        <f t="shared" si="22"/>
        <v>Ferroviários</v>
      </c>
      <c r="N107" s="76" t="str">
        <f t="shared" si="23"/>
        <v>Trens</v>
      </c>
      <c r="O107" s="77" t="str">
        <f t="shared" si="24"/>
        <v>Vagão.VLT</v>
      </c>
      <c r="P107" s="80" t="s">
        <v>1303</v>
      </c>
      <c r="Q107" s="80" t="s">
        <v>1302</v>
      </c>
      <c r="R107" s="77" t="s">
        <v>1</v>
      </c>
      <c r="S107" s="77" t="str">
        <f t="shared" si="6"/>
        <v>De Transportes</v>
      </c>
      <c r="T107" s="77" t="str">
        <f t="shared" si="6"/>
        <v>Ferroviários</v>
      </c>
      <c r="U107" s="77" t="str">
        <f t="shared" si="6"/>
        <v>Trens</v>
      </c>
      <c r="V107" s="77" t="s">
        <v>1964</v>
      </c>
      <c r="W107" s="78" t="str">
        <f t="shared" si="17"/>
        <v>Key-BRASIL-107</v>
      </c>
      <c r="X107" s="77" t="s">
        <v>1846</v>
      </c>
      <c r="Y107" s="77" t="s">
        <v>1889</v>
      </c>
      <c r="Z107" s="81" t="s">
        <v>1</v>
      </c>
      <c r="AA107" s="77" t="str">
        <f t="shared" si="16"/>
        <v>Light Rail Vehicle (VLT). System of articulated and bidirectional wagons to transport people at the level of urban surroundings.</v>
      </c>
    </row>
    <row r="108" spans="1:27" ht="6.6" customHeight="1" x14ac:dyDescent="0.25">
      <c r="A108" s="72">
        <v>108</v>
      </c>
      <c r="B108" s="73" t="s">
        <v>1968</v>
      </c>
      <c r="C108" s="83" t="s">
        <v>2000</v>
      </c>
      <c r="D108" s="73" t="s">
        <v>1491</v>
      </c>
      <c r="E108" s="84" t="s">
        <v>1406</v>
      </c>
      <c r="F108" s="32" t="s">
        <v>1492</v>
      </c>
      <c r="G108" s="85" t="s">
        <v>1</v>
      </c>
      <c r="H108" s="85" t="s">
        <v>1</v>
      </c>
      <c r="I108" s="85" t="s">
        <v>1</v>
      </c>
      <c r="J108" s="85" t="s">
        <v>1</v>
      </c>
      <c r="K108" s="85" t="s">
        <v>1</v>
      </c>
      <c r="L108" s="86" t="str">
        <f t="shared" si="21"/>
        <v>De.Transportes</v>
      </c>
      <c r="M108" s="76" t="str">
        <f t="shared" si="22"/>
        <v>Ferroviários</v>
      </c>
      <c r="N108" s="76" t="str">
        <f t="shared" si="23"/>
        <v>Trens</v>
      </c>
      <c r="O108" s="77" t="str">
        <f t="shared" si="24"/>
        <v>Trem.de.Alta.Velocidade</v>
      </c>
      <c r="P108" s="80" t="s">
        <v>1494</v>
      </c>
      <c r="Q108" s="80" t="s">
        <v>1495</v>
      </c>
      <c r="R108" s="77" t="s">
        <v>1</v>
      </c>
      <c r="S108" s="77" t="str">
        <f t="shared" ref="S108:U123" si="25">SUBSTITUTE(C108, ".", " ")</f>
        <v>De Transportes</v>
      </c>
      <c r="T108" s="77" t="str">
        <f t="shared" si="25"/>
        <v>Ferroviários</v>
      </c>
      <c r="U108" s="77" t="str">
        <f t="shared" si="25"/>
        <v>Trens</v>
      </c>
      <c r="V108" s="77" t="s">
        <v>1964</v>
      </c>
      <c r="W108" s="78" t="str">
        <f t="shared" si="17"/>
        <v>Key-BRASIL-108</v>
      </c>
      <c r="X108" s="77" t="s">
        <v>1846</v>
      </c>
      <c r="Y108" s="77" t="s">
        <v>1889</v>
      </c>
      <c r="Z108" s="81" t="s">
        <v>1</v>
      </c>
      <c r="AA108" s="77" t="str">
        <f t="shared" si="16"/>
        <v>Bullet or high-speed train. It travels at speeds that can reach 300 km/h.</v>
      </c>
    </row>
    <row r="109" spans="1:27" ht="6.6" customHeight="1" x14ac:dyDescent="0.25">
      <c r="A109" s="72">
        <v>109</v>
      </c>
      <c r="B109" s="73" t="s">
        <v>1968</v>
      </c>
      <c r="C109" s="83" t="s">
        <v>2000</v>
      </c>
      <c r="D109" s="73" t="s">
        <v>1491</v>
      </c>
      <c r="E109" s="84" t="s">
        <v>1406</v>
      </c>
      <c r="F109" s="32" t="s">
        <v>1497</v>
      </c>
      <c r="G109" s="85" t="s">
        <v>1</v>
      </c>
      <c r="H109" s="85" t="s">
        <v>1</v>
      </c>
      <c r="I109" s="85" t="s">
        <v>1</v>
      </c>
      <c r="J109" s="85" t="s">
        <v>1</v>
      </c>
      <c r="K109" s="85" t="s">
        <v>1</v>
      </c>
      <c r="L109" s="86" t="str">
        <f t="shared" si="21"/>
        <v>De.Transportes</v>
      </c>
      <c r="M109" s="76" t="str">
        <f t="shared" si="22"/>
        <v>Ferroviários</v>
      </c>
      <c r="N109" s="76" t="str">
        <f t="shared" si="23"/>
        <v>Trens</v>
      </c>
      <c r="O109" s="77" t="str">
        <f t="shared" si="24"/>
        <v>Trem.Bala</v>
      </c>
      <c r="P109" s="80" t="s">
        <v>1494</v>
      </c>
      <c r="Q109" s="80" t="s">
        <v>1495</v>
      </c>
      <c r="R109" s="77" t="s">
        <v>1</v>
      </c>
      <c r="S109" s="77" t="str">
        <f t="shared" si="25"/>
        <v>De Transportes</v>
      </c>
      <c r="T109" s="77" t="str">
        <f t="shared" si="25"/>
        <v>Ferroviários</v>
      </c>
      <c r="U109" s="77" t="str">
        <f t="shared" si="25"/>
        <v>Trens</v>
      </c>
      <c r="V109" s="77" t="s">
        <v>1964</v>
      </c>
      <c r="W109" s="78" t="str">
        <f t="shared" si="17"/>
        <v>Key-BRASIL-109</v>
      </c>
      <c r="X109" s="77" t="s">
        <v>1846</v>
      </c>
      <c r="Y109" s="77" t="s">
        <v>1889</v>
      </c>
      <c r="Z109" s="81" t="s">
        <v>1</v>
      </c>
      <c r="AA109" s="77" t="str">
        <f t="shared" si="16"/>
        <v>Bullet or high-speed train. It travels at speeds that can reach 300 km/h.</v>
      </c>
    </row>
    <row r="110" spans="1:27" ht="6.6" customHeight="1" x14ac:dyDescent="0.25">
      <c r="A110" s="72">
        <v>110</v>
      </c>
      <c r="B110" s="73" t="s">
        <v>1968</v>
      </c>
      <c r="C110" s="83" t="s">
        <v>2000</v>
      </c>
      <c r="D110" s="73" t="s">
        <v>1491</v>
      </c>
      <c r="E110" s="84" t="s">
        <v>1406</v>
      </c>
      <c r="F110" s="32" t="s">
        <v>1498</v>
      </c>
      <c r="G110" s="85" t="s">
        <v>1</v>
      </c>
      <c r="H110" s="85" t="s">
        <v>1</v>
      </c>
      <c r="I110" s="85" t="s">
        <v>1</v>
      </c>
      <c r="J110" s="85" t="s">
        <v>1</v>
      </c>
      <c r="K110" s="85" t="s">
        <v>1</v>
      </c>
      <c r="L110" s="86" t="str">
        <f t="shared" si="21"/>
        <v>De.Transportes</v>
      </c>
      <c r="M110" s="76" t="str">
        <f t="shared" si="22"/>
        <v>Ferroviários</v>
      </c>
      <c r="N110" s="76" t="str">
        <f t="shared" si="23"/>
        <v>Trens</v>
      </c>
      <c r="O110" s="77" t="str">
        <f t="shared" si="24"/>
        <v>MagLev</v>
      </c>
      <c r="P110" s="80" t="s">
        <v>1493</v>
      </c>
      <c r="Q110" s="80" t="s">
        <v>1496</v>
      </c>
      <c r="R110" s="77" t="s">
        <v>1</v>
      </c>
      <c r="S110" s="77" t="str">
        <f t="shared" si="25"/>
        <v>De Transportes</v>
      </c>
      <c r="T110" s="77" t="str">
        <f t="shared" si="25"/>
        <v>Ferroviários</v>
      </c>
      <c r="U110" s="77" t="str">
        <f t="shared" si="25"/>
        <v>Trens</v>
      </c>
      <c r="V110" s="77" t="s">
        <v>1964</v>
      </c>
      <c r="W110" s="78" t="str">
        <f t="shared" si="17"/>
        <v>Key-BRASIL-110</v>
      </c>
      <c r="X110" s="77" t="s">
        <v>1846</v>
      </c>
      <c r="Y110" s="77" t="s">
        <v>1890</v>
      </c>
      <c r="Z110" s="81" t="s">
        <v>1</v>
      </c>
      <c r="AA110" s="77" t="str">
        <f t="shared" si="16"/>
        <v>Magnetic or Maglev levitation train. It travels on a line elevated over the ground that is propelled by the attractive and repulsive forces of magnetism using superconductors.</v>
      </c>
    </row>
    <row r="111" spans="1:27" ht="6.6" customHeight="1" x14ac:dyDescent="0.25">
      <c r="A111" s="72">
        <v>111</v>
      </c>
      <c r="B111" s="73" t="s">
        <v>1968</v>
      </c>
      <c r="C111" s="83" t="s">
        <v>2000</v>
      </c>
      <c r="D111" s="73" t="s">
        <v>1439</v>
      </c>
      <c r="E111" s="84" t="s">
        <v>1490</v>
      </c>
      <c r="F111" s="32" t="s">
        <v>1501</v>
      </c>
      <c r="G111" s="85" t="s">
        <v>1</v>
      </c>
      <c r="H111" s="85" t="s">
        <v>1</v>
      </c>
      <c r="I111" s="85" t="s">
        <v>1</v>
      </c>
      <c r="J111" s="85" t="s">
        <v>1</v>
      </c>
      <c r="K111" s="85" t="s">
        <v>1</v>
      </c>
      <c r="L111" s="86" t="str">
        <f t="shared" si="21"/>
        <v>De.Transportes</v>
      </c>
      <c r="M111" s="76" t="str">
        <f t="shared" si="22"/>
        <v>Terrestres</v>
      </c>
      <c r="N111" s="76" t="str">
        <f t="shared" si="23"/>
        <v>Veículos Maquinária</v>
      </c>
      <c r="O111" s="77" t="str">
        <f t="shared" si="24"/>
        <v>Trator</v>
      </c>
      <c r="P111" s="80" t="s">
        <v>364</v>
      </c>
      <c r="Q111" s="86" t="s">
        <v>368</v>
      </c>
      <c r="R111" s="77" t="s">
        <v>1</v>
      </c>
      <c r="S111" s="77" t="str">
        <f t="shared" si="25"/>
        <v>De Transportes</v>
      </c>
      <c r="T111" s="77" t="str">
        <f t="shared" si="25"/>
        <v>Terrestres</v>
      </c>
      <c r="U111" s="77" t="str">
        <f t="shared" si="25"/>
        <v>Veículos Maquinária</v>
      </c>
      <c r="V111" s="77" t="s">
        <v>1964</v>
      </c>
      <c r="W111" s="78" t="str">
        <f t="shared" si="17"/>
        <v>Key-BRASIL-111</v>
      </c>
      <c r="X111" s="77" t="s">
        <v>1846</v>
      </c>
      <c r="Y111" s="77" t="s">
        <v>1890</v>
      </c>
      <c r="Z111" s="81" t="s">
        <v>1</v>
      </c>
      <c r="AA111" s="77" t="str">
        <f t="shared" si="16"/>
        <v>Tractor-type construction vehicle.</v>
      </c>
    </row>
    <row r="112" spans="1:27" ht="6.6" customHeight="1" x14ac:dyDescent="0.25">
      <c r="A112" s="72">
        <v>112</v>
      </c>
      <c r="B112" s="73" t="s">
        <v>1968</v>
      </c>
      <c r="C112" s="83" t="s">
        <v>2000</v>
      </c>
      <c r="D112" s="73" t="s">
        <v>1439</v>
      </c>
      <c r="E112" s="84" t="s">
        <v>1490</v>
      </c>
      <c r="F112" s="32" t="s">
        <v>1502</v>
      </c>
      <c r="G112" s="85" t="s">
        <v>1</v>
      </c>
      <c r="H112" s="85" t="s">
        <v>1</v>
      </c>
      <c r="I112" s="85" t="s">
        <v>1</v>
      </c>
      <c r="J112" s="85" t="s">
        <v>1</v>
      </c>
      <c r="K112" s="85" t="s">
        <v>1</v>
      </c>
      <c r="L112" s="86" t="str">
        <f t="shared" si="21"/>
        <v>De.Transportes</v>
      </c>
      <c r="M112" s="76" t="str">
        <f t="shared" si="22"/>
        <v>Terrestres</v>
      </c>
      <c r="N112" s="76" t="str">
        <f t="shared" si="23"/>
        <v>Veículos Maquinária</v>
      </c>
      <c r="O112" s="77" t="str">
        <f t="shared" si="24"/>
        <v xml:space="preserve">Escavadeira.Hidráulica </v>
      </c>
      <c r="P112" s="80" t="s">
        <v>365</v>
      </c>
      <c r="Q112" s="86" t="s">
        <v>369</v>
      </c>
      <c r="R112" s="77" t="s">
        <v>1</v>
      </c>
      <c r="S112" s="77" t="str">
        <f t="shared" si="25"/>
        <v>De Transportes</v>
      </c>
      <c r="T112" s="77" t="str">
        <f t="shared" si="25"/>
        <v>Terrestres</v>
      </c>
      <c r="U112" s="77" t="str">
        <f t="shared" si="25"/>
        <v>Veículos Maquinária</v>
      </c>
      <c r="V112" s="77" t="s">
        <v>1964</v>
      </c>
      <c r="W112" s="78" t="str">
        <f t="shared" si="17"/>
        <v>Key-BRASIL-112</v>
      </c>
      <c r="X112" s="77" t="s">
        <v>1846</v>
      </c>
      <c r="Y112" s="77" t="s">
        <v>1890</v>
      </c>
      <c r="Z112" s="81" t="s">
        <v>1</v>
      </c>
      <c r="AA112" s="77" t="str">
        <f t="shared" si="16"/>
        <v>Hydraulic excavator type construction vehicle.</v>
      </c>
    </row>
    <row r="113" spans="1:27" ht="6.6" customHeight="1" x14ac:dyDescent="0.25">
      <c r="A113" s="72">
        <v>113</v>
      </c>
      <c r="B113" s="73" t="s">
        <v>1968</v>
      </c>
      <c r="C113" s="83" t="s">
        <v>2000</v>
      </c>
      <c r="D113" s="73" t="s">
        <v>1439</v>
      </c>
      <c r="E113" s="84" t="s">
        <v>1490</v>
      </c>
      <c r="F113" s="32" t="s">
        <v>1503</v>
      </c>
      <c r="G113" s="85" t="s">
        <v>1</v>
      </c>
      <c r="H113" s="85" t="s">
        <v>1</v>
      </c>
      <c r="I113" s="85" t="s">
        <v>1</v>
      </c>
      <c r="J113" s="85" t="s">
        <v>1</v>
      </c>
      <c r="K113" s="85" t="s">
        <v>1</v>
      </c>
      <c r="L113" s="86" t="str">
        <f t="shared" si="21"/>
        <v>De.Transportes</v>
      </c>
      <c r="M113" s="76" t="str">
        <f t="shared" si="22"/>
        <v>Terrestres</v>
      </c>
      <c r="N113" s="76" t="str">
        <f t="shared" si="23"/>
        <v>Veículos Maquinária</v>
      </c>
      <c r="O113" s="77" t="str">
        <f t="shared" si="24"/>
        <v>Retroescavadeira</v>
      </c>
      <c r="P113" s="80" t="s">
        <v>366</v>
      </c>
      <c r="Q113" s="86" t="s">
        <v>370</v>
      </c>
      <c r="R113" s="77" t="s">
        <v>1</v>
      </c>
      <c r="S113" s="77" t="str">
        <f t="shared" si="25"/>
        <v>De Transportes</v>
      </c>
      <c r="T113" s="77" t="str">
        <f t="shared" si="25"/>
        <v>Terrestres</v>
      </c>
      <c r="U113" s="77" t="str">
        <f t="shared" si="25"/>
        <v>Veículos Maquinária</v>
      </c>
      <c r="V113" s="77" t="s">
        <v>1964</v>
      </c>
      <c r="W113" s="78" t="str">
        <f t="shared" si="17"/>
        <v>Key-BRASIL-113</v>
      </c>
      <c r="X113" s="77" t="s">
        <v>1846</v>
      </c>
      <c r="Y113" s="77" t="s">
        <v>1890</v>
      </c>
      <c r="Z113" s="81" t="s">
        <v>1</v>
      </c>
      <c r="AA113" s="77" t="str">
        <f t="shared" si="16"/>
        <v>Backhoe type work vehicle.</v>
      </c>
    </row>
    <row r="114" spans="1:27" ht="6.6" customHeight="1" x14ac:dyDescent="0.25">
      <c r="A114" s="72">
        <v>114</v>
      </c>
      <c r="B114" s="73" t="s">
        <v>1968</v>
      </c>
      <c r="C114" s="83" t="s">
        <v>2000</v>
      </c>
      <c r="D114" s="73" t="s">
        <v>1439</v>
      </c>
      <c r="E114" s="84" t="s">
        <v>1490</v>
      </c>
      <c r="F114" s="32" t="s">
        <v>1504</v>
      </c>
      <c r="G114" s="85" t="s">
        <v>1</v>
      </c>
      <c r="H114" s="85" t="s">
        <v>1</v>
      </c>
      <c r="I114" s="85" t="s">
        <v>1</v>
      </c>
      <c r="J114" s="85" t="s">
        <v>1</v>
      </c>
      <c r="K114" s="85" t="s">
        <v>1</v>
      </c>
      <c r="L114" s="86" t="str">
        <f t="shared" si="21"/>
        <v>De.Transportes</v>
      </c>
      <c r="M114" s="76" t="str">
        <f t="shared" si="22"/>
        <v>Terrestres</v>
      </c>
      <c r="N114" s="76" t="str">
        <f t="shared" si="23"/>
        <v>Veículos Maquinária</v>
      </c>
      <c r="O114" s="77" t="str">
        <f t="shared" si="24"/>
        <v>Motoniveladora</v>
      </c>
      <c r="P114" s="80" t="s">
        <v>367</v>
      </c>
      <c r="Q114" s="86" t="s">
        <v>371</v>
      </c>
      <c r="R114" s="77" t="s">
        <v>1</v>
      </c>
      <c r="S114" s="77" t="str">
        <f t="shared" si="25"/>
        <v>De Transportes</v>
      </c>
      <c r="T114" s="77" t="str">
        <f t="shared" si="25"/>
        <v>Terrestres</v>
      </c>
      <c r="U114" s="77" t="str">
        <f t="shared" si="25"/>
        <v>Veículos Maquinária</v>
      </c>
      <c r="V114" s="77" t="s">
        <v>1964</v>
      </c>
      <c r="W114" s="78" t="str">
        <f t="shared" si="17"/>
        <v>Key-BRASIL-114</v>
      </c>
      <c r="X114" s="77" t="s">
        <v>1846</v>
      </c>
      <c r="Y114" s="77" t="s">
        <v>1890</v>
      </c>
      <c r="Z114" s="81" t="s">
        <v>1</v>
      </c>
      <c r="AA114" s="77" t="str">
        <f t="shared" si="16"/>
        <v>Motor grader-type work vehicle.</v>
      </c>
    </row>
    <row r="115" spans="1:27" ht="6.6" customHeight="1" x14ac:dyDescent="0.25">
      <c r="A115" s="72">
        <v>115</v>
      </c>
      <c r="B115" s="73" t="s">
        <v>1968</v>
      </c>
      <c r="C115" s="83" t="s">
        <v>2000</v>
      </c>
      <c r="D115" s="73" t="s">
        <v>1439</v>
      </c>
      <c r="E115" s="84" t="s">
        <v>1490</v>
      </c>
      <c r="F115" s="32" t="s">
        <v>1505</v>
      </c>
      <c r="G115" s="85" t="s">
        <v>1</v>
      </c>
      <c r="H115" s="85" t="s">
        <v>1</v>
      </c>
      <c r="I115" s="85" t="s">
        <v>1</v>
      </c>
      <c r="J115" s="85" t="s">
        <v>1</v>
      </c>
      <c r="K115" s="85" t="s">
        <v>1</v>
      </c>
      <c r="L115" s="86" t="str">
        <f t="shared" si="21"/>
        <v>De.Transportes</v>
      </c>
      <c r="M115" s="76" t="str">
        <f t="shared" si="22"/>
        <v>Terrestres</v>
      </c>
      <c r="N115" s="76" t="str">
        <f t="shared" si="23"/>
        <v>Veículos Maquinária</v>
      </c>
      <c r="O115" s="77" t="str">
        <f t="shared" si="24"/>
        <v>Empilhadeira</v>
      </c>
      <c r="P115" s="80" t="s">
        <v>1508</v>
      </c>
      <c r="Q115" s="86" t="s">
        <v>1510</v>
      </c>
      <c r="R115" s="77" t="s">
        <v>1</v>
      </c>
      <c r="S115" s="77" t="str">
        <f t="shared" si="25"/>
        <v>De Transportes</v>
      </c>
      <c r="T115" s="77" t="str">
        <f t="shared" si="25"/>
        <v>Terrestres</v>
      </c>
      <c r="U115" s="77" t="str">
        <f t="shared" si="25"/>
        <v>Veículos Maquinária</v>
      </c>
      <c r="V115" s="77" t="s">
        <v>1964</v>
      </c>
      <c r="W115" s="78" t="str">
        <f t="shared" si="17"/>
        <v>Key-BRASIL-115</v>
      </c>
      <c r="X115" s="77" t="s">
        <v>1846</v>
      </c>
      <c r="Y115" s="77" t="s">
        <v>1890</v>
      </c>
      <c r="Z115" s="81" t="s">
        <v>1</v>
      </c>
      <c r="AA115" s="77" t="str">
        <f t="shared" si="16"/>
        <v>Forklift type construction vehicle for handling and stacking pallets.</v>
      </c>
    </row>
    <row r="116" spans="1:27" ht="6.6" customHeight="1" x14ac:dyDescent="0.25">
      <c r="A116" s="72">
        <v>116</v>
      </c>
      <c r="B116" s="73" t="s">
        <v>1968</v>
      </c>
      <c r="C116" s="83" t="s">
        <v>2000</v>
      </c>
      <c r="D116" s="73" t="s">
        <v>1439</v>
      </c>
      <c r="E116" s="84" t="s">
        <v>1490</v>
      </c>
      <c r="F116" s="32" t="s">
        <v>1506</v>
      </c>
      <c r="G116" s="85" t="s">
        <v>1</v>
      </c>
      <c r="H116" s="85" t="s">
        <v>1</v>
      </c>
      <c r="I116" s="85" t="s">
        <v>1</v>
      </c>
      <c r="J116" s="85" t="s">
        <v>1</v>
      </c>
      <c r="K116" s="85" t="s">
        <v>1</v>
      </c>
      <c r="L116" s="86" t="str">
        <f t="shared" si="21"/>
        <v>De.Transportes</v>
      </c>
      <c r="M116" s="76" t="str">
        <f t="shared" si="22"/>
        <v>Terrestres</v>
      </c>
      <c r="N116" s="76" t="str">
        <f t="shared" si="23"/>
        <v>Veículos Maquinária</v>
      </c>
      <c r="O116" s="77" t="str">
        <f t="shared" si="24"/>
        <v>Munk</v>
      </c>
      <c r="P116" s="80" t="s">
        <v>1507</v>
      </c>
      <c r="Q116" s="86" t="s">
        <v>1511</v>
      </c>
      <c r="R116" s="77" t="s">
        <v>1</v>
      </c>
      <c r="S116" s="77" t="str">
        <f t="shared" si="25"/>
        <v>De Transportes</v>
      </c>
      <c r="T116" s="77" t="str">
        <f t="shared" si="25"/>
        <v>Terrestres</v>
      </c>
      <c r="U116" s="77" t="str">
        <f t="shared" si="25"/>
        <v>Veículos Maquinária</v>
      </c>
      <c r="V116" s="77" t="s">
        <v>1964</v>
      </c>
      <c r="W116" s="78" t="str">
        <f t="shared" si="17"/>
        <v>Key-BRASIL-116</v>
      </c>
      <c r="X116" s="77" t="s">
        <v>1846</v>
      </c>
      <c r="Y116" s="77" t="s">
        <v>1890</v>
      </c>
      <c r="Z116" s="81" t="s">
        <v>1</v>
      </c>
      <c r="AA116" s="77" t="str">
        <f t="shared" si="16"/>
        <v>Truck-type construction vehicle with built-in crane.</v>
      </c>
    </row>
    <row r="117" spans="1:27" ht="6.6" customHeight="1" x14ac:dyDescent="0.25">
      <c r="A117" s="72">
        <v>117</v>
      </c>
      <c r="B117" s="73" t="s">
        <v>1968</v>
      </c>
      <c r="C117" s="83" t="s">
        <v>2000</v>
      </c>
      <c r="D117" s="73" t="s">
        <v>1439</v>
      </c>
      <c r="E117" s="87" t="s">
        <v>1586</v>
      </c>
      <c r="F117" s="32" t="s">
        <v>1513</v>
      </c>
      <c r="G117" s="85" t="s">
        <v>1</v>
      </c>
      <c r="H117" s="85" t="s">
        <v>1</v>
      </c>
      <c r="I117" s="85" t="s">
        <v>1</v>
      </c>
      <c r="J117" s="85" t="s">
        <v>1</v>
      </c>
      <c r="K117" s="85" t="s">
        <v>1</v>
      </c>
      <c r="L117" s="86" t="str">
        <f t="shared" si="21"/>
        <v>De.Transportes</v>
      </c>
      <c r="M117" s="76" t="str">
        <f t="shared" si="22"/>
        <v>Terrestres</v>
      </c>
      <c r="N117" s="76" t="str">
        <f t="shared" si="23"/>
        <v>Guindastes</v>
      </c>
      <c r="O117" s="77" t="str">
        <f t="shared" si="24"/>
        <v>Guindaste.Telescópico</v>
      </c>
      <c r="P117" s="80" t="s">
        <v>1509</v>
      </c>
      <c r="Q117" s="86" t="s">
        <v>1512</v>
      </c>
      <c r="R117" s="77" t="s">
        <v>1</v>
      </c>
      <c r="S117" s="77" t="str">
        <f t="shared" si="25"/>
        <v>De Transportes</v>
      </c>
      <c r="T117" s="77" t="str">
        <f t="shared" si="25"/>
        <v>Terrestres</v>
      </c>
      <c r="U117" s="77" t="str">
        <f t="shared" si="25"/>
        <v>Guindastes</v>
      </c>
      <c r="V117" s="77" t="s">
        <v>1964</v>
      </c>
      <c r="W117" s="78" t="str">
        <f t="shared" si="17"/>
        <v>Key-BRASIL-117</v>
      </c>
      <c r="X117" s="77" t="s">
        <v>1846</v>
      </c>
      <c r="Y117" s="77" t="s">
        <v>1891</v>
      </c>
      <c r="Z117" s="81" t="s">
        <v>1</v>
      </c>
      <c r="AA117" s="77" t="str">
        <f t="shared" si="16"/>
        <v>Truck-type construction vehicle with telescopic lifting system with built-in horizontal and vertical reach.</v>
      </c>
    </row>
    <row r="118" spans="1:27" ht="6.6" customHeight="1" x14ac:dyDescent="0.25">
      <c r="A118" s="72">
        <v>118</v>
      </c>
      <c r="B118" s="73" t="s">
        <v>1968</v>
      </c>
      <c r="C118" s="83" t="s">
        <v>2000</v>
      </c>
      <c r="D118" s="73" t="s">
        <v>1439</v>
      </c>
      <c r="E118" s="87" t="s">
        <v>1586</v>
      </c>
      <c r="F118" s="74" t="s">
        <v>1587</v>
      </c>
      <c r="G118" s="75" t="s">
        <v>1</v>
      </c>
      <c r="H118" s="75" t="s">
        <v>1</v>
      </c>
      <c r="I118" s="75" t="s">
        <v>1</v>
      </c>
      <c r="J118" s="75" t="s">
        <v>1</v>
      </c>
      <c r="K118" s="75" t="s">
        <v>1</v>
      </c>
      <c r="L118" s="86" t="str">
        <f t="shared" si="21"/>
        <v>De.Transportes</v>
      </c>
      <c r="M118" s="76" t="str">
        <f t="shared" si="22"/>
        <v>Terrestres</v>
      </c>
      <c r="N118" s="76" t="str">
        <f t="shared" si="23"/>
        <v>Guindastes</v>
      </c>
      <c r="O118" s="77" t="str">
        <f t="shared" si="24"/>
        <v>Guindaste.Móvel</v>
      </c>
      <c r="P118" s="77" t="s">
        <v>1589</v>
      </c>
      <c r="Q118" s="86" t="s">
        <v>1707</v>
      </c>
      <c r="R118" s="77" t="s">
        <v>1</v>
      </c>
      <c r="S118" s="77" t="str">
        <f t="shared" si="25"/>
        <v>De Transportes</v>
      </c>
      <c r="T118" s="77" t="str">
        <f t="shared" si="25"/>
        <v>Terrestres</v>
      </c>
      <c r="U118" s="77" t="str">
        <f t="shared" si="25"/>
        <v>Guindastes</v>
      </c>
      <c r="V118" s="77" t="s">
        <v>1964</v>
      </c>
      <c r="W118" s="78" t="str">
        <f t="shared" si="17"/>
        <v>Key-BRASIL-118</v>
      </c>
      <c r="X118" s="77" t="s">
        <v>1844</v>
      </c>
      <c r="Y118" s="77" t="s">
        <v>1891</v>
      </c>
      <c r="Z118" s="81" t="s">
        <v>1</v>
      </c>
      <c r="AA118" s="77" t="str">
        <f t="shared" si="16"/>
        <v>Crane-type operation structure moved on rails.</v>
      </c>
    </row>
    <row r="119" spans="1:27" ht="6.6" customHeight="1" x14ac:dyDescent="0.25">
      <c r="A119" s="72">
        <v>119</v>
      </c>
      <c r="B119" s="73" t="s">
        <v>1968</v>
      </c>
      <c r="C119" s="83" t="s">
        <v>2000</v>
      </c>
      <c r="D119" s="73" t="s">
        <v>1439</v>
      </c>
      <c r="E119" s="87" t="s">
        <v>1586</v>
      </c>
      <c r="F119" s="74" t="s">
        <v>1588</v>
      </c>
      <c r="G119" s="75" t="s">
        <v>1</v>
      </c>
      <c r="H119" s="75" t="s">
        <v>1</v>
      </c>
      <c r="I119" s="75" t="s">
        <v>1</v>
      </c>
      <c r="J119" s="75" t="s">
        <v>1</v>
      </c>
      <c r="K119" s="75" t="s">
        <v>1</v>
      </c>
      <c r="L119" s="86" t="str">
        <f t="shared" si="21"/>
        <v>De.Transportes</v>
      </c>
      <c r="M119" s="76" t="str">
        <f t="shared" si="22"/>
        <v>Terrestres</v>
      </c>
      <c r="N119" s="76" t="str">
        <f t="shared" si="23"/>
        <v>Guindastes</v>
      </c>
      <c r="O119" s="77" t="str">
        <f t="shared" si="24"/>
        <v>Guindaste.Torre</v>
      </c>
      <c r="P119" s="77" t="s">
        <v>1592</v>
      </c>
      <c r="Q119" s="86" t="s">
        <v>1708</v>
      </c>
      <c r="R119" s="77" t="s">
        <v>1</v>
      </c>
      <c r="S119" s="77" t="str">
        <f t="shared" si="25"/>
        <v>De Transportes</v>
      </c>
      <c r="T119" s="77" t="str">
        <f t="shared" si="25"/>
        <v>Terrestres</v>
      </c>
      <c r="U119" s="77" t="str">
        <f t="shared" si="25"/>
        <v>Guindastes</v>
      </c>
      <c r="V119" s="77" t="s">
        <v>1964</v>
      </c>
      <c r="W119" s="78" t="str">
        <f t="shared" si="17"/>
        <v>Key-BRASIL-119</v>
      </c>
      <c r="X119" s="77" t="s">
        <v>1844</v>
      </c>
      <c r="Y119" s="77" t="s">
        <v>1891</v>
      </c>
      <c r="Z119" s="81" t="s">
        <v>1</v>
      </c>
      <c r="AA119" s="77" t="str">
        <f t="shared" si="16"/>
        <v>High tower crane type operation structure which can operate by rotation and travel.</v>
      </c>
    </row>
    <row r="120" spans="1:27" ht="6.6" customHeight="1" x14ac:dyDescent="0.25">
      <c r="A120" s="72">
        <v>120</v>
      </c>
      <c r="B120" s="73" t="s">
        <v>1968</v>
      </c>
      <c r="C120" s="83" t="s">
        <v>2000</v>
      </c>
      <c r="D120" s="73" t="s">
        <v>1439</v>
      </c>
      <c r="E120" s="87" t="s">
        <v>1586</v>
      </c>
      <c r="F120" s="74" t="s">
        <v>1590</v>
      </c>
      <c r="G120" s="75" t="s">
        <v>1</v>
      </c>
      <c r="H120" s="75" t="s">
        <v>1</v>
      </c>
      <c r="I120" s="75" t="s">
        <v>1</v>
      </c>
      <c r="J120" s="75" t="s">
        <v>1</v>
      </c>
      <c r="K120" s="75" t="s">
        <v>1</v>
      </c>
      <c r="L120" s="86" t="str">
        <f t="shared" si="21"/>
        <v>De.Transportes</v>
      </c>
      <c r="M120" s="76" t="str">
        <f t="shared" si="22"/>
        <v>Terrestres</v>
      </c>
      <c r="N120" s="76" t="str">
        <f t="shared" si="23"/>
        <v>Guindastes</v>
      </c>
      <c r="O120" s="77" t="str">
        <f t="shared" si="24"/>
        <v>Guindaste.Lança</v>
      </c>
      <c r="P120" s="77" t="s">
        <v>1591</v>
      </c>
      <c r="Q120" s="86" t="s">
        <v>1709</v>
      </c>
      <c r="R120" s="77" t="s">
        <v>1</v>
      </c>
      <c r="S120" s="77" t="str">
        <f t="shared" si="25"/>
        <v>De Transportes</v>
      </c>
      <c r="T120" s="77" t="str">
        <f t="shared" si="25"/>
        <v>Terrestres</v>
      </c>
      <c r="U120" s="77" t="str">
        <f t="shared" si="25"/>
        <v>Guindastes</v>
      </c>
      <c r="V120" s="77" t="s">
        <v>1964</v>
      </c>
      <c r="W120" s="78" t="str">
        <f t="shared" si="17"/>
        <v>Key-BRASIL-120</v>
      </c>
      <c r="X120" s="77" t="s">
        <v>1844</v>
      </c>
      <c r="Y120" s="77" t="s">
        <v>1891</v>
      </c>
      <c r="Z120" s="81" t="s">
        <v>1</v>
      </c>
      <c r="AA120" s="77" t="str">
        <f t="shared" si="16"/>
        <v>Small crane type operation structure that can operate by rotation and travel.</v>
      </c>
    </row>
    <row r="121" spans="1:27" ht="6.6" customHeight="1" x14ac:dyDescent="0.25">
      <c r="A121" s="72">
        <v>121</v>
      </c>
      <c r="B121" s="73" t="s">
        <v>1968</v>
      </c>
      <c r="C121" s="83" t="s">
        <v>2000</v>
      </c>
      <c r="D121" s="73" t="s">
        <v>1439</v>
      </c>
      <c r="E121" s="87" t="s">
        <v>1586</v>
      </c>
      <c r="F121" s="74" t="s">
        <v>1593</v>
      </c>
      <c r="G121" s="75" t="s">
        <v>1</v>
      </c>
      <c r="H121" s="75" t="s">
        <v>1</v>
      </c>
      <c r="I121" s="75" t="s">
        <v>1</v>
      </c>
      <c r="J121" s="75" t="s">
        <v>1</v>
      </c>
      <c r="K121" s="75" t="s">
        <v>1</v>
      </c>
      <c r="L121" s="86" t="str">
        <f t="shared" si="21"/>
        <v>De.Transportes</v>
      </c>
      <c r="M121" s="76" t="str">
        <f t="shared" si="22"/>
        <v>Terrestres</v>
      </c>
      <c r="N121" s="76" t="str">
        <f t="shared" si="23"/>
        <v>Guindastes</v>
      </c>
      <c r="O121" s="77" t="str">
        <f t="shared" si="24"/>
        <v>Guindaste.Ponte</v>
      </c>
      <c r="P121" s="77" t="s">
        <v>1594</v>
      </c>
      <c r="Q121" s="86" t="s">
        <v>1710</v>
      </c>
      <c r="R121" s="77" t="s">
        <v>1</v>
      </c>
      <c r="S121" s="77" t="str">
        <f t="shared" si="25"/>
        <v>De Transportes</v>
      </c>
      <c r="T121" s="77" t="str">
        <f t="shared" si="25"/>
        <v>Terrestres</v>
      </c>
      <c r="U121" s="77" t="str">
        <f t="shared" si="25"/>
        <v>Guindastes</v>
      </c>
      <c r="V121" s="77" t="s">
        <v>1964</v>
      </c>
      <c r="W121" s="78" t="str">
        <f t="shared" si="17"/>
        <v>Key-BRASIL-121</v>
      </c>
      <c r="X121" s="77" t="s">
        <v>1844</v>
      </c>
      <c r="Y121" s="77" t="s">
        <v>1892</v>
      </c>
      <c r="Z121" s="81" t="s">
        <v>1</v>
      </c>
      <c r="AA121" s="77" t="str">
        <f t="shared" si="16"/>
        <v>Crane-type operation structure in gantry format.</v>
      </c>
    </row>
    <row r="122" spans="1:27" ht="6.6" customHeight="1" x14ac:dyDescent="0.25">
      <c r="A122" s="72">
        <v>122</v>
      </c>
      <c r="B122" s="73" t="s">
        <v>1968</v>
      </c>
      <c r="C122" s="83" t="s">
        <v>2000</v>
      </c>
      <c r="D122" s="73" t="s">
        <v>1439</v>
      </c>
      <c r="E122" s="84" t="s">
        <v>1434</v>
      </c>
      <c r="F122" s="32" t="s">
        <v>183</v>
      </c>
      <c r="G122" s="85" t="s">
        <v>1</v>
      </c>
      <c r="H122" s="85" t="s">
        <v>1</v>
      </c>
      <c r="I122" s="85" t="s">
        <v>1</v>
      </c>
      <c r="J122" s="85" t="s">
        <v>1</v>
      </c>
      <c r="K122" s="85" t="s">
        <v>1</v>
      </c>
      <c r="L122" s="86" t="str">
        <f t="shared" si="21"/>
        <v>De.Transportes</v>
      </c>
      <c r="M122" s="76" t="str">
        <f t="shared" si="22"/>
        <v>Terrestres</v>
      </c>
      <c r="N122" s="76" t="str">
        <f t="shared" si="23"/>
        <v>Veículos Pesados</v>
      </c>
      <c r="O122" s="77" t="str">
        <f t="shared" si="24"/>
        <v>Caminhão.Baú</v>
      </c>
      <c r="P122" s="80" t="s">
        <v>193</v>
      </c>
      <c r="Q122" s="86" t="s">
        <v>200</v>
      </c>
      <c r="R122" s="77" t="s">
        <v>1</v>
      </c>
      <c r="S122" s="77" t="str">
        <f t="shared" si="25"/>
        <v>De Transportes</v>
      </c>
      <c r="T122" s="77" t="str">
        <f t="shared" si="25"/>
        <v>Terrestres</v>
      </c>
      <c r="U122" s="77" t="str">
        <f t="shared" si="25"/>
        <v>Veículos Pesados</v>
      </c>
      <c r="V122" s="77" t="s">
        <v>1964</v>
      </c>
      <c r="W122" s="78" t="str">
        <f t="shared" si="17"/>
        <v>Key-BRASIL-122</v>
      </c>
      <c r="X122" s="77" t="s">
        <v>1846</v>
      </c>
      <c r="Y122" s="77" t="s">
        <v>1892</v>
      </c>
      <c r="Z122" s="81" t="s">
        <v>1</v>
      </c>
      <c r="AA122" s="77" t="str">
        <f t="shared" si="16"/>
        <v>High-capacity product loading vehicle with closed body.</v>
      </c>
    </row>
    <row r="123" spans="1:27" ht="6.6" customHeight="1" x14ac:dyDescent="0.25">
      <c r="A123" s="72">
        <v>123</v>
      </c>
      <c r="B123" s="73" t="s">
        <v>1968</v>
      </c>
      <c r="C123" s="83" t="s">
        <v>2000</v>
      </c>
      <c r="D123" s="73" t="s">
        <v>1439</v>
      </c>
      <c r="E123" s="84" t="s">
        <v>1434</v>
      </c>
      <c r="F123" s="32" t="s">
        <v>184</v>
      </c>
      <c r="G123" s="85" t="s">
        <v>1</v>
      </c>
      <c r="H123" s="85" t="s">
        <v>1</v>
      </c>
      <c r="I123" s="85" t="s">
        <v>1</v>
      </c>
      <c r="J123" s="85" t="s">
        <v>1</v>
      </c>
      <c r="K123" s="85" t="s">
        <v>1</v>
      </c>
      <c r="L123" s="86" t="str">
        <f t="shared" si="21"/>
        <v>De.Transportes</v>
      </c>
      <c r="M123" s="76" t="str">
        <f t="shared" si="22"/>
        <v>Terrestres</v>
      </c>
      <c r="N123" s="76" t="str">
        <f t="shared" si="23"/>
        <v>Veículos Pesados</v>
      </c>
      <c r="O123" s="77" t="str">
        <f t="shared" si="24"/>
        <v>Caminhão.Tanque</v>
      </c>
      <c r="P123" s="80" t="s">
        <v>189</v>
      </c>
      <c r="Q123" s="86" t="s">
        <v>201</v>
      </c>
      <c r="R123" s="77" t="s">
        <v>1</v>
      </c>
      <c r="S123" s="77" t="str">
        <f t="shared" si="25"/>
        <v>De Transportes</v>
      </c>
      <c r="T123" s="77" t="str">
        <f t="shared" si="25"/>
        <v>Terrestres</v>
      </c>
      <c r="U123" s="77" t="str">
        <f t="shared" si="25"/>
        <v>Veículos Pesados</v>
      </c>
      <c r="V123" s="77" t="s">
        <v>1964</v>
      </c>
      <c r="W123" s="78" t="str">
        <f t="shared" si="17"/>
        <v>Key-BRASIL-123</v>
      </c>
      <c r="X123" s="77" t="s">
        <v>1846</v>
      </c>
      <c r="Y123" s="77" t="s">
        <v>1892</v>
      </c>
      <c r="Z123" s="81" t="s">
        <v>1</v>
      </c>
      <c r="AA123" s="77" t="str">
        <f t="shared" si="16"/>
        <v>Cargo vehicle with a high capacity to transport fluids or fuels.</v>
      </c>
    </row>
    <row r="124" spans="1:27" ht="6.6" customHeight="1" x14ac:dyDescent="0.25">
      <c r="A124" s="72">
        <v>124</v>
      </c>
      <c r="B124" s="73" t="s">
        <v>1968</v>
      </c>
      <c r="C124" s="83" t="s">
        <v>2000</v>
      </c>
      <c r="D124" s="73" t="s">
        <v>1439</v>
      </c>
      <c r="E124" s="84" t="s">
        <v>1434</v>
      </c>
      <c r="F124" s="32" t="s">
        <v>185</v>
      </c>
      <c r="G124" s="85" t="s">
        <v>1</v>
      </c>
      <c r="H124" s="85" t="s">
        <v>1</v>
      </c>
      <c r="I124" s="85" t="s">
        <v>1</v>
      </c>
      <c r="J124" s="85" t="s">
        <v>1</v>
      </c>
      <c r="K124" s="85" t="s">
        <v>1</v>
      </c>
      <c r="L124" s="86" t="str">
        <f t="shared" si="21"/>
        <v>De.Transportes</v>
      </c>
      <c r="M124" s="76" t="str">
        <f t="shared" si="22"/>
        <v>Terrestres</v>
      </c>
      <c r="N124" s="76" t="str">
        <f t="shared" si="23"/>
        <v>Veículos Pesados</v>
      </c>
      <c r="O124" s="77" t="str">
        <f t="shared" si="24"/>
        <v>Caminhão.Caçamba</v>
      </c>
      <c r="P124" s="80" t="s">
        <v>195</v>
      </c>
      <c r="Q124" s="86" t="s">
        <v>202</v>
      </c>
      <c r="R124" s="77" t="s">
        <v>1</v>
      </c>
      <c r="S124" s="77" t="str">
        <f t="shared" ref="S124:U139" si="26">SUBSTITUTE(C124, ".", " ")</f>
        <v>De Transportes</v>
      </c>
      <c r="T124" s="77" t="str">
        <f t="shared" si="26"/>
        <v>Terrestres</v>
      </c>
      <c r="U124" s="77" t="str">
        <f t="shared" si="26"/>
        <v>Veículos Pesados</v>
      </c>
      <c r="V124" s="77" t="s">
        <v>1964</v>
      </c>
      <c r="W124" s="78" t="str">
        <f t="shared" si="17"/>
        <v>Key-BRASIL-124</v>
      </c>
      <c r="X124" s="77" t="s">
        <v>1846</v>
      </c>
      <c r="Y124" s="77" t="s">
        <v>1892</v>
      </c>
      <c r="Z124" s="81" t="s">
        <v>1</v>
      </c>
      <c r="AA124" s="77" t="str">
        <f t="shared" si="16"/>
        <v>Cargo vehicle with high capacity for transporting and unloading bulk materials such as sand, gravel, earth, rubble or gravel. The bucket can be tipped.</v>
      </c>
    </row>
    <row r="125" spans="1:27" ht="6.6" customHeight="1" x14ac:dyDescent="0.25">
      <c r="A125" s="72">
        <v>125</v>
      </c>
      <c r="B125" s="73" t="s">
        <v>1968</v>
      </c>
      <c r="C125" s="83" t="s">
        <v>2000</v>
      </c>
      <c r="D125" s="73" t="s">
        <v>1439</v>
      </c>
      <c r="E125" s="84" t="s">
        <v>1434</v>
      </c>
      <c r="F125" s="32" t="s">
        <v>186</v>
      </c>
      <c r="G125" s="85" t="s">
        <v>1</v>
      </c>
      <c r="H125" s="85" t="s">
        <v>1</v>
      </c>
      <c r="I125" s="85" t="s">
        <v>1</v>
      </c>
      <c r="J125" s="85" t="s">
        <v>1</v>
      </c>
      <c r="K125" s="85" t="s">
        <v>1</v>
      </c>
      <c r="L125" s="86" t="str">
        <f t="shared" si="21"/>
        <v>De.Transportes</v>
      </c>
      <c r="M125" s="76" t="str">
        <f t="shared" si="22"/>
        <v>Terrestres</v>
      </c>
      <c r="N125" s="76" t="str">
        <f t="shared" si="23"/>
        <v>Veículos Pesados</v>
      </c>
      <c r="O125" s="77" t="str">
        <f t="shared" si="24"/>
        <v>Caminhão.BiTrem</v>
      </c>
      <c r="P125" s="80" t="s">
        <v>194</v>
      </c>
      <c r="Q125" s="86" t="s">
        <v>203</v>
      </c>
      <c r="R125" s="77" t="s">
        <v>1</v>
      </c>
      <c r="S125" s="77" t="str">
        <f t="shared" si="26"/>
        <v>De Transportes</v>
      </c>
      <c r="T125" s="77" t="str">
        <f t="shared" si="26"/>
        <v>Terrestres</v>
      </c>
      <c r="U125" s="77" t="str">
        <f t="shared" si="26"/>
        <v>Veículos Pesados</v>
      </c>
      <c r="V125" s="77" t="s">
        <v>1964</v>
      </c>
      <c r="W125" s="78" t="str">
        <f t="shared" si="17"/>
        <v>Key-BRASIL-125</v>
      </c>
      <c r="X125" s="77" t="s">
        <v>1846</v>
      </c>
      <c r="Y125" s="77" t="s">
        <v>1892</v>
      </c>
      <c r="Z125" s="81" t="s">
        <v>1</v>
      </c>
      <c r="AA125" s="77" t="str">
        <f t="shared" si="16"/>
        <v>High-capacity cargo vehicle with two trailers (or semi-trailers) attached to the tractor truck.</v>
      </c>
    </row>
    <row r="126" spans="1:27" ht="6.6" customHeight="1" x14ac:dyDescent="0.25">
      <c r="A126" s="72">
        <v>126</v>
      </c>
      <c r="B126" s="73" t="s">
        <v>1968</v>
      </c>
      <c r="C126" s="83" t="s">
        <v>2000</v>
      </c>
      <c r="D126" s="73" t="s">
        <v>1439</v>
      </c>
      <c r="E126" s="84" t="s">
        <v>1434</v>
      </c>
      <c r="F126" s="32" t="s">
        <v>187</v>
      </c>
      <c r="G126" s="85" t="s">
        <v>1</v>
      </c>
      <c r="H126" s="85" t="s">
        <v>1</v>
      </c>
      <c r="I126" s="85" t="s">
        <v>1</v>
      </c>
      <c r="J126" s="85" t="s">
        <v>1</v>
      </c>
      <c r="K126" s="85" t="s">
        <v>1</v>
      </c>
      <c r="L126" s="86" t="str">
        <f t="shared" si="21"/>
        <v>De.Transportes</v>
      </c>
      <c r="M126" s="76" t="str">
        <f t="shared" si="22"/>
        <v>Terrestres</v>
      </c>
      <c r="N126" s="76" t="str">
        <f t="shared" si="23"/>
        <v>Veículos Pesados</v>
      </c>
      <c r="O126" s="77" t="str">
        <f t="shared" si="24"/>
        <v>Caminhão.Carroceria</v>
      </c>
      <c r="P126" s="80" t="s">
        <v>190</v>
      </c>
      <c r="Q126" s="86" t="s">
        <v>204</v>
      </c>
      <c r="R126" s="77" t="s">
        <v>1</v>
      </c>
      <c r="S126" s="77" t="str">
        <f t="shared" si="26"/>
        <v>De Transportes</v>
      </c>
      <c r="T126" s="77" t="str">
        <f t="shared" si="26"/>
        <v>Terrestres</v>
      </c>
      <c r="U126" s="77" t="str">
        <f t="shared" si="26"/>
        <v>Veículos Pesados</v>
      </c>
      <c r="V126" s="77" t="s">
        <v>1964</v>
      </c>
      <c r="W126" s="78" t="str">
        <f t="shared" si="17"/>
        <v>Key-BRASIL-126</v>
      </c>
      <c r="X126" s="77" t="s">
        <v>1846</v>
      </c>
      <c r="Y126" s="77" t="s">
        <v>1892</v>
      </c>
      <c r="Z126" s="81" t="s">
        <v>1</v>
      </c>
      <c r="AA126" s="77" t="str">
        <f t="shared" si="16"/>
        <v>Cargo vehicle with an open or semi-open structure at the rear.</v>
      </c>
    </row>
    <row r="127" spans="1:27" ht="6.6" customHeight="1" x14ac:dyDescent="0.25">
      <c r="A127" s="72">
        <v>127</v>
      </c>
      <c r="B127" s="73" t="s">
        <v>1968</v>
      </c>
      <c r="C127" s="83" t="s">
        <v>2000</v>
      </c>
      <c r="D127" s="73" t="s">
        <v>1439</v>
      </c>
      <c r="E127" s="84" t="s">
        <v>1434</v>
      </c>
      <c r="F127" s="32" t="s">
        <v>188</v>
      </c>
      <c r="G127" s="85" t="s">
        <v>1</v>
      </c>
      <c r="H127" s="85" t="s">
        <v>1</v>
      </c>
      <c r="I127" s="85" t="s">
        <v>1</v>
      </c>
      <c r="J127" s="85" t="s">
        <v>1</v>
      </c>
      <c r="K127" s="85" t="s">
        <v>1</v>
      </c>
      <c r="L127" s="86" t="str">
        <f t="shared" si="21"/>
        <v>De.Transportes</v>
      </c>
      <c r="M127" s="76" t="str">
        <f t="shared" si="22"/>
        <v>Terrestres</v>
      </c>
      <c r="N127" s="76" t="str">
        <f t="shared" si="23"/>
        <v>Veículos Pesados</v>
      </c>
      <c r="O127" s="77" t="str">
        <f t="shared" si="24"/>
        <v>Caminhão.Graneleiro</v>
      </c>
      <c r="P127" s="80" t="s">
        <v>191</v>
      </c>
      <c r="Q127" s="86" t="s">
        <v>205</v>
      </c>
      <c r="R127" s="77" t="s">
        <v>1</v>
      </c>
      <c r="S127" s="77" t="str">
        <f t="shared" si="26"/>
        <v>De Transportes</v>
      </c>
      <c r="T127" s="77" t="str">
        <f t="shared" si="26"/>
        <v>Terrestres</v>
      </c>
      <c r="U127" s="77" t="str">
        <f t="shared" si="26"/>
        <v>Veículos Pesados</v>
      </c>
      <c r="V127" s="77" t="s">
        <v>1964</v>
      </c>
      <c r="W127" s="78" t="str">
        <f t="shared" si="17"/>
        <v>Key-BRASIL-127</v>
      </c>
      <c r="X127" s="77" t="s">
        <v>1846</v>
      </c>
      <c r="Y127" s="77" t="s">
        <v>1892</v>
      </c>
      <c r="Z127" s="81" t="s">
        <v>1</v>
      </c>
      <c r="AA127" s="77" t="str">
        <f t="shared" si="16"/>
        <v>Cargo vehicle used to transport grains.</v>
      </c>
    </row>
    <row r="128" spans="1:27" ht="6.6" customHeight="1" x14ac:dyDescent="0.25">
      <c r="A128" s="72">
        <v>128</v>
      </c>
      <c r="B128" s="73" t="s">
        <v>1968</v>
      </c>
      <c r="C128" s="83" t="s">
        <v>2000</v>
      </c>
      <c r="D128" s="73" t="s">
        <v>1439</v>
      </c>
      <c r="E128" s="84" t="s">
        <v>1434</v>
      </c>
      <c r="F128" s="32" t="s">
        <v>192</v>
      </c>
      <c r="G128" s="85" t="s">
        <v>1</v>
      </c>
      <c r="H128" s="85" t="s">
        <v>1</v>
      </c>
      <c r="I128" s="85" t="s">
        <v>1</v>
      </c>
      <c r="J128" s="85" t="s">
        <v>1</v>
      </c>
      <c r="K128" s="85" t="s">
        <v>1</v>
      </c>
      <c r="L128" s="86" t="str">
        <f t="shared" si="21"/>
        <v>De.Transportes</v>
      </c>
      <c r="M128" s="76" t="str">
        <f t="shared" si="22"/>
        <v>Terrestres</v>
      </c>
      <c r="N128" s="76" t="str">
        <f t="shared" si="23"/>
        <v>Veículos Pesados</v>
      </c>
      <c r="O128" s="77" t="str">
        <f t="shared" si="24"/>
        <v>Caminhão.Frigorífico</v>
      </c>
      <c r="P128" s="80" t="s">
        <v>196</v>
      </c>
      <c r="Q128" s="86" t="s">
        <v>206</v>
      </c>
      <c r="R128" s="77" t="s">
        <v>1</v>
      </c>
      <c r="S128" s="77" t="str">
        <f t="shared" si="26"/>
        <v>De Transportes</v>
      </c>
      <c r="T128" s="77" t="str">
        <f t="shared" si="26"/>
        <v>Terrestres</v>
      </c>
      <c r="U128" s="77" t="str">
        <f t="shared" si="26"/>
        <v>Veículos Pesados</v>
      </c>
      <c r="V128" s="77" t="s">
        <v>1964</v>
      </c>
      <c r="W128" s="78" t="str">
        <f t="shared" ref="W128:W191" si="27">CONCATENATE("Key-BRASIL-",A128)</f>
        <v>Key-BRASIL-128</v>
      </c>
      <c r="X128" s="77" t="s">
        <v>1846</v>
      </c>
      <c r="Y128" s="77" t="s">
        <v>1892</v>
      </c>
      <c r="Z128" s="81" t="s">
        <v>1</v>
      </c>
      <c r="AA128" s="77" t="str">
        <f t="shared" si="16"/>
        <v>Cargo vehicle used to transport cargo that needs to be kept at controlled temperatures. Essential to ensure the cold chain.</v>
      </c>
    </row>
    <row r="129" spans="1:27" ht="6.6" customHeight="1" x14ac:dyDescent="0.25">
      <c r="A129" s="72">
        <v>129</v>
      </c>
      <c r="B129" s="73" t="s">
        <v>1968</v>
      </c>
      <c r="C129" s="83" t="s">
        <v>2000</v>
      </c>
      <c r="D129" s="73" t="s">
        <v>1439</v>
      </c>
      <c r="E129" s="84" t="s">
        <v>1434</v>
      </c>
      <c r="F129" s="32" t="s">
        <v>260</v>
      </c>
      <c r="G129" s="85" t="s">
        <v>1</v>
      </c>
      <c r="H129" s="85" t="s">
        <v>1</v>
      </c>
      <c r="I129" s="85" t="s">
        <v>1</v>
      </c>
      <c r="J129" s="85" t="s">
        <v>1</v>
      </c>
      <c r="K129" s="85" t="s">
        <v>1</v>
      </c>
      <c r="L129" s="86" t="str">
        <f t="shared" si="21"/>
        <v>De.Transportes</v>
      </c>
      <c r="M129" s="76" t="str">
        <f t="shared" si="22"/>
        <v>Terrestres</v>
      </c>
      <c r="N129" s="76" t="str">
        <f t="shared" si="23"/>
        <v>Veículos Pesados</v>
      </c>
      <c r="O129" s="77" t="str">
        <f t="shared" si="24"/>
        <v>Caminhão.Trator</v>
      </c>
      <c r="P129" s="80" t="s">
        <v>261</v>
      </c>
      <c r="Q129" s="86" t="s">
        <v>262</v>
      </c>
      <c r="R129" s="77" t="s">
        <v>1</v>
      </c>
      <c r="S129" s="77" t="str">
        <f t="shared" si="26"/>
        <v>De Transportes</v>
      </c>
      <c r="T129" s="77" t="str">
        <f t="shared" si="26"/>
        <v>Terrestres</v>
      </c>
      <c r="U129" s="77" t="str">
        <f t="shared" si="26"/>
        <v>Veículos Pesados</v>
      </c>
      <c r="V129" s="77" t="s">
        <v>1964</v>
      </c>
      <c r="W129" s="78" t="str">
        <f t="shared" si="27"/>
        <v>Key-BRASIL-129</v>
      </c>
      <c r="X129" s="77" t="s">
        <v>1846</v>
      </c>
      <c r="Y129" s="77" t="s">
        <v>1892</v>
      </c>
      <c r="Z129" s="81" t="s">
        <v>1</v>
      </c>
      <c r="AA129" s="77" t="str">
        <f t="shared" si="16"/>
        <v>Vehicle with cabin and engine to pull semi-trailers forming an articulated set.</v>
      </c>
    </row>
    <row r="130" spans="1:27" ht="6.6" customHeight="1" x14ac:dyDescent="0.25">
      <c r="A130" s="72">
        <v>130</v>
      </c>
      <c r="B130" s="73" t="s">
        <v>1968</v>
      </c>
      <c r="C130" s="83" t="s">
        <v>2000</v>
      </c>
      <c r="D130" s="73" t="s">
        <v>1439</v>
      </c>
      <c r="E130" s="84" t="s">
        <v>1434</v>
      </c>
      <c r="F130" s="32" t="s">
        <v>89</v>
      </c>
      <c r="G130" s="85" t="s">
        <v>1</v>
      </c>
      <c r="H130" s="85" t="s">
        <v>1</v>
      </c>
      <c r="I130" s="85" t="s">
        <v>1</v>
      </c>
      <c r="J130" s="85" t="s">
        <v>1</v>
      </c>
      <c r="K130" s="85" t="s">
        <v>1</v>
      </c>
      <c r="L130" s="86" t="str">
        <f t="shared" si="21"/>
        <v>De.Transportes</v>
      </c>
      <c r="M130" s="76" t="str">
        <f t="shared" si="22"/>
        <v>Terrestres</v>
      </c>
      <c r="N130" s="76" t="str">
        <f t="shared" si="23"/>
        <v>Veículos Pesados</v>
      </c>
      <c r="O130" s="77" t="str">
        <f t="shared" si="24"/>
        <v>Ônibus</v>
      </c>
      <c r="P130" s="80" t="s">
        <v>1305</v>
      </c>
      <c r="Q130" s="86" t="s">
        <v>1308</v>
      </c>
      <c r="R130" s="77" t="s">
        <v>1</v>
      </c>
      <c r="S130" s="77" t="str">
        <f t="shared" si="26"/>
        <v>De Transportes</v>
      </c>
      <c r="T130" s="77" t="str">
        <f t="shared" si="26"/>
        <v>Terrestres</v>
      </c>
      <c r="U130" s="77" t="str">
        <f t="shared" si="26"/>
        <v>Veículos Pesados</v>
      </c>
      <c r="V130" s="77" t="s">
        <v>1964</v>
      </c>
      <c r="W130" s="78" t="str">
        <f t="shared" si="27"/>
        <v>Key-BRASIL-130</v>
      </c>
      <c r="X130" s="77" t="s">
        <v>1846</v>
      </c>
      <c r="Y130" s="77" t="s">
        <v>1892</v>
      </c>
      <c r="Z130" s="81" t="s">
        <v>1</v>
      </c>
      <c r="AA130" s="77" t="str">
        <f t="shared" si="16"/>
        <v>Public transport vehicle with more than 20 passengers.</v>
      </c>
    </row>
    <row r="131" spans="1:27" ht="6.6" customHeight="1" x14ac:dyDescent="0.25">
      <c r="A131" s="72">
        <v>131</v>
      </c>
      <c r="B131" s="73" t="s">
        <v>1968</v>
      </c>
      <c r="C131" s="83" t="s">
        <v>2000</v>
      </c>
      <c r="D131" s="73" t="s">
        <v>1439</v>
      </c>
      <c r="E131" s="84" t="s">
        <v>1434</v>
      </c>
      <c r="F131" s="32" t="s">
        <v>1304</v>
      </c>
      <c r="G131" s="85" t="s">
        <v>1</v>
      </c>
      <c r="H131" s="85" t="s">
        <v>1</v>
      </c>
      <c r="I131" s="85" t="s">
        <v>1</v>
      </c>
      <c r="J131" s="85" t="s">
        <v>1</v>
      </c>
      <c r="K131" s="85" t="s">
        <v>1</v>
      </c>
      <c r="L131" s="86" t="str">
        <f t="shared" si="21"/>
        <v>De.Transportes</v>
      </c>
      <c r="M131" s="76" t="str">
        <f t="shared" si="22"/>
        <v>Terrestres</v>
      </c>
      <c r="N131" s="76" t="str">
        <f t="shared" si="23"/>
        <v>Veículos Pesados</v>
      </c>
      <c r="O131" s="77" t="str">
        <f t="shared" si="24"/>
        <v>Ônibus.BRT</v>
      </c>
      <c r="P131" s="80" t="s">
        <v>1306</v>
      </c>
      <c r="Q131" s="86" t="s">
        <v>1309</v>
      </c>
      <c r="R131" s="77" t="s">
        <v>1</v>
      </c>
      <c r="S131" s="77" t="str">
        <f t="shared" si="26"/>
        <v>De Transportes</v>
      </c>
      <c r="T131" s="77" t="str">
        <f t="shared" si="26"/>
        <v>Terrestres</v>
      </c>
      <c r="U131" s="77" t="str">
        <f t="shared" si="26"/>
        <v>Veículos Pesados</v>
      </c>
      <c r="V131" s="77" t="s">
        <v>1964</v>
      </c>
      <c r="W131" s="78" t="str">
        <f t="shared" si="27"/>
        <v>Key-BRASIL-131</v>
      </c>
      <c r="X131" s="77" t="s">
        <v>1846</v>
      </c>
      <c r="Y131" s="77" t="s">
        <v>1892</v>
      </c>
      <c r="Z131" s="81" t="s">
        <v>1</v>
      </c>
      <c r="AA131" s="77" t="str">
        <f t="shared" si="16"/>
        <v>Bus Rapid Transit (BRT) system public transport vehicle. High capacity urban bus system that operates on exclusive rails.</v>
      </c>
    </row>
    <row r="132" spans="1:27" ht="6.6" customHeight="1" x14ac:dyDescent="0.25">
      <c r="A132" s="72">
        <v>132</v>
      </c>
      <c r="B132" s="73" t="s">
        <v>1968</v>
      </c>
      <c r="C132" s="83" t="s">
        <v>2000</v>
      </c>
      <c r="D132" s="73" t="s">
        <v>1439</v>
      </c>
      <c r="E132" s="84" t="s">
        <v>1434</v>
      </c>
      <c r="F132" s="32" t="s">
        <v>90</v>
      </c>
      <c r="G132" s="85" t="s">
        <v>1</v>
      </c>
      <c r="H132" s="85" t="s">
        <v>1</v>
      </c>
      <c r="I132" s="85" t="s">
        <v>1</v>
      </c>
      <c r="J132" s="85" t="s">
        <v>1</v>
      </c>
      <c r="K132" s="85" t="s">
        <v>1</v>
      </c>
      <c r="L132" s="86" t="str">
        <f t="shared" si="21"/>
        <v>De.Transportes</v>
      </c>
      <c r="M132" s="76" t="str">
        <f t="shared" si="22"/>
        <v>Terrestres</v>
      </c>
      <c r="N132" s="76" t="str">
        <f t="shared" si="23"/>
        <v>Veículos Pesados</v>
      </c>
      <c r="O132" s="77" t="str">
        <f t="shared" si="24"/>
        <v>Microônibus</v>
      </c>
      <c r="P132" s="80" t="s">
        <v>1307</v>
      </c>
      <c r="Q132" s="86" t="s">
        <v>1310</v>
      </c>
      <c r="R132" s="77" t="s">
        <v>1</v>
      </c>
      <c r="S132" s="77" t="str">
        <f t="shared" si="26"/>
        <v>De Transportes</v>
      </c>
      <c r="T132" s="77" t="str">
        <f t="shared" si="26"/>
        <v>Terrestres</v>
      </c>
      <c r="U132" s="77" t="str">
        <f t="shared" si="26"/>
        <v>Veículos Pesados</v>
      </c>
      <c r="V132" s="77" t="s">
        <v>1964</v>
      </c>
      <c r="W132" s="78" t="str">
        <f t="shared" si="27"/>
        <v>Key-BRASIL-132</v>
      </c>
      <c r="X132" s="77" t="s">
        <v>1846</v>
      </c>
      <c r="Y132" s="77" t="s">
        <v>1892</v>
      </c>
      <c r="Z132" s="81" t="s">
        <v>1</v>
      </c>
      <c r="AA132" s="77" t="str">
        <f t="shared" ref="AA132:AA195" si="28">_xlfn.TRANSLATE(P132,"pt","en")</f>
        <v>Public transport vehicle with up to 20 passengers.</v>
      </c>
    </row>
    <row r="133" spans="1:27" ht="6.6" customHeight="1" x14ac:dyDescent="0.25">
      <c r="A133" s="72">
        <v>133</v>
      </c>
      <c r="B133" s="73" t="s">
        <v>1968</v>
      </c>
      <c r="C133" s="83" t="s">
        <v>2000</v>
      </c>
      <c r="D133" s="73" t="s">
        <v>1439</v>
      </c>
      <c r="E133" s="84" t="s">
        <v>1434</v>
      </c>
      <c r="F133" s="32" t="s">
        <v>95</v>
      </c>
      <c r="G133" s="85" t="s">
        <v>1</v>
      </c>
      <c r="H133" s="85" t="s">
        <v>1</v>
      </c>
      <c r="I133" s="85" t="s">
        <v>1</v>
      </c>
      <c r="J133" s="85" t="s">
        <v>1</v>
      </c>
      <c r="K133" s="85" t="s">
        <v>1</v>
      </c>
      <c r="L133" s="86" t="str">
        <f t="shared" si="21"/>
        <v>De.Transportes</v>
      </c>
      <c r="M133" s="76" t="str">
        <f t="shared" si="22"/>
        <v>Terrestres</v>
      </c>
      <c r="N133" s="76" t="str">
        <f t="shared" si="23"/>
        <v>Veículos Pesados</v>
      </c>
      <c r="O133" s="77" t="str">
        <f t="shared" si="24"/>
        <v>Reboque</v>
      </c>
      <c r="P133" s="80" t="s">
        <v>181</v>
      </c>
      <c r="Q133" s="86" t="s">
        <v>210</v>
      </c>
      <c r="R133" s="77" t="s">
        <v>1</v>
      </c>
      <c r="S133" s="77" t="str">
        <f t="shared" si="26"/>
        <v>De Transportes</v>
      </c>
      <c r="T133" s="77" t="str">
        <f t="shared" si="26"/>
        <v>Terrestres</v>
      </c>
      <c r="U133" s="77" t="str">
        <f t="shared" si="26"/>
        <v>Veículos Pesados</v>
      </c>
      <c r="V133" s="77" t="s">
        <v>1964</v>
      </c>
      <c r="W133" s="78" t="str">
        <f t="shared" si="27"/>
        <v>Key-BRASIL-133</v>
      </c>
      <c r="X133" s="77" t="s">
        <v>1846</v>
      </c>
      <c r="Y133" s="77" t="s">
        <v>1892</v>
      </c>
      <c r="Z133" s="81" t="s">
        <v>1</v>
      </c>
      <c r="AA133" s="77" t="str">
        <f t="shared" si="28"/>
        <v>Non-motorized vehicle coupled to another.</v>
      </c>
    </row>
    <row r="134" spans="1:27" ht="6.6" customHeight="1" x14ac:dyDescent="0.25">
      <c r="A134" s="72">
        <v>134</v>
      </c>
      <c r="B134" s="73" t="s">
        <v>1968</v>
      </c>
      <c r="C134" s="83" t="s">
        <v>2000</v>
      </c>
      <c r="D134" s="73" t="s">
        <v>1439</v>
      </c>
      <c r="E134" s="84" t="s">
        <v>1434</v>
      </c>
      <c r="F134" s="32" t="s">
        <v>96</v>
      </c>
      <c r="G134" s="85" t="s">
        <v>1</v>
      </c>
      <c r="H134" s="85" t="s">
        <v>1</v>
      </c>
      <c r="I134" s="85" t="s">
        <v>1</v>
      </c>
      <c r="J134" s="85" t="s">
        <v>1</v>
      </c>
      <c r="K134" s="85" t="s">
        <v>1</v>
      </c>
      <c r="L134" s="86" t="str">
        <f t="shared" si="21"/>
        <v>De.Transportes</v>
      </c>
      <c r="M134" s="76" t="str">
        <f t="shared" si="22"/>
        <v>Terrestres</v>
      </c>
      <c r="N134" s="76" t="str">
        <f t="shared" si="23"/>
        <v>Veículos Pesados</v>
      </c>
      <c r="O134" s="77" t="str">
        <f t="shared" si="24"/>
        <v>Semirreboque</v>
      </c>
      <c r="P134" s="80" t="s">
        <v>181</v>
      </c>
      <c r="Q134" s="86" t="s">
        <v>210</v>
      </c>
      <c r="R134" s="77" t="s">
        <v>1</v>
      </c>
      <c r="S134" s="77" t="str">
        <f t="shared" si="26"/>
        <v>De Transportes</v>
      </c>
      <c r="T134" s="77" t="str">
        <f t="shared" si="26"/>
        <v>Terrestres</v>
      </c>
      <c r="U134" s="77" t="str">
        <f t="shared" si="26"/>
        <v>Veículos Pesados</v>
      </c>
      <c r="V134" s="77" t="s">
        <v>1964</v>
      </c>
      <c r="W134" s="78" t="str">
        <f t="shared" si="27"/>
        <v>Key-BRASIL-134</v>
      </c>
      <c r="X134" s="77" t="s">
        <v>1846</v>
      </c>
      <c r="Y134" s="77" t="s">
        <v>1893</v>
      </c>
      <c r="Z134" s="81" t="s">
        <v>1</v>
      </c>
      <c r="AA134" s="77" t="str">
        <f t="shared" si="28"/>
        <v>Non-motorized vehicle coupled to another.</v>
      </c>
    </row>
    <row r="135" spans="1:27" ht="6.6" customHeight="1" x14ac:dyDescent="0.25">
      <c r="A135" s="72">
        <v>135</v>
      </c>
      <c r="B135" s="73" t="s">
        <v>1968</v>
      </c>
      <c r="C135" s="83" t="s">
        <v>2000</v>
      </c>
      <c r="D135" s="73" t="s">
        <v>1439</v>
      </c>
      <c r="E135" s="84" t="s">
        <v>1434</v>
      </c>
      <c r="F135" s="32" t="s">
        <v>97</v>
      </c>
      <c r="G135" s="85" t="s">
        <v>1</v>
      </c>
      <c r="H135" s="85" t="s">
        <v>1</v>
      </c>
      <c r="I135" s="85" t="s">
        <v>1</v>
      </c>
      <c r="J135" s="85" t="s">
        <v>1</v>
      </c>
      <c r="K135" s="85" t="s">
        <v>1</v>
      </c>
      <c r="L135" s="86" t="str">
        <f t="shared" si="21"/>
        <v>De.Transportes</v>
      </c>
      <c r="M135" s="76" t="str">
        <f t="shared" si="22"/>
        <v>Terrestres</v>
      </c>
      <c r="N135" s="76" t="str">
        <f t="shared" si="23"/>
        <v>Veículos Pesados</v>
      </c>
      <c r="O135" s="77" t="str">
        <f t="shared" si="24"/>
        <v>Veículo.Misto</v>
      </c>
      <c r="P135" s="80" t="s">
        <v>180</v>
      </c>
      <c r="Q135" s="86" t="s">
        <v>211</v>
      </c>
      <c r="R135" s="77" t="s">
        <v>1</v>
      </c>
      <c r="S135" s="77" t="str">
        <f t="shared" si="26"/>
        <v>De Transportes</v>
      </c>
      <c r="T135" s="77" t="str">
        <f t="shared" si="26"/>
        <v>Terrestres</v>
      </c>
      <c r="U135" s="77" t="str">
        <f t="shared" si="26"/>
        <v>Veículos Pesados</v>
      </c>
      <c r="V135" s="77" t="s">
        <v>1964</v>
      </c>
      <c r="W135" s="78" t="str">
        <f t="shared" si="27"/>
        <v>Key-BRASIL-135</v>
      </c>
      <c r="X135" s="77" t="s">
        <v>1846</v>
      </c>
      <c r="Y135" s="77" t="s">
        <v>1893</v>
      </c>
      <c r="Z135" s="81" t="s">
        <v>1</v>
      </c>
      <c r="AA135" s="77" t="str">
        <f t="shared" si="28"/>
        <v>Vehicle that transports cargo and passengers simultaneously.</v>
      </c>
    </row>
    <row r="136" spans="1:27" ht="6.6" customHeight="1" x14ac:dyDescent="0.25">
      <c r="A136" s="72">
        <v>136</v>
      </c>
      <c r="B136" s="73" t="s">
        <v>1968</v>
      </c>
      <c r="C136" s="83" t="s">
        <v>2000</v>
      </c>
      <c r="D136" s="73" t="s">
        <v>1439</v>
      </c>
      <c r="E136" s="84" t="s">
        <v>1434</v>
      </c>
      <c r="F136" s="32" t="s">
        <v>98</v>
      </c>
      <c r="G136" s="85" t="s">
        <v>1</v>
      </c>
      <c r="H136" s="85" t="s">
        <v>1</v>
      </c>
      <c r="I136" s="85" t="s">
        <v>1</v>
      </c>
      <c r="J136" s="85" t="s">
        <v>1</v>
      </c>
      <c r="K136" s="85" t="s">
        <v>1</v>
      </c>
      <c r="L136" s="86" t="str">
        <f t="shared" si="21"/>
        <v>De.Transportes</v>
      </c>
      <c r="M136" s="76" t="str">
        <f t="shared" si="22"/>
        <v>Terrestres</v>
      </c>
      <c r="N136" s="76" t="str">
        <f t="shared" si="23"/>
        <v>Veículos Pesados</v>
      </c>
      <c r="O136" s="77" t="str">
        <f t="shared" si="24"/>
        <v>Veículo.Especial</v>
      </c>
      <c r="P136" s="80" t="s">
        <v>85</v>
      </c>
      <c r="Q136" s="86" t="s">
        <v>212</v>
      </c>
      <c r="R136" s="77" t="s">
        <v>1</v>
      </c>
      <c r="S136" s="77" t="str">
        <f t="shared" si="26"/>
        <v>De Transportes</v>
      </c>
      <c r="T136" s="77" t="str">
        <f t="shared" si="26"/>
        <v>Terrestres</v>
      </c>
      <c r="U136" s="77" t="str">
        <f t="shared" si="26"/>
        <v>Veículos Pesados</v>
      </c>
      <c r="V136" s="77" t="s">
        <v>1964</v>
      </c>
      <c r="W136" s="78" t="str">
        <f t="shared" si="27"/>
        <v>Key-BRASIL-136</v>
      </c>
      <c r="X136" s="77" t="s">
        <v>1846</v>
      </c>
      <c r="Y136" s="77" t="s">
        <v>1893</v>
      </c>
      <c r="Z136" s="81" t="s">
        <v>1</v>
      </c>
      <c r="AA136" s="77" t="str">
        <f t="shared" si="28"/>
        <v>Vehicles adapted for specific functions such as ambulance, fire engine, school transport, etc.</v>
      </c>
    </row>
    <row r="137" spans="1:27" ht="6.6" customHeight="1" x14ac:dyDescent="0.25">
      <c r="A137" s="72">
        <v>137</v>
      </c>
      <c r="B137" s="73" t="s">
        <v>1968</v>
      </c>
      <c r="C137" s="83" t="s">
        <v>2000</v>
      </c>
      <c r="D137" s="73" t="s">
        <v>1439</v>
      </c>
      <c r="E137" s="84" t="s">
        <v>1435</v>
      </c>
      <c r="F137" s="32" t="s">
        <v>87</v>
      </c>
      <c r="G137" s="85" t="s">
        <v>1</v>
      </c>
      <c r="H137" s="85" t="s">
        <v>1</v>
      </c>
      <c r="I137" s="85" t="s">
        <v>1</v>
      </c>
      <c r="J137" s="85" t="s">
        <v>1</v>
      </c>
      <c r="K137" s="85" t="s">
        <v>1</v>
      </c>
      <c r="L137" s="86" t="str">
        <f t="shared" si="21"/>
        <v>De.Transportes</v>
      </c>
      <c r="M137" s="76" t="str">
        <f t="shared" si="22"/>
        <v>Terrestres</v>
      </c>
      <c r="N137" s="76" t="str">
        <f t="shared" si="23"/>
        <v>Veículos Leves</v>
      </c>
      <c r="O137" s="77" t="str">
        <f t="shared" si="24"/>
        <v>Camioneta</v>
      </c>
      <c r="P137" s="80" t="s">
        <v>1437</v>
      </c>
      <c r="Q137" s="86" t="s">
        <v>198</v>
      </c>
      <c r="R137" s="77" t="s">
        <v>1</v>
      </c>
      <c r="S137" s="77" t="str">
        <f t="shared" si="26"/>
        <v>De Transportes</v>
      </c>
      <c r="T137" s="77" t="str">
        <f t="shared" si="26"/>
        <v>Terrestres</v>
      </c>
      <c r="U137" s="77" t="str">
        <f t="shared" si="26"/>
        <v>Veículos Leves</v>
      </c>
      <c r="V137" s="77" t="s">
        <v>1964</v>
      </c>
      <c r="W137" s="78" t="str">
        <f t="shared" si="27"/>
        <v>Key-BRASIL-137</v>
      </c>
      <c r="X137" s="77" t="s">
        <v>1846</v>
      </c>
      <c r="Y137" s="77" t="s">
        <v>1893</v>
      </c>
      <c r="Z137" s="81" t="s">
        <v>1</v>
      </c>
      <c r="AA137" s="77" t="str">
        <f t="shared" si="28"/>
        <v>With a total gross weight (GVW) of up to 3,500 kg, they are classified as light. Similar to the car, but with a cargo compartment.</v>
      </c>
    </row>
    <row r="138" spans="1:27" ht="6.6" customHeight="1" x14ac:dyDescent="0.25">
      <c r="A138" s="72">
        <v>138</v>
      </c>
      <c r="B138" s="73" t="s">
        <v>1968</v>
      </c>
      <c r="C138" s="83" t="s">
        <v>2000</v>
      </c>
      <c r="D138" s="73" t="s">
        <v>1439</v>
      </c>
      <c r="E138" s="84" t="s">
        <v>1435</v>
      </c>
      <c r="F138" s="32" t="s">
        <v>88</v>
      </c>
      <c r="G138" s="85" t="s">
        <v>1</v>
      </c>
      <c r="H138" s="85" t="s">
        <v>1</v>
      </c>
      <c r="I138" s="85" t="s">
        <v>1</v>
      </c>
      <c r="J138" s="85" t="s">
        <v>1</v>
      </c>
      <c r="K138" s="85" t="s">
        <v>1</v>
      </c>
      <c r="L138" s="86" t="str">
        <f t="shared" si="21"/>
        <v>De.Transportes</v>
      </c>
      <c r="M138" s="76" t="str">
        <f t="shared" si="22"/>
        <v>Terrestres</v>
      </c>
      <c r="N138" s="76" t="str">
        <f t="shared" si="23"/>
        <v>Veículos Leves</v>
      </c>
      <c r="O138" s="77" t="str">
        <f t="shared" si="24"/>
        <v>Caminhonete</v>
      </c>
      <c r="P138" s="80" t="s">
        <v>1438</v>
      </c>
      <c r="Q138" s="86" t="s">
        <v>199</v>
      </c>
      <c r="R138" s="77" t="s">
        <v>1</v>
      </c>
      <c r="S138" s="77" t="str">
        <f t="shared" si="26"/>
        <v>De Transportes</v>
      </c>
      <c r="T138" s="77" t="str">
        <f t="shared" si="26"/>
        <v>Terrestres</v>
      </c>
      <c r="U138" s="77" t="str">
        <f t="shared" si="26"/>
        <v>Veículos Leves</v>
      </c>
      <c r="V138" s="77" t="s">
        <v>1964</v>
      </c>
      <c r="W138" s="78" t="str">
        <f t="shared" si="27"/>
        <v>Key-BRASIL-138</v>
      </c>
      <c r="X138" s="77" t="s">
        <v>1846</v>
      </c>
      <c r="Y138" s="77" t="s">
        <v>1893</v>
      </c>
      <c r="Z138" s="81" t="s">
        <v>1</v>
      </c>
      <c r="AA138" s="77" t="str">
        <f t="shared" si="28"/>
        <v>With a total gross weight (GVW) of up to 3,500 kg, they are classified as light. Mixed vehicle with cabin and bucket.</v>
      </c>
    </row>
    <row r="139" spans="1:27" ht="6.6" customHeight="1" x14ac:dyDescent="0.25">
      <c r="A139" s="72">
        <v>139</v>
      </c>
      <c r="B139" s="73" t="s">
        <v>1968</v>
      </c>
      <c r="C139" s="83" t="s">
        <v>2000</v>
      </c>
      <c r="D139" s="73" t="s">
        <v>1439</v>
      </c>
      <c r="E139" s="84" t="s">
        <v>1435</v>
      </c>
      <c r="F139" s="32" t="s">
        <v>86</v>
      </c>
      <c r="G139" s="85" t="s">
        <v>1</v>
      </c>
      <c r="H139" s="85" t="s">
        <v>1</v>
      </c>
      <c r="I139" s="85" t="s">
        <v>1</v>
      </c>
      <c r="J139" s="85" t="s">
        <v>1</v>
      </c>
      <c r="K139" s="85" t="s">
        <v>1</v>
      </c>
      <c r="L139" s="86" t="str">
        <f t="shared" si="21"/>
        <v>De.Transportes</v>
      </c>
      <c r="M139" s="76" t="str">
        <f t="shared" si="22"/>
        <v>Terrestres</v>
      </c>
      <c r="N139" s="76" t="str">
        <f t="shared" si="23"/>
        <v>Veículos Leves</v>
      </c>
      <c r="O139" s="77" t="str">
        <f t="shared" si="24"/>
        <v>Automóvel</v>
      </c>
      <c r="P139" s="80" t="s">
        <v>1436</v>
      </c>
      <c r="Q139" s="86" t="s">
        <v>197</v>
      </c>
      <c r="R139" s="77" t="s">
        <v>1</v>
      </c>
      <c r="S139" s="77" t="str">
        <f t="shared" si="26"/>
        <v>De Transportes</v>
      </c>
      <c r="T139" s="77" t="str">
        <f t="shared" si="26"/>
        <v>Terrestres</v>
      </c>
      <c r="U139" s="77" t="str">
        <f t="shared" si="26"/>
        <v>Veículos Leves</v>
      </c>
      <c r="V139" s="77" t="s">
        <v>1964</v>
      </c>
      <c r="W139" s="78" t="str">
        <f t="shared" si="27"/>
        <v>Key-BRASIL-139</v>
      </c>
      <c r="X139" s="77" t="s">
        <v>1846</v>
      </c>
      <c r="Y139" s="77" t="s">
        <v>1893</v>
      </c>
      <c r="Z139" s="81" t="s">
        <v>1</v>
      </c>
      <c r="AA139" s="77" t="str">
        <f t="shared" si="28"/>
        <v>With a total gross weight (GVW) of up to 3,500 kg, they are classified as light.  Light vehicle for transporting up to 5 passengers.</v>
      </c>
    </row>
    <row r="140" spans="1:27" ht="6.6" customHeight="1" x14ac:dyDescent="0.25">
      <c r="A140" s="72">
        <v>140</v>
      </c>
      <c r="B140" s="73" t="s">
        <v>1968</v>
      </c>
      <c r="C140" s="83" t="s">
        <v>2000</v>
      </c>
      <c r="D140" s="73" t="s">
        <v>1439</v>
      </c>
      <c r="E140" s="84" t="s">
        <v>1435</v>
      </c>
      <c r="F140" s="32" t="s">
        <v>91</v>
      </c>
      <c r="G140" s="85" t="s">
        <v>1</v>
      </c>
      <c r="H140" s="85" t="s">
        <v>1</v>
      </c>
      <c r="I140" s="85" t="s">
        <v>1</v>
      </c>
      <c r="J140" s="85" t="s">
        <v>1</v>
      </c>
      <c r="K140" s="85" t="s">
        <v>1</v>
      </c>
      <c r="L140" s="86" t="str">
        <f t="shared" si="21"/>
        <v>De.Transportes</v>
      </c>
      <c r="M140" s="76" t="str">
        <f t="shared" si="22"/>
        <v>Terrestres</v>
      </c>
      <c r="N140" s="76" t="str">
        <f t="shared" si="23"/>
        <v>Veículos Leves</v>
      </c>
      <c r="O140" s="77" t="str">
        <f t="shared" si="24"/>
        <v>Motocicleta</v>
      </c>
      <c r="P140" s="80" t="s">
        <v>177</v>
      </c>
      <c r="Q140" s="86" t="s">
        <v>207</v>
      </c>
      <c r="R140" s="77" t="s">
        <v>1</v>
      </c>
      <c r="S140" s="77" t="str">
        <f t="shared" ref="S140:U224" si="29">SUBSTITUTE(C140, ".", " ")</f>
        <v>De Transportes</v>
      </c>
      <c r="T140" s="77" t="str">
        <f t="shared" si="29"/>
        <v>Terrestres</v>
      </c>
      <c r="U140" s="77" t="str">
        <f t="shared" si="29"/>
        <v>Veículos Leves</v>
      </c>
      <c r="V140" s="77" t="s">
        <v>1964</v>
      </c>
      <c r="W140" s="78" t="str">
        <f t="shared" si="27"/>
        <v>Key-BRASIL-140</v>
      </c>
      <c r="X140" s="77" t="s">
        <v>1846</v>
      </c>
      <c r="Y140" s="77" t="s">
        <v>1893</v>
      </c>
      <c r="Z140" s="81" t="s">
        <v>1</v>
      </c>
      <c r="AA140" s="77" t="str">
        <f t="shared" si="28"/>
        <v>Open, motorized two-wheeled vehicle.</v>
      </c>
    </row>
    <row r="141" spans="1:27" ht="6.6" customHeight="1" x14ac:dyDescent="0.25">
      <c r="A141" s="72">
        <v>141</v>
      </c>
      <c r="B141" s="73" t="s">
        <v>1968</v>
      </c>
      <c r="C141" s="83" t="s">
        <v>2000</v>
      </c>
      <c r="D141" s="73" t="s">
        <v>1439</v>
      </c>
      <c r="E141" s="84" t="s">
        <v>1435</v>
      </c>
      <c r="F141" s="32" t="s">
        <v>92</v>
      </c>
      <c r="G141" s="85" t="s">
        <v>1</v>
      </c>
      <c r="H141" s="85" t="s">
        <v>1</v>
      </c>
      <c r="I141" s="85" t="s">
        <v>1</v>
      </c>
      <c r="J141" s="85" t="s">
        <v>1</v>
      </c>
      <c r="K141" s="85" t="s">
        <v>1</v>
      </c>
      <c r="L141" s="86" t="str">
        <f t="shared" si="21"/>
        <v>De.Transportes</v>
      </c>
      <c r="M141" s="76" t="str">
        <f t="shared" si="22"/>
        <v>Terrestres</v>
      </c>
      <c r="N141" s="76" t="str">
        <f t="shared" si="23"/>
        <v>Veículos Leves</v>
      </c>
      <c r="O141" s="77" t="str">
        <f t="shared" si="24"/>
        <v>Motoneta</v>
      </c>
      <c r="P141" s="80" t="s">
        <v>177</v>
      </c>
      <c r="Q141" s="86" t="s">
        <v>207</v>
      </c>
      <c r="R141" s="77" t="s">
        <v>1</v>
      </c>
      <c r="S141" s="77" t="str">
        <f t="shared" si="29"/>
        <v>De Transportes</v>
      </c>
      <c r="T141" s="77" t="str">
        <f t="shared" si="29"/>
        <v>Terrestres</v>
      </c>
      <c r="U141" s="77" t="str">
        <f t="shared" si="29"/>
        <v>Veículos Leves</v>
      </c>
      <c r="V141" s="77" t="s">
        <v>1964</v>
      </c>
      <c r="W141" s="78" t="str">
        <f t="shared" si="27"/>
        <v>Key-BRASIL-141</v>
      </c>
      <c r="X141" s="77" t="s">
        <v>1846</v>
      </c>
      <c r="Y141" s="77" t="s">
        <v>1893</v>
      </c>
      <c r="Z141" s="81" t="s">
        <v>1</v>
      </c>
      <c r="AA141" s="77" t="str">
        <f t="shared" si="28"/>
        <v>Open, motorized two-wheeled vehicle.</v>
      </c>
    </row>
    <row r="142" spans="1:27" ht="6.6" customHeight="1" x14ac:dyDescent="0.25">
      <c r="A142" s="72">
        <v>142</v>
      </c>
      <c r="B142" s="73" t="s">
        <v>1968</v>
      </c>
      <c r="C142" s="83" t="s">
        <v>2000</v>
      </c>
      <c r="D142" s="73" t="s">
        <v>1439</v>
      </c>
      <c r="E142" s="84" t="s">
        <v>1435</v>
      </c>
      <c r="F142" s="32" t="s">
        <v>94</v>
      </c>
      <c r="G142" s="85" t="s">
        <v>1</v>
      </c>
      <c r="H142" s="85" t="s">
        <v>1</v>
      </c>
      <c r="I142" s="85" t="s">
        <v>1</v>
      </c>
      <c r="J142" s="85" t="s">
        <v>1</v>
      </c>
      <c r="K142" s="85" t="s">
        <v>1</v>
      </c>
      <c r="L142" s="86" t="str">
        <f t="shared" si="21"/>
        <v>De.Transportes</v>
      </c>
      <c r="M142" s="76" t="str">
        <f t="shared" si="22"/>
        <v>Terrestres</v>
      </c>
      <c r="N142" s="76" t="str">
        <f t="shared" si="23"/>
        <v>Veículos Leves</v>
      </c>
      <c r="O142" s="77" t="str">
        <f t="shared" si="24"/>
        <v>Quadriciclo</v>
      </c>
      <c r="P142" s="80" t="s">
        <v>179</v>
      </c>
      <c r="Q142" s="86" t="s">
        <v>209</v>
      </c>
      <c r="R142" s="77" t="s">
        <v>1</v>
      </c>
      <c r="S142" s="77" t="str">
        <f t="shared" si="29"/>
        <v>De Transportes</v>
      </c>
      <c r="T142" s="77" t="str">
        <f t="shared" si="29"/>
        <v>Terrestres</v>
      </c>
      <c r="U142" s="77" t="str">
        <f t="shared" si="29"/>
        <v>Veículos Leves</v>
      </c>
      <c r="V142" s="77" t="s">
        <v>1964</v>
      </c>
      <c r="W142" s="78" t="str">
        <f t="shared" si="27"/>
        <v>Key-BRASIL-142</v>
      </c>
      <c r="X142" s="77" t="s">
        <v>1846</v>
      </c>
      <c r="Y142" s="77" t="s">
        <v>1893</v>
      </c>
      <c r="Z142" s="81" t="s">
        <v>1</v>
      </c>
      <c r="AA142" s="77" t="str">
        <f t="shared" si="28"/>
        <v>Open, motorized four-wheeled vehicle.</v>
      </c>
    </row>
    <row r="143" spans="1:27" ht="6.6" customHeight="1" x14ac:dyDescent="0.25">
      <c r="A143" s="72">
        <v>143</v>
      </c>
      <c r="B143" s="73" t="s">
        <v>1968</v>
      </c>
      <c r="C143" s="83" t="s">
        <v>2000</v>
      </c>
      <c r="D143" s="73" t="s">
        <v>1439</v>
      </c>
      <c r="E143" s="84" t="s">
        <v>1435</v>
      </c>
      <c r="F143" s="32" t="s">
        <v>93</v>
      </c>
      <c r="G143" s="85" t="s">
        <v>1</v>
      </c>
      <c r="H143" s="85" t="s">
        <v>1</v>
      </c>
      <c r="I143" s="85" t="s">
        <v>1</v>
      </c>
      <c r="J143" s="85" t="s">
        <v>1</v>
      </c>
      <c r="K143" s="85" t="s">
        <v>1</v>
      </c>
      <c r="L143" s="86" t="str">
        <f t="shared" si="21"/>
        <v>De.Transportes</v>
      </c>
      <c r="M143" s="76" t="str">
        <f t="shared" si="22"/>
        <v>Terrestres</v>
      </c>
      <c r="N143" s="76" t="str">
        <f t="shared" si="23"/>
        <v>Veículos Leves</v>
      </c>
      <c r="O143" s="77" t="str">
        <f t="shared" si="24"/>
        <v>Triciclo</v>
      </c>
      <c r="P143" s="80" t="s">
        <v>178</v>
      </c>
      <c r="Q143" s="86" t="s">
        <v>208</v>
      </c>
      <c r="R143" s="77" t="s">
        <v>1</v>
      </c>
      <c r="S143" s="77" t="str">
        <f t="shared" si="29"/>
        <v>De Transportes</v>
      </c>
      <c r="T143" s="77" t="str">
        <f t="shared" si="29"/>
        <v>Terrestres</v>
      </c>
      <c r="U143" s="77" t="str">
        <f t="shared" si="29"/>
        <v>Veículos Leves</v>
      </c>
      <c r="V143" s="77" t="s">
        <v>1964</v>
      </c>
      <c r="W143" s="78" t="str">
        <f t="shared" si="27"/>
        <v>Key-BRASIL-143</v>
      </c>
      <c r="X143" s="77" t="s">
        <v>1846</v>
      </c>
      <c r="Y143" s="77" t="s">
        <v>1893</v>
      </c>
      <c r="Z143" s="81" t="s">
        <v>1</v>
      </c>
      <c r="AA143" s="77" t="str">
        <f t="shared" si="28"/>
        <v>Open, motorized three-wheeled vehicle.</v>
      </c>
    </row>
    <row r="144" spans="1:27" ht="6.6" customHeight="1" x14ac:dyDescent="0.25">
      <c r="A144" s="72">
        <v>144</v>
      </c>
      <c r="B144" s="73" t="s">
        <v>1968</v>
      </c>
      <c r="C144" s="83" t="s">
        <v>2000</v>
      </c>
      <c r="D144" s="73" t="s">
        <v>1439</v>
      </c>
      <c r="E144" s="84" t="s">
        <v>1435</v>
      </c>
      <c r="F144" s="32" t="s">
        <v>176</v>
      </c>
      <c r="G144" s="85" t="s">
        <v>1</v>
      </c>
      <c r="H144" s="85" t="s">
        <v>1</v>
      </c>
      <c r="I144" s="85" t="s">
        <v>1</v>
      </c>
      <c r="J144" s="85" t="s">
        <v>1</v>
      </c>
      <c r="K144" s="85" t="s">
        <v>1</v>
      </c>
      <c r="L144" s="86" t="str">
        <f t="shared" si="21"/>
        <v>De.Transportes</v>
      </c>
      <c r="M144" s="76" t="str">
        <f t="shared" si="22"/>
        <v>Terrestres</v>
      </c>
      <c r="N144" s="76" t="str">
        <f t="shared" si="23"/>
        <v>Veículos Leves</v>
      </c>
      <c r="O144" s="77" t="str">
        <f t="shared" si="24"/>
        <v>Bicicleta</v>
      </c>
      <c r="P144" s="80" t="s">
        <v>182</v>
      </c>
      <c r="Q144" s="86" t="s">
        <v>1711</v>
      </c>
      <c r="R144" s="77" t="s">
        <v>1</v>
      </c>
      <c r="S144" s="77" t="str">
        <f t="shared" si="29"/>
        <v>De Transportes</v>
      </c>
      <c r="T144" s="77" t="str">
        <f t="shared" si="29"/>
        <v>Terrestres</v>
      </c>
      <c r="U144" s="77" t="str">
        <f t="shared" si="29"/>
        <v>Veículos Leves</v>
      </c>
      <c r="V144" s="77" t="s">
        <v>1964</v>
      </c>
      <c r="W144" s="78" t="str">
        <f t="shared" si="27"/>
        <v>Key-BRASIL-144</v>
      </c>
      <c r="X144" s="77" t="s">
        <v>1846</v>
      </c>
      <c r="Y144" s="77" t="s">
        <v>1894</v>
      </c>
      <c r="Z144" s="81" t="s">
        <v>1</v>
      </c>
      <c r="AA144" s="77" t="str">
        <f t="shared" si="28"/>
        <v>An open vehicle with two aligned wheels, moved by the user's own effort by means of pedals.</v>
      </c>
    </row>
    <row r="145" spans="1:27" ht="6.6" customHeight="1" x14ac:dyDescent="0.25">
      <c r="A145" s="72">
        <v>145</v>
      </c>
      <c r="B145" s="73" t="s">
        <v>1968</v>
      </c>
      <c r="C145" s="83" t="s">
        <v>2000</v>
      </c>
      <c r="D145" s="73" t="s">
        <v>1440</v>
      </c>
      <c r="E145" s="84" t="s">
        <v>1409</v>
      </c>
      <c r="F145" s="32" t="s">
        <v>375</v>
      </c>
      <c r="G145" s="85" t="s">
        <v>1</v>
      </c>
      <c r="H145" s="85" t="s">
        <v>1</v>
      </c>
      <c r="I145" s="85" t="s">
        <v>1</v>
      </c>
      <c r="J145" s="85" t="s">
        <v>1</v>
      </c>
      <c r="K145" s="85" t="s">
        <v>1</v>
      </c>
      <c r="L145" s="86" t="str">
        <f t="shared" si="21"/>
        <v>De.Transportes</v>
      </c>
      <c r="M145" s="76" t="str">
        <f t="shared" si="22"/>
        <v>Aquáticos</v>
      </c>
      <c r="N145" s="76" t="str">
        <f t="shared" si="23"/>
        <v>Navios</v>
      </c>
      <c r="O145" s="77" t="str">
        <f t="shared" si="24"/>
        <v>Petroleiro</v>
      </c>
      <c r="P145" s="80" t="s">
        <v>376</v>
      </c>
      <c r="Q145" s="86" t="s">
        <v>377</v>
      </c>
      <c r="R145" s="77" t="s">
        <v>1</v>
      </c>
      <c r="S145" s="77" t="str">
        <f t="shared" si="29"/>
        <v>De Transportes</v>
      </c>
      <c r="T145" s="77" t="str">
        <f t="shared" si="29"/>
        <v>Aquáticos</v>
      </c>
      <c r="U145" s="77" t="str">
        <f t="shared" si="29"/>
        <v>Navios</v>
      </c>
      <c r="V145" s="77" t="s">
        <v>1964</v>
      </c>
      <c r="W145" s="78" t="str">
        <f t="shared" si="27"/>
        <v>Key-BRASIL-145</v>
      </c>
      <c r="X145" s="77" t="s">
        <v>1846</v>
      </c>
      <c r="Y145" s="77" t="s">
        <v>1894</v>
      </c>
      <c r="Z145" s="81" t="s">
        <v>1</v>
      </c>
      <c r="AA145" s="77" t="str">
        <f t="shared" si="28"/>
        <v>Crude oil cargo ship.</v>
      </c>
    </row>
    <row r="146" spans="1:27" ht="6.6" customHeight="1" x14ac:dyDescent="0.25">
      <c r="A146" s="72">
        <v>146</v>
      </c>
      <c r="B146" s="73" t="s">
        <v>1968</v>
      </c>
      <c r="C146" s="83" t="s">
        <v>2000</v>
      </c>
      <c r="D146" s="73" t="s">
        <v>1440</v>
      </c>
      <c r="E146" s="84" t="s">
        <v>1409</v>
      </c>
      <c r="F146" s="32" t="s">
        <v>378</v>
      </c>
      <c r="G146" s="85" t="s">
        <v>1</v>
      </c>
      <c r="H146" s="85" t="s">
        <v>1</v>
      </c>
      <c r="I146" s="85" t="s">
        <v>1</v>
      </c>
      <c r="J146" s="85" t="s">
        <v>1</v>
      </c>
      <c r="K146" s="85" t="s">
        <v>1</v>
      </c>
      <c r="L146" s="86" t="str">
        <f t="shared" si="21"/>
        <v>De.Transportes</v>
      </c>
      <c r="M146" s="76" t="str">
        <f t="shared" si="22"/>
        <v>Aquáticos</v>
      </c>
      <c r="N146" s="76" t="str">
        <f t="shared" si="23"/>
        <v>Navios</v>
      </c>
      <c r="O146" s="77" t="str">
        <f t="shared" si="24"/>
        <v>Cargueiro</v>
      </c>
      <c r="P146" s="80" t="s">
        <v>379</v>
      </c>
      <c r="Q146" s="86" t="s">
        <v>380</v>
      </c>
      <c r="R146" s="77" t="s">
        <v>1</v>
      </c>
      <c r="S146" s="77" t="str">
        <f t="shared" si="29"/>
        <v>De Transportes</v>
      </c>
      <c r="T146" s="77" t="str">
        <f t="shared" si="29"/>
        <v>Aquáticos</v>
      </c>
      <c r="U146" s="77" t="str">
        <f t="shared" si="29"/>
        <v>Navios</v>
      </c>
      <c r="V146" s="77" t="s">
        <v>1964</v>
      </c>
      <c r="W146" s="78" t="str">
        <f t="shared" si="27"/>
        <v>Key-BRASIL-146</v>
      </c>
      <c r="X146" s="77" t="s">
        <v>1846</v>
      </c>
      <c r="Y146" s="77" t="s">
        <v>1894</v>
      </c>
      <c r="Z146" s="81" t="s">
        <v>1</v>
      </c>
      <c r="AA146" s="77" t="str">
        <f t="shared" si="28"/>
        <v>General dry cargo ship.</v>
      </c>
    </row>
    <row r="147" spans="1:27" ht="6.6" customHeight="1" x14ac:dyDescent="0.25">
      <c r="A147" s="72">
        <v>147</v>
      </c>
      <c r="B147" s="73" t="s">
        <v>1968</v>
      </c>
      <c r="C147" s="83" t="s">
        <v>2000</v>
      </c>
      <c r="D147" s="73" t="s">
        <v>1440</v>
      </c>
      <c r="E147" s="84" t="s">
        <v>1409</v>
      </c>
      <c r="F147" s="32" t="s">
        <v>381</v>
      </c>
      <c r="G147" s="85" t="s">
        <v>1</v>
      </c>
      <c r="H147" s="85" t="s">
        <v>1</v>
      </c>
      <c r="I147" s="85" t="s">
        <v>1</v>
      </c>
      <c r="J147" s="85" t="s">
        <v>1</v>
      </c>
      <c r="K147" s="85" t="s">
        <v>1</v>
      </c>
      <c r="L147" s="86" t="str">
        <f t="shared" si="21"/>
        <v>De.Transportes</v>
      </c>
      <c r="M147" s="76" t="str">
        <f t="shared" si="22"/>
        <v>Aquáticos</v>
      </c>
      <c r="N147" s="76" t="str">
        <f t="shared" si="23"/>
        <v>Navios</v>
      </c>
      <c r="O147" s="77" t="str">
        <f t="shared" si="24"/>
        <v>Handysize</v>
      </c>
      <c r="P147" s="80" t="s">
        <v>382</v>
      </c>
      <c r="Q147" s="86" t="s">
        <v>383</v>
      </c>
      <c r="R147" s="77" t="s">
        <v>1</v>
      </c>
      <c r="S147" s="77" t="str">
        <f t="shared" si="29"/>
        <v>De Transportes</v>
      </c>
      <c r="T147" s="77" t="str">
        <f t="shared" si="29"/>
        <v>Aquáticos</v>
      </c>
      <c r="U147" s="77" t="str">
        <f t="shared" si="29"/>
        <v>Navios</v>
      </c>
      <c r="V147" s="77" t="s">
        <v>1964</v>
      </c>
      <c r="W147" s="78" t="str">
        <f t="shared" si="27"/>
        <v>Key-BRASIL-147</v>
      </c>
      <c r="X147" s="77" t="s">
        <v>1846</v>
      </c>
      <c r="Y147" s="77" t="s">
        <v>1894</v>
      </c>
      <c r="Z147" s="81" t="s">
        <v>1</v>
      </c>
      <c r="AA147" s="77" t="str">
        <f t="shared" si="28"/>
        <v>General dry cargo ships such as grain, cement and steel, access small ports with limited infrastructure.</v>
      </c>
    </row>
    <row r="148" spans="1:27" ht="6.6" customHeight="1" x14ac:dyDescent="0.25">
      <c r="A148" s="72">
        <v>148</v>
      </c>
      <c r="B148" s="73" t="s">
        <v>1968</v>
      </c>
      <c r="C148" s="83" t="s">
        <v>2000</v>
      </c>
      <c r="D148" s="73" t="s">
        <v>1440</v>
      </c>
      <c r="E148" s="84" t="s">
        <v>1409</v>
      </c>
      <c r="F148" s="32" t="s">
        <v>384</v>
      </c>
      <c r="G148" s="85" t="s">
        <v>1</v>
      </c>
      <c r="H148" s="85" t="s">
        <v>1</v>
      </c>
      <c r="I148" s="85" t="s">
        <v>1</v>
      </c>
      <c r="J148" s="85" t="s">
        <v>1</v>
      </c>
      <c r="K148" s="85" t="s">
        <v>1</v>
      </c>
      <c r="L148" s="86" t="str">
        <f t="shared" si="21"/>
        <v>De.Transportes</v>
      </c>
      <c r="M148" s="76" t="str">
        <f t="shared" si="22"/>
        <v>Aquáticos</v>
      </c>
      <c r="N148" s="76" t="str">
        <f t="shared" si="23"/>
        <v>Navios</v>
      </c>
      <c r="O148" s="77" t="str">
        <f t="shared" si="24"/>
        <v>Handymax</v>
      </c>
      <c r="P148" s="80" t="s">
        <v>385</v>
      </c>
      <c r="Q148" s="86" t="s">
        <v>386</v>
      </c>
      <c r="R148" s="77" t="s">
        <v>1</v>
      </c>
      <c r="S148" s="77" t="str">
        <f t="shared" si="29"/>
        <v>De Transportes</v>
      </c>
      <c r="T148" s="77" t="str">
        <f t="shared" si="29"/>
        <v>Aquáticos</v>
      </c>
      <c r="U148" s="77" t="str">
        <f t="shared" si="29"/>
        <v>Navios</v>
      </c>
      <c r="V148" s="77" t="s">
        <v>1964</v>
      </c>
      <c r="W148" s="78" t="str">
        <f t="shared" si="27"/>
        <v>Key-BRASIL-148</v>
      </c>
      <c r="X148" s="77" t="s">
        <v>1846</v>
      </c>
      <c r="Y148" s="77" t="s">
        <v>1894</v>
      </c>
      <c r="Z148" s="81" t="s">
        <v>1</v>
      </c>
      <c r="AA148" s="77" t="str">
        <f t="shared" si="28"/>
        <v>Ship of varied cargoes, equipped with its own cranes, ideal for smaller ports.</v>
      </c>
    </row>
    <row r="149" spans="1:27" ht="6.6" customHeight="1" x14ac:dyDescent="0.25">
      <c r="A149" s="72">
        <v>149</v>
      </c>
      <c r="B149" s="73" t="s">
        <v>1968</v>
      </c>
      <c r="C149" s="83" t="s">
        <v>2000</v>
      </c>
      <c r="D149" s="73" t="s">
        <v>1440</v>
      </c>
      <c r="E149" s="84" t="s">
        <v>1409</v>
      </c>
      <c r="F149" s="32" t="s">
        <v>387</v>
      </c>
      <c r="G149" s="85" t="s">
        <v>1</v>
      </c>
      <c r="H149" s="85" t="s">
        <v>1</v>
      </c>
      <c r="I149" s="85" t="s">
        <v>1</v>
      </c>
      <c r="J149" s="85" t="s">
        <v>1</v>
      </c>
      <c r="K149" s="85" t="s">
        <v>1</v>
      </c>
      <c r="L149" s="86" t="str">
        <f t="shared" si="21"/>
        <v>De.Transportes</v>
      </c>
      <c r="M149" s="76" t="str">
        <f t="shared" si="22"/>
        <v>Aquáticos</v>
      </c>
      <c r="N149" s="76" t="str">
        <f t="shared" si="23"/>
        <v>Navios</v>
      </c>
      <c r="O149" s="77" t="str">
        <f t="shared" si="24"/>
        <v>Supramax</v>
      </c>
      <c r="P149" s="80" t="s">
        <v>388</v>
      </c>
      <c r="Q149" s="86" t="s">
        <v>389</v>
      </c>
      <c r="R149" s="77" t="s">
        <v>1</v>
      </c>
      <c r="S149" s="77" t="str">
        <f t="shared" si="29"/>
        <v>De Transportes</v>
      </c>
      <c r="T149" s="77" t="str">
        <f t="shared" si="29"/>
        <v>Aquáticos</v>
      </c>
      <c r="U149" s="77" t="str">
        <f t="shared" si="29"/>
        <v>Navios</v>
      </c>
      <c r="V149" s="77" t="s">
        <v>1964</v>
      </c>
      <c r="W149" s="78" t="str">
        <f t="shared" si="27"/>
        <v>Key-BRASIL-149</v>
      </c>
      <c r="X149" s="77" t="s">
        <v>1846</v>
      </c>
      <c r="Y149" s="77" t="s">
        <v>1894</v>
      </c>
      <c r="Z149" s="81" t="s">
        <v>1</v>
      </c>
      <c r="AA149" s="77" t="str">
        <f t="shared" si="28"/>
        <v>Dry cargo ship like coal and fertilizer, similar to the Handymax but with higher capacity.</v>
      </c>
    </row>
    <row r="150" spans="1:27" ht="6.6" customHeight="1" x14ac:dyDescent="0.25">
      <c r="A150" s="72">
        <v>150</v>
      </c>
      <c r="B150" s="73" t="s">
        <v>1968</v>
      </c>
      <c r="C150" s="83" t="s">
        <v>2000</v>
      </c>
      <c r="D150" s="73" t="s">
        <v>1440</v>
      </c>
      <c r="E150" s="84" t="s">
        <v>1409</v>
      </c>
      <c r="F150" s="32" t="s">
        <v>390</v>
      </c>
      <c r="G150" s="85" t="s">
        <v>1</v>
      </c>
      <c r="H150" s="85" t="s">
        <v>1</v>
      </c>
      <c r="I150" s="85" t="s">
        <v>1</v>
      </c>
      <c r="J150" s="85" t="s">
        <v>1</v>
      </c>
      <c r="K150" s="85" t="s">
        <v>1</v>
      </c>
      <c r="L150" s="86" t="str">
        <f t="shared" si="21"/>
        <v>De.Transportes</v>
      </c>
      <c r="M150" s="76" t="str">
        <f t="shared" si="22"/>
        <v>Aquáticos</v>
      </c>
      <c r="N150" s="76" t="str">
        <f t="shared" si="23"/>
        <v>Navios</v>
      </c>
      <c r="O150" s="77" t="str">
        <f t="shared" si="24"/>
        <v>Panamax</v>
      </c>
      <c r="P150" s="80" t="s">
        <v>391</v>
      </c>
      <c r="Q150" s="86" t="s">
        <v>392</v>
      </c>
      <c r="R150" s="77" t="s">
        <v>1</v>
      </c>
      <c r="S150" s="77" t="str">
        <f t="shared" si="29"/>
        <v>De Transportes</v>
      </c>
      <c r="T150" s="77" t="str">
        <f t="shared" si="29"/>
        <v>Aquáticos</v>
      </c>
      <c r="U150" s="77" t="str">
        <f t="shared" si="29"/>
        <v>Navios</v>
      </c>
      <c r="V150" s="77" t="s">
        <v>1964</v>
      </c>
      <c r="W150" s="78" t="str">
        <f t="shared" si="27"/>
        <v>Key-BRASIL-150</v>
      </c>
      <c r="X150" s="77" t="s">
        <v>1846</v>
      </c>
      <c r="Y150" s="77" t="s">
        <v>1894</v>
      </c>
      <c r="Z150" s="81" t="s">
        <v>1</v>
      </c>
      <c r="AA150" s="77" t="str">
        <f t="shared" si="28"/>
        <v>Grain, coal and oil cargo ship, designed to transit the Panama Canal.</v>
      </c>
    </row>
    <row r="151" spans="1:27" ht="6.6" customHeight="1" x14ac:dyDescent="0.25">
      <c r="A151" s="72">
        <v>151</v>
      </c>
      <c r="B151" s="73" t="s">
        <v>1968</v>
      </c>
      <c r="C151" s="83" t="s">
        <v>2000</v>
      </c>
      <c r="D151" s="73" t="s">
        <v>1440</v>
      </c>
      <c r="E151" s="84" t="s">
        <v>1409</v>
      </c>
      <c r="F151" s="32" t="s">
        <v>393</v>
      </c>
      <c r="G151" s="85" t="s">
        <v>1</v>
      </c>
      <c r="H151" s="85" t="s">
        <v>1</v>
      </c>
      <c r="I151" s="85" t="s">
        <v>1</v>
      </c>
      <c r="J151" s="85" t="s">
        <v>1</v>
      </c>
      <c r="K151" s="85" t="s">
        <v>1</v>
      </c>
      <c r="L151" s="86" t="str">
        <f t="shared" si="21"/>
        <v>De.Transportes</v>
      </c>
      <c r="M151" s="76" t="str">
        <f t="shared" si="22"/>
        <v>Aquáticos</v>
      </c>
      <c r="N151" s="76" t="str">
        <f t="shared" si="23"/>
        <v>Navios</v>
      </c>
      <c r="O151" s="77" t="str">
        <f t="shared" si="24"/>
        <v>Neopanamax</v>
      </c>
      <c r="P151" s="80" t="s">
        <v>394</v>
      </c>
      <c r="Q151" s="86" t="s">
        <v>395</v>
      </c>
      <c r="R151" s="77" t="s">
        <v>1</v>
      </c>
      <c r="S151" s="77" t="str">
        <f t="shared" si="29"/>
        <v>De Transportes</v>
      </c>
      <c r="T151" s="77" t="str">
        <f t="shared" si="29"/>
        <v>Aquáticos</v>
      </c>
      <c r="U151" s="77" t="str">
        <f t="shared" si="29"/>
        <v>Navios</v>
      </c>
      <c r="V151" s="77" t="s">
        <v>1964</v>
      </c>
      <c r="W151" s="78" t="str">
        <f t="shared" si="27"/>
        <v>Key-BRASIL-151</v>
      </c>
      <c r="X151" s="77" t="s">
        <v>1846</v>
      </c>
      <c r="Y151" s="77" t="s">
        <v>1894</v>
      </c>
      <c r="Z151" s="81" t="s">
        <v>1</v>
      </c>
      <c r="AA151" s="77" t="str">
        <f t="shared" si="28"/>
        <v>General cargo ship and containers. Adapted to the new locks of the Panama Canal.</v>
      </c>
    </row>
    <row r="152" spans="1:27" ht="6.6" customHeight="1" x14ac:dyDescent="0.25">
      <c r="A152" s="72">
        <v>152</v>
      </c>
      <c r="B152" s="73" t="s">
        <v>1968</v>
      </c>
      <c r="C152" s="83" t="s">
        <v>2000</v>
      </c>
      <c r="D152" s="73" t="s">
        <v>1440</v>
      </c>
      <c r="E152" s="84" t="s">
        <v>1409</v>
      </c>
      <c r="F152" s="32" t="s">
        <v>396</v>
      </c>
      <c r="G152" s="85" t="s">
        <v>1</v>
      </c>
      <c r="H152" s="85" t="s">
        <v>1</v>
      </c>
      <c r="I152" s="85" t="s">
        <v>1</v>
      </c>
      <c r="J152" s="85" t="s">
        <v>1</v>
      </c>
      <c r="K152" s="85" t="s">
        <v>1</v>
      </c>
      <c r="L152" s="86" t="str">
        <f t="shared" si="21"/>
        <v>De.Transportes</v>
      </c>
      <c r="M152" s="76" t="str">
        <f t="shared" si="22"/>
        <v>Aquáticos</v>
      </c>
      <c r="N152" s="76" t="str">
        <f t="shared" si="23"/>
        <v>Navios</v>
      </c>
      <c r="O152" s="77" t="str">
        <f t="shared" si="24"/>
        <v>Aframax</v>
      </c>
      <c r="P152" s="80" t="s">
        <v>397</v>
      </c>
      <c r="Q152" s="86" t="s">
        <v>398</v>
      </c>
      <c r="R152" s="77" t="s">
        <v>1</v>
      </c>
      <c r="S152" s="77" t="str">
        <f t="shared" si="29"/>
        <v>De Transportes</v>
      </c>
      <c r="T152" s="77" t="str">
        <f t="shared" si="29"/>
        <v>Aquáticos</v>
      </c>
      <c r="U152" s="77" t="str">
        <f t="shared" si="29"/>
        <v>Navios</v>
      </c>
      <c r="V152" s="77" t="s">
        <v>1964</v>
      </c>
      <c r="W152" s="78" t="str">
        <f t="shared" si="27"/>
        <v>Key-BRASIL-152</v>
      </c>
      <c r="X152" s="77" t="s">
        <v>1846</v>
      </c>
      <c r="Y152" s="77" t="s">
        <v>1894</v>
      </c>
      <c r="Z152" s="81" t="s">
        <v>1</v>
      </c>
      <c r="AA152" s="77" t="str">
        <f t="shared" si="28"/>
        <v>Crude oil cargo ship, medium-sized for short and medium routes.</v>
      </c>
    </row>
    <row r="153" spans="1:27" ht="6.6" customHeight="1" x14ac:dyDescent="0.25">
      <c r="A153" s="72">
        <v>153</v>
      </c>
      <c r="B153" s="73" t="s">
        <v>1968</v>
      </c>
      <c r="C153" s="83" t="s">
        <v>2000</v>
      </c>
      <c r="D153" s="73" t="s">
        <v>1440</v>
      </c>
      <c r="E153" s="84" t="s">
        <v>1409</v>
      </c>
      <c r="F153" s="32" t="s">
        <v>399</v>
      </c>
      <c r="G153" s="85" t="s">
        <v>1</v>
      </c>
      <c r="H153" s="85" t="s">
        <v>1</v>
      </c>
      <c r="I153" s="85" t="s">
        <v>1</v>
      </c>
      <c r="J153" s="85" t="s">
        <v>1</v>
      </c>
      <c r="K153" s="85" t="s">
        <v>1</v>
      </c>
      <c r="L153" s="86" t="str">
        <f t="shared" si="21"/>
        <v>De.Transportes</v>
      </c>
      <c r="M153" s="76" t="str">
        <f t="shared" si="22"/>
        <v>Aquáticos</v>
      </c>
      <c r="N153" s="76" t="str">
        <f t="shared" si="23"/>
        <v>Navios</v>
      </c>
      <c r="O153" s="77" t="str">
        <f t="shared" si="24"/>
        <v>Suezmax</v>
      </c>
      <c r="P153" s="80" t="s">
        <v>400</v>
      </c>
      <c r="Q153" s="86" t="s">
        <v>401</v>
      </c>
      <c r="R153" s="77" t="s">
        <v>1</v>
      </c>
      <c r="S153" s="77" t="str">
        <f t="shared" si="29"/>
        <v>De Transportes</v>
      </c>
      <c r="T153" s="77" t="str">
        <f t="shared" si="29"/>
        <v>Aquáticos</v>
      </c>
      <c r="U153" s="77" t="str">
        <f t="shared" si="29"/>
        <v>Navios</v>
      </c>
      <c r="V153" s="77" t="s">
        <v>1964</v>
      </c>
      <c r="W153" s="78" t="str">
        <f t="shared" si="27"/>
        <v>Key-BRASIL-153</v>
      </c>
      <c r="X153" s="77" t="s">
        <v>1846</v>
      </c>
      <c r="Y153" s="77" t="s">
        <v>1894</v>
      </c>
      <c r="Z153" s="81" t="s">
        <v>1</v>
      </c>
      <c r="AA153" s="77" t="str">
        <f t="shared" si="28"/>
        <v>Crude oil cargo ship, designed for the Suez Canal.</v>
      </c>
    </row>
    <row r="154" spans="1:27" ht="6.6" customHeight="1" x14ac:dyDescent="0.25">
      <c r="A154" s="72">
        <v>154</v>
      </c>
      <c r="B154" s="73" t="s">
        <v>1968</v>
      </c>
      <c r="C154" s="83" t="s">
        <v>2000</v>
      </c>
      <c r="D154" s="73" t="s">
        <v>1440</v>
      </c>
      <c r="E154" s="84" t="s">
        <v>1409</v>
      </c>
      <c r="F154" s="32" t="s">
        <v>402</v>
      </c>
      <c r="G154" s="85" t="s">
        <v>1</v>
      </c>
      <c r="H154" s="85" t="s">
        <v>1</v>
      </c>
      <c r="I154" s="85" t="s">
        <v>1</v>
      </c>
      <c r="J154" s="85" t="s">
        <v>1</v>
      </c>
      <c r="K154" s="85" t="s">
        <v>1</v>
      </c>
      <c r="L154" s="86" t="str">
        <f t="shared" si="21"/>
        <v>De.Transportes</v>
      </c>
      <c r="M154" s="76" t="str">
        <f t="shared" si="22"/>
        <v>Aquáticos</v>
      </c>
      <c r="N154" s="76" t="str">
        <f t="shared" si="23"/>
        <v>Navios</v>
      </c>
      <c r="O154" s="77" t="str">
        <f t="shared" si="24"/>
        <v>Capesize</v>
      </c>
      <c r="P154" s="80" t="s">
        <v>403</v>
      </c>
      <c r="Q154" s="86" t="s">
        <v>404</v>
      </c>
      <c r="R154" s="77" t="s">
        <v>1</v>
      </c>
      <c r="S154" s="77" t="str">
        <f t="shared" si="29"/>
        <v>De Transportes</v>
      </c>
      <c r="T154" s="77" t="str">
        <f t="shared" si="29"/>
        <v>Aquáticos</v>
      </c>
      <c r="U154" s="77" t="str">
        <f t="shared" si="29"/>
        <v>Navios</v>
      </c>
      <c r="V154" s="77" t="s">
        <v>1964</v>
      </c>
      <c r="W154" s="78" t="str">
        <f t="shared" si="27"/>
        <v>Key-BRASIL-154</v>
      </c>
      <c r="X154" s="77" t="s">
        <v>1846</v>
      </c>
      <c r="Y154" s="77" t="s">
        <v>1894</v>
      </c>
      <c r="Z154" s="81" t="s">
        <v>1</v>
      </c>
      <c r="AA154" s="77" t="str">
        <f t="shared" si="28"/>
        <v>Cargo ship iron ore and coal by routes via Cape of Good Hope or Cape Horn, as they are too large for the Suez and Panama Canals.</v>
      </c>
    </row>
    <row r="155" spans="1:27" ht="6.6" customHeight="1" x14ac:dyDescent="0.25">
      <c r="A155" s="72">
        <v>155</v>
      </c>
      <c r="B155" s="73" t="s">
        <v>1968</v>
      </c>
      <c r="C155" s="83" t="s">
        <v>2000</v>
      </c>
      <c r="D155" s="73" t="s">
        <v>1440</v>
      </c>
      <c r="E155" s="84" t="s">
        <v>1409</v>
      </c>
      <c r="F155" s="32" t="s">
        <v>405</v>
      </c>
      <c r="G155" s="85" t="s">
        <v>1</v>
      </c>
      <c r="H155" s="85" t="s">
        <v>1</v>
      </c>
      <c r="I155" s="85" t="s">
        <v>1</v>
      </c>
      <c r="J155" s="85" t="s">
        <v>1</v>
      </c>
      <c r="K155" s="85" t="s">
        <v>1</v>
      </c>
      <c r="L155" s="86" t="str">
        <f t="shared" si="21"/>
        <v>De.Transportes</v>
      </c>
      <c r="M155" s="76" t="str">
        <f t="shared" si="22"/>
        <v>Aquáticos</v>
      </c>
      <c r="N155" s="76" t="str">
        <f t="shared" si="23"/>
        <v>Navios</v>
      </c>
      <c r="O155" s="77" t="str">
        <f t="shared" si="24"/>
        <v>Superpetroleiro</v>
      </c>
      <c r="P155" s="80" t="s">
        <v>406</v>
      </c>
      <c r="Q155" s="86" t="s">
        <v>407</v>
      </c>
      <c r="R155" s="77" t="s">
        <v>1</v>
      </c>
      <c r="S155" s="77" t="str">
        <f t="shared" si="29"/>
        <v>De Transportes</v>
      </c>
      <c r="T155" s="77" t="str">
        <f t="shared" si="29"/>
        <v>Aquáticos</v>
      </c>
      <c r="U155" s="77" t="str">
        <f t="shared" si="29"/>
        <v>Navios</v>
      </c>
      <c r="V155" s="77" t="s">
        <v>1964</v>
      </c>
      <c r="W155" s="78" t="str">
        <f t="shared" si="27"/>
        <v>Key-BRASIL-155</v>
      </c>
      <c r="X155" s="77" t="s">
        <v>1846</v>
      </c>
      <c r="Y155" s="77" t="s">
        <v>1894</v>
      </c>
      <c r="Z155" s="81" t="s">
        <v>1</v>
      </c>
      <c r="AA155" s="77" t="str">
        <f t="shared" si="28"/>
        <v>Crude oil cargo for intercontinental routes require specialized ports.</v>
      </c>
    </row>
    <row r="156" spans="1:27" ht="6.6" customHeight="1" x14ac:dyDescent="0.25">
      <c r="A156" s="72">
        <v>156</v>
      </c>
      <c r="B156" s="73" t="s">
        <v>1968</v>
      </c>
      <c r="C156" s="83" t="s">
        <v>2000</v>
      </c>
      <c r="D156" s="73" t="s">
        <v>1440</v>
      </c>
      <c r="E156" s="84" t="s">
        <v>1409</v>
      </c>
      <c r="F156" s="32" t="s">
        <v>408</v>
      </c>
      <c r="G156" s="85" t="s">
        <v>1</v>
      </c>
      <c r="H156" s="85" t="s">
        <v>1</v>
      </c>
      <c r="I156" s="85" t="s">
        <v>1</v>
      </c>
      <c r="J156" s="85" t="s">
        <v>1</v>
      </c>
      <c r="K156" s="85" t="s">
        <v>1</v>
      </c>
      <c r="L156" s="86" t="str">
        <f t="shared" si="21"/>
        <v>De.Transportes</v>
      </c>
      <c r="M156" s="76" t="str">
        <f t="shared" si="22"/>
        <v>Aquáticos</v>
      </c>
      <c r="N156" s="76" t="str">
        <f t="shared" si="23"/>
        <v>Navios</v>
      </c>
      <c r="O156" s="77" t="str">
        <f t="shared" si="24"/>
        <v>Ultrapetroleiro</v>
      </c>
      <c r="P156" s="80" t="s">
        <v>409</v>
      </c>
      <c r="Q156" s="86" t="s">
        <v>410</v>
      </c>
      <c r="R156" s="77" t="s">
        <v>1</v>
      </c>
      <c r="S156" s="77" t="str">
        <f t="shared" si="29"/>
        <v>De Transportes</v>
      </c>
      <c r="T156" s="77" t="str">
        <f t="shared" si="29"/>
        <v>Aquáticos</v>
      </c>
      <c r="U156" s="77" t="str">
        <f t="shared" si="29"/>
        <v>Navios</v>
      </c>
      <c r="V156" s="77" t="s">
        <v>1964</v>
      </c>
      <c r="W156" s="78" t="str">
        <f t="shared" si="27"/>
        <v>Key-BRASIL-156</v>
      </c>
      <c r="X156" s="77" t="s">
        <v>1846</v>
      </c>
      <c r="Y156" s="77" t="s">
        <v>1894</v>
      </c>
      <c r="Z156" s="81" t="s">
        <v>1</v>
      </c>
      <c r="AA156" s="77" t="str">
        <f t="shared" si="28"/>
        <v>Supertankers used on routes between the Middle East, Asia and Europe, require dedicated terminals.</v>
      </c>
    </row>
    <row r="157" spans="1:27" ht="6.6" customHeight="1" x14ac:dyDescent="0.25">
      <c r="A157" s="72">
        <v>157</v>
      </c>
      <c r="B157" s="73" t="s">
        <v>1968</v>
      </c>
      <c r="C157" s="83" t="s">
        <v>2000</v>
      </c>
      <c r="D157" s="73" t="s">
        <v>1440</v>
      </c>
      <c r="E157" s="84" t="s">
        <v>1409</v>
      </c>
      <c r="F157" s="32" t="s">
        <v>411</v>
      </c>
      <c r="G157" s="85" t="s">
        <v>1</v>
      </c>
      <c r="H157" s="85" t="s">
        <v>1</v>
      </c>
      <c r="I157" s="85" t="s">
        <v>1</v>
      </c>
      <c r="J157" s="85" t="s">
        <v>1</v>
      </c>
      <c r="K157" s="85" t="s">
        <v>1</v>
      </c>
      <c r="L157" s="86" t="str">
        <f t="shared" si="21"/>
        <v>De.Transportes</v>
      </c>
      <c r="M157" s="76" t="str">
        <f t="shared" si="22"/>
        <v>Aquáticos</v>
      </c>
      <c r="N157" s="76" t="str">
        <f t="shared" si="23"/>
        <v>Navios</v>
      </c>
      <c r="O157" s="77" t="str">
        <f t="shared" si="24"/>
        <v>Chinamax</v>
      </c>
      <c r="P157" s="80" t="s">
        <v>412</v>
      </c>
      <c r="Q157" s="86" t="s">
        <v>413</v>
      </c>
      <c r="R157" s="77" t="s">
        <v>1</v>
      </c>
      <c r="S157" s="77" t="str">
        <f t="shared" si="29"/>
        <v>De Transportes</v>
      </c>
      <c r="T157" s="77" t="str">
        <f t="shared" si="29"/>
        <v>Aquáticos</v>
      </c>
      <c r="U157" s="77" t="str">
        <f t="shared" si="29"/>
        <v>Navios</v>
      </c>
      <c r="V157" s="77" t="s">
        <v>1964</v>
      </c>
      <c r="W157" s="78" t="str">
        <f t="shared" si="27"/>
        <v>Key-BRASIL-157</v>
      </c>
      <c r="X157" s="77" t="s">
        <v>1846</v>
      </c>
      <c r="Y157" s="77" t="s">
        <v>1894</v>
      </c>
      <c r="Z157" s="81" t="s">
        <v>1</v>
      </c>
      <c r="AA157" s="77" t="str">
        <f t="shared" si="28"/>
        <v>Iron ore cargo between Brazil and China require ports with specific infrastructure.</v>
      </c>
    </row>
    <row r="158" spans="1:27" ht="6.6" customHeight="1" x14ac:dyDescent="0.25">
      <c r="A158" s="72">
        <v>158</v>
      </c>
      <c r="B158" s="73" t="s">
        <v>1968</v>
      </c>
      <c r="C158" s="83" t="s">
        <v>2000</v>
      </c>
      <c r="D158" s="73" t="s">
        <v>1440</v>
      </c>
      <c r="E158" s="84" t="s">
        <v>1409</v>
      </c>
      <c r="F158" s="32" t="s">
        <v>414</v>
      </c>
      <c r="G158" s="85" t="s">
        <v>1</v>
      </c>
      <c r="H158" s="85" t="s">
        <v>1</v>
      </c>
      <c r="I158" s="85" t="s">
        <v>1</v>
      </c>
      <c r="J158" s="85" t="s">
        <v>1</v>
      </c>
      <c r="K158" s="85" t="s">
        <v>1</v>
      </c>
      <c r="L158" s="86" t="str">
        <f t="shared" si="21"/>
        <v>De.Transportes</v>
      </c>
      <c r="M158" s="76" t="str">
        <f t="shared" si="22"/>
        <v>Aquáticos</v>
      </c>
      <c r="N158" s="76" t="str">
        <f t="shared" si="23"/>
        <v>Navios</v>
      </c>
      <c r="O158" s="77" t="str">
        <f t="shared" si="24"/>
        <v>Cruzeiro</v>
      </c>
      <c r="P158" s="80" t="s">
        <v>415</v>
      </c>
      <c r="Q158" s="86" t="s">
        <v>416</v>
      </c>
      <c r="R158" s="77" t="s">
        <v>1</v>
      </c>
      <c r="S158" s="77" t="str">
        <f t="shared" si="29"/>
        <v>De Transportes</v>
      </c>
      <c r="T158" s="77" t="str">
        <f t="shared" si="29"/>
        <v>Aquáticos</v>
      </c>
      <c r="U158" s="77" t="str">
        <f t="shared" si="29"/>
        <v>Navios</v>
      </c>
      <c r="V158" s="77" t="s">
        <v>1964</v>
      </c>
      <c r="W158" s="78" t="str">
        <f t="shared" si="27"/>
        <v>Key-BRASIL-158</v>
      </c>
      <c r="X158" s="77" t="s">
        <v>1846</v>
      </c>
      <c r="Y158" s="77" t="s">
        <v>1894</v>
      </c>
      <c r="Z158" s="81" t="s">
        <v>1</v>
      </c>
      <c r="AA158" s="77" t="str">
        <f t="shared" si="28"/>
        <v>Tourist cruise ship for passengers.</v>
      </c>
    </row>
    <row r="159" spans="1:27" ht="6.6" customHeight="1" x14ac:dyDescent="0.25">
      <c r="A159" s="72">
        <v>159</v>
      </c>
      <c r="B159" s="73" t="s">
        <v>1968</v>
      </c>
      <c r="C159" s="83" t="s">
        <v>2000</v>
      </c>
      <c r="D159" s="73" t="s">
        <v>1440</v>
      </c>
      <c r="E159" s="84" t="s">
        <v>1409</v>
      </c>
      <c r="F159" s="32" t="s">
        <v>417</v>
      </c>
      <c r="G159" s="85" t="s">
        <v>1</v>
      </c>
      <c r="H159" s="85" t="s">
        <v>1</v>
      </c>
      <c r="I159" s="85" t="s">
        <v>1</v>
      </c>
      <c r="J159" s="85" t="s">
        <v>1</v>
      </c>
      <c r="K159" s="85" t="s">
        <v>1</v>
      </c>
      <c r="L159" s="86" t="str">
        <f t="shared" si="21"/>
        <v>De.Transportes</v>
      </c>
      <c r="M159" s="76" t="str">
        <f t="shared" si="22"/>
        <v>Aquáticos</v>
      </c>
      <c r="N159" s="76" t="str">
        <f t="shared" si="23"/>
        <v>Navios</v>
      </c>
      <c r="O159" s="77" t="str">
        <f t="shared" si="24"/>
        <v>Militar</v>
      </c>
      <c r="P159" s="80" t="s">
        <v>418</v>
      </c>
      <c r="Q159" s="86" t="s">
        <v>419</v>
      </c>
      <c r="R159" s="77" t="s">
        <v>1</v>
      </c>
      <c r="S159" s="77" t="str">
        <f t="shared" si="29"/>
        <v>De Transportes</v>
      </c>
      <c r="T159" s="77" t="str">
        <f t="shared" si="29"/>
        <v>Aquáticos</v>
      </c>
      <c r="U159" s="77" t="str">
        <f t="shared" si="29"/>
        <v>Navios</v>
      </c>
      <c r="V159" s="77" t="s">
        <v>1964</v>
      </c>
      <c r="W159" s="78" t="str">
        <f t="shared" si="27"/>
        <v>Key-BRASIL-159</v>
      </c>
      <c r="X159" s="77" t="s">
        <v>1846</v>
      </c>
      <c r="Y159" s="77" t="s">
        <v>1894</v>
      </c>
      <c r="Z159" s="81" t="s">
        <v>1</v>
      </c>
      <c r="AA159" s="77" t="str">
        <f t="shared" si="28"/>
        <v>Military ship equipped with weapons or war elements.</v>
      </c>
    </row>
    <row r="160" spans="1:27" ht="6.6" customHeight="1" x14ac:dyDescent="0.25">
      <c r="A160" s="72">
        <v>160</v>
      </c>
      <c r="B160" s="73" t="s">
        <v>1968</v>
      </c>
      <c r="C160" s="83" t="s">
        <v>2000</v>
      </c>
      <c r="D160" s="73" t="s">
        <v>1440</v>
      </c>
      <c r="E160" s="84" t="s">
        <v>1409</v>
      </c>
      <c r="F160" s="32" t="s">
        <v>420</v>
      </c>
      <c r="G160" s="85" t="s">
        <v>1</v>
      </c>
      <c r="H160" s="85" t="s">
        <v>1</v>
      </c>
      <c r="I160" s="85" t="s">
        <v>1</v>
      </c>
      <c r="J160" s="85" t="s">
        <v>1</v>
      </c>
      <c r="K160" s="85" t="s">
        <v>1</v>
      </c>
      <c r="L160" s="86" t="str">
        <f t="shared" si="21"/>
        <v>De.Transportes</v>
      </c>
      <c r="M160" s="76" t="str">
        <f t="shared" si="22"/>
        <v>Aquáticos</v>
      </c>
      <c r="N160" s="76" t="str">
        <f t="shared" si="23"/>
        <v>Navios</v>
      </c>
      <c r="O160" s="77" t="str">
        <f t="shared" si="24"/>
        <v>Científico</v>
      </c>
      <c r="P160" s="80" t="s">
        <v>421</v>
      </c>
      <c r="Q160" s="86" t="s">
        <v>422</v>
      </c>
      <c r="R160" s="77" t="s">
        <v>1</v>
      </c>
      <c r="S160" s="77" t="str">
        <f t="shared" si="29"/>
        <v>De Transportes</v>
      </c>
      <c r="T160" s="77" t="str">
        <f t="shared" si="29"/>
        <v>Aquáticos</v>
      </c>
      <c r="U160" s="77" t="str">
        <f t="shared" si="29"/>
        <v>Navios</v>
      </c>
      <c r="V160" s="77" t="s">
        <v>1964</v>
      </c>
      <c r="W160" s="78" t="str">
        <f t="shared" si="27"/>
        <v>Key-BRASIL-160</v>
      </c>
      <c r="X160" s="77" t="s">
        <v>1846</v>
      </c>
      <c r="Y160" s="77" t="s">
        <v>1894</v>
      </c>
      <c r="Z160" s="81" t="s">
        <v>1</v>
      </c>
      <c r="AA160" s="77" t="str">
        <f t="shared" si="28"/>
        <v>Ships with scientific functionality such as Hydrooceanographic, Oceanic or Antarctic Support vessels.</v>
      </c>
    </row>
    <row r="161" spans="1:27" ht="6.6" customHeight="1" x14ac:dyDescent="0.25">
      <c r="A161" s="72">
        <v>161</v>
      </c>
      <c r="B161" s="73" t="s">
        <v>1968</v>
      </c>
      <c r="C161" s="83" t="s">
        <v>2000</v>
      </c>
      <c r="D161" s="73" t="s">
        <v>1440</v>
      </c>
      <c r="E161" s="84" t="s">
        <v>1409</v>
      </c>
      <c r="F161" s="32" t="s">
        <v>423</v>
      </c>
      <c r="G161" s="85" t="s">
        <v>1</v>
      </c>
      <c r="H161" s="85" t="s">
        <v>1</v>
      </c>
      <c r="I161" s="85" t="s">
        <v>1</v>
      </c>
      <c r="J161" s="85" t="s">
        <v>1</v>
      </c>
      <c r="K161" s="85" t="s">
        <v>1</v>
      </c>
      <c r="L161" s="86" t="str">
        <f t="shared" si="21"/>
        <v>De.Transportes</v>
      </c>
      <c r="M161" s="76" t="str">
        <f t="shared" si="22"/>
        <v>Aquáticos</v>
      </c>
      <c r="N161" s="76" t="str">
        <f t="shared" si="23"/>
        <v>Navios</v>
      </c>
      <c r="O161" s="77" t="str">
        <f t="shared" si="24"/>
        <v>Clipper</v>
      </c>
      <c r="P161" s="80" t="s">
        <v>424</v>
      </c>
      <c r="Q161" s="86" t="s">
        <v>425</v>
      </c>
      <c r="R161" s="77" t="s">
        <v>1</v>
      </c>
      <c r="S161" s="77" t="str">
        <f t="shared" si="29"/>
        <v>De Transportes</v>
      </c>
      <c r="T161" s="77" t="str">
        <f t="shared" si="29"/>
        <v>Aquáticos</v>
      </c>
      <c r="U161" s="77" t="str">
        <f t="shared" si="29"/>
        <v>Navios</v>
      </c>
      <c r="V161" s="77" t="s">
        <v>1964</v>
      </c>
      <c r="W161" s="78" t="str">
        <f t="shared" si="27"/>
        <v>Key-BRASIL-161</v>
      </c>
      <c r="X161" s="77" t="s">
        <v>1846</v>
      </c>
      <c r="Y161" s="77" t="s">
        <v>1894</v>
      </c>
      <c r="Z161" s="81" t="s">
        <v>1</v>
      </c>
      <c r="AA161" s="77" t="str">
        <f t="shared" si="28"/>
        <v>Sailboat designed for high speed, with a narrow hull and three high masts.</v>
      </c>
    </row>
    <row r="162" spans="1:27" ht="6.6" customHeight="1" x14ac:dyDescent="0.25">
      <c r="A162" s="72">
        <v>162</v>
      </c>
      <c r="B162" s="73" t="s">
        <v>1968</v>
      </c>
      <c r="C162" s="83" t="s">
        <v>2000</v>
      </c>
      <c r="D162" s="73" t="s">
        <v>1440</v>
      </c>
      <c r="E162" s="87" t="s">
        <v>1410</v>
      </c>
      <c r="F162" s="32" t="s">
        <v>426</v>
      </c>
      <c r="G162" s="85" t="s">
        <v>1</v>
      </c>
      <c r="H162" s="85" t="s">
        <v>1</v>
      </c>
      <c r="I162" s="85" t="s">
        <v>1</v>
      </c>
      <c r="J162" s="85" t="s">
        <v>1</v>
      </c>
      <c r="K162" s="85" t="s">
        <v>1</v>
      </c>
      <c r="L162" s="86" t="str">
        <f t="shared" si="21"/>
        <v>De.Transportes</v>
      </c>
      <c r="M162" s="76" t="str">
        <f t="shared" si="22"/>
        <v>Aquáticos</v>
      </c>
      <c r="N162" s="76" t="str">
        <f t="shared" si="23"/>
        <v>Embarcações</v>
      </c>
      <c r="O162" s="77" t="str">
        <f t="shared" si="24"/>
        <v>Rebocador</v>
      </c>
      <c r="P162" s="80" t="s">
        <v>427</v>
      </c>
      <c r="Q162" s="86" t="s">
        <v>428</v>
      </c>
      <c r="R162" s="77" t="s">
        <v>1</v>
      </c>
      <c r="S162" s="77" t="str">
        <f t="shared" si="29"/>
        <v>De Transportes</v>
      </c>
      <c r="T162" s="77" t="str">
        <f t="shared" si="29"/>
        <v>Aquáticos</v>
      </c>
      <c r="U162" s="77" t="str">
        <f t="shared" si="29"/>
        <v>Embarcações</v>
      </c>
      <c r="V162" s="77" t="s">
        <v>1964</v>
      </c>
      <c r="W162" s="78" t="str">
        <f t="shared" si="27"/>
        <v>Key-BRASIL-162</v>
      </c>
      <c r="X162" s="77" t="s">
        <v>1846</v>
      </c>
      <c r="Y162" s="77" t="s">
        <v>1894</v>
      </c>
      <c r="Z162" s="81" t="s">
        <v>1</v>
      </c>
      <c r="AA162" s="77" t="str">
        <f t="shared" si="28"/>
        <v>Support ship for entry and exit to ports.</v>
      </c>
    </row>
    <row r="163" spans="1:27" ht="6.6" customHeight="1" x14ac:dyDescent="0.25">
      <c r="A163" s="72">
        <v>163</v>
      </c>
      <c r="B163" s="73" t="s">
        <v>1968</v>
      </c>
      <c r="C163" s="83" t="s">
        <v>2000</v>
      </c>
      <c r="D163" s="73" t="s">
        <v>1440</v>
      </c>
      <c r="E163" s="87" t="s">
        <v>1410</v>
      </c>
      <c r="F163" s="32" t="s">
        <v>429</v>
      </c>
      <c r="G163" s="85" t="s">
        <v>1</v>
      </c>
      <c r="H163" s="85" t="s">
        <v>1</v>
      </c>
      <c r="I163" s="85" t="s">
        <v>1</v>
      </c>
      <c r="J163" s="85" t="s">
        <v>1</v>
      </c>
      <c r="K163" s="85" t="s">
        <v>1</v>
      </c>
      <c r="L163" s="86" t="str">
        <f t="shared" si="21"/>
        <v>De.Transportes</v>
      </c>
      <c r="M163" s="76" t="str">
        <f t="shared" si="22"/>
        <v>Aquáticos</v>
      </c>
      <c r="N163" s="76" t="str">
        <f t="shared" si="23"/>
        <v>Embarcações</v>
      </c>
      <c r="O163" s="77" t="str">
        <f t="shared" si="24"/>
        <v>Offshore</v>
      </c>
      <c r="P163" s="80" t="s">
        <v>430</v>
      </c>
      <c r="Q163" s="86" t="s">
        <v>431</v>
      </c>
      <c r="R163" s="77" t="s">
        <v>1</v>
      </c>
      <c r="S163" s="77" t="str">
        <f t="shared" si="29"/>
        <v>De Transportes</v>
      </c>
      <c r="T163" s="77" t="str">
        <f t="shared" si="29"/>
        <v>Aquáticos</v>
      </c>
      <c r="U163" s="77" t="str">
        <f t="shared" si="29"/>
        <v>Embarcações</v>
      </c>
      <c r="V163" s="77" t="s">
        <v>1964</v>
      </c>
      <c r="W163" s="78" t="str">
        <f t="shared" si="27"/>
        <v>Key-BRASIL-163</v>
      </c>
      <c r="X163" s="77" t="s">
        <v>1846</v>
      </c>
      <c r="Y163" s="77" t="s">
        <v>1894</v>
      </c>
      <c r="Z163" s="81" t="s">
        <v>1</v>
      </c>
      <c r="AA163" s="77" t="str">
        <f t="shared" si="28"/>
        <v>Support vessel equipped with specialized systems to perform chemical and hydraulic treatments in offshore oil wells. Offshore Support Vessels (OSV).</v>
      </c>
    </row>
    <row r="164" spans="1:27" ht="6.6" customHeight="1" x14ac:dyDescent="0.25">
      <c r="A164" s="72">
        <v>164</v>
      </c>
      <c r="B164" s="73" t="s">
        <v>1968</v>
      </c>
      <c r="C164" s="83" t="s">
        <v>2000</v>
      </c>
      <c r="D164" s="73" t="s">
        <v>1440</v>
      </c>
      <c r="E164" s="87" t="s">
        <v>1410</v>
      </c>
      <c r="F164" s="88" t="s">
        <v>432</v>
      </c>
      <c r="G164" s="89" t="s">
        <v>1</v>
      </c>
      <c r="H164" s="89" t="s">
        <v>1</v>
      </c>
      <c r="I164" s="89" t="s">
        <v>1</v>
      </c>
      <c r="J164" s="85" t="s">
        <v>1</v>
      </c>
      <c r="K164" s="85" t="s">
        <v>1</v>
      </c>
      <c r="L164" s="86" t="str">
        <f t="shared" si="21"/>
        <v>De.Transportes</v>
      </c>
      <c r="M164" s="76" t="str">
        <f t="shared" si="22"/>
        <v>Aquáticos</v>
      </c>
      <c r="N164" s="76" t="str">
        <f t="shared" si="23"/>
        <v>Embarcações</v>
      </c>
      <c r="O164" s="77" t="str">
        <f t="shared" si="24"/>
        <v>Aliscafo</v>
      </c>
      <c r="P164" s="80" t="s">
        <v>433</v>
      </c>
      <c r="Q164" s="86" t="s">
        <v>434</v>
      </c>
      <c r="R164" s="77" t="s">
        <v>1</v>
      </c>
      <c r="S164" s="77" t="str">
        <f t="shared" si="29"/>
        <v>De Transportes</v>
      </c>
      <c r="T164" s="77" t="str">
        <f t="shared" si="29"/>
        <v>Aquáticos</v>
      </c>
      <c r="U164" s="77" t="str">
        <f t="shared" si="29"/>
        <v>Embarcações</v>
      </c>
      <c r="V164" s="77" t="s">
        <v>1964</v>
      </c>
      <c r="W164" s="78" t="str">
        <f t="shared" si="27"/>
        <v>Key-BRASIL-164</v>
      </c>
      <c r="X164" s="77" t="s">
        <v>1846</v>
      </c>
      <c r="Y164" s="77" t="s">
        <v>1894</v>
      </c>
      <c r="Z164" s="81" t="s">
        <v>1</v>
      </c>
      <c r="AA164" s="77" t="str">
        <f t="shared" si="28"/>
        <v>High-speed vessel designed with hydrofoils to carry passengers. Usually used between neighboring cities or nearby ports. It can reach about 110 km/h (60 knots).</v>
      </c>
    </row>
    <row r="165" spans="1:27" ht="6.6" customHeight="1" x14ac:dyDescent="0.25">
      <c r="A165" s="72">
        <v>165</v>
      </c>
      <c r="B165" s="73" t="s">
        <v>1968</v>
      </c>
      <c r="C165" s="83" t="s">
        <v>2000</v>
      </c>
      <c r="D165" s="73" t="s">
        <v>1440</v>
      </c>
      <c r="E165" s="87" t="s">
        <v>1410</v>
      </c>
      <c r="F165" s="88" t="s">
        <v>435</v>
      </c>
      <c r="G165" s="89" t="s">
        <v>1</v>
      </c>
      <c r="H165" s="89" t="s">
        <v>1</v>
      </c>
      <c r="I165" s="89" t="s">
        <v>1</v>
      </c>
      <c r="J165" s="85" t="s">
        <v>1</v>
      </c>
      <c r="K165" s="85" t="s">
        <v>1</v>
      </c>
      <c r="L165" s="86" t="str">
        <f t="shared" ref="L165:L207" si="30">_xlfn.CONCAT(C165)</f>
        <v>De.Transportes</v>
      </c>
      <c r="M165" s="76" t="str">
        <f t="shared" ref="M165:M207" si="31">CONCATENATE("", D165)</f>
        <v>Aquáticos</v>
      </c>
      <c r="N165" s="76" t="str">
        <f t="shared" ref="N165:N228" si="32">(SUBSTITUTE(SUBSTITUTE(CONCATENATE("",E165),"."," ")," De "," de "))</f>
        <v>Embarcações</v>
      </c>
      <c r="O165" s="77" t="str">
        <f t="shared" ref="O165:O228" si="33">F165</f>
        <v>Ferry</v>
      </c>
      <c r="P165" s="80" t="s">
        <v>436</v>
      </c>
      <c r="Q165" s="86" t="s">
        <v>437</v>
      </c>
      <c r="R165" s="77" t="s">
        <v>1</v>
      </c>
      <c r="S165" s="77" t="str">
        <f t="shared" si="29"/>
        <v>De Transportes</v>
      </c>
      <c r="T165" s="77" t="str">
        <f t="shared" si="29"/>
        <v>Aquáticos</v>
      </c>
      <c r="U165" s="77" t="str">
        <f t="shared" si="29"/>
        <v>Embarcações</v>
      </c>
      <c r="V165" s="77" t="s">
        <v>1964</v>
      </c>
      <c r="W165" s="78" t="str">
        <f t="shared" si="27"/>
        <v>Key-BRASIL-165</v>
      </c>
      <c r="X165" s="77" t="s">
        <v>1846</v>
      </c>
      <c r="Y165" s="77" t="s">
        <v>1894</v>
      </c>
      <c r="Z165" s="81" t="s">
        <v>1</v>
      </c>
      <c r="AA165" s="77" t="str">
        <f t="shared" si="28"/>
        <v>A ferry-type vessel to transport passengers usually between neighboring cities or nearby ports.</v>
      </c>
    </row>
    <row r="166" spans="1:27" ht="6.6" customHeight="1" x14ac:dyDescent="0.25">
      <c r="A166" s="72">
        <v>166</v>
      </c>
      <c r="B166" s="73" t="s">
        <v>1968</v>
      </c>
      <c r="C166" s="83" t="s">
        <v>2000</v>
      </c>
      <c r="D166" s="73" t="s">
        <v>1440</v>
      </c>
      <c r="E166" s="87" t="s">
        <v>1410</v>
      </c>
      <c r="F166" s="88" t="s">
        <v>438</v>
      </c>
      <c r="G166" s="89" t="s">
        <v>1</v>
      </c>
      <c r="H166" s="89" t="s">
        <v>1</v>
      </c>
      <c r="I166" s="89" t="s">
        <v>1</v>
      </c>
      <c r="J166" s="85" t="s">
        <v>1</v>
      </c>
      <c r="K166" s="85" t="s">
        <v>1</v>
      </c>
      <c r="L166" s="86" t="str">
        <f t="shared" si="30"/>
        <v>De.Transportes</v>
      </c>
      <c r="M166" s="76" t="str">
        <f t="shared" si="31"/>
        <v>Aquáticos</v>
      </c>
      <c r="N166" s="76" t="str">
        <f t="shared" si="32"/>
        <v>Embarcações</v>
      </c>
      <c r="O166" s="77" t="str">
        <f t="shared" si="33"/>
        <v>Lancha</v>
      </c>
      <c r="P166" s="80" t="s">
        <v>439</v>
      </c>
      <c r="Q166" s="86" t="s">
        <v>440</v>
      </c>
      <c r="R166" s="77" t="s">
        <v>1</v>
      </c>
      <c r="S166" s="77" t="str">
        <f t="shared" si="29"/>
        <v>De Transportes</v>
      </c>
      <c r="T166" s="77" t="str">
        <f t="shared" si="29"/>
        <v>Aquáticos</v>
      </c>
      <c r="U166" s="77" t="str">
        <f t="shared" si="29"/>
        <v>Embarcações</v>
      </c>
      <c r="V166" s="77" t="s">
        <v>1964</v>
      </c>
      <c r="W166" s="78" t="str">
        <f t="shared" si="27"/>
        <v>Key-BRASIL-166</v>
      </c>
      <c r="X166" s="77" t="s">
        <v>1846</v>
      </c>
      <c r="Y166" s="77" t="s">
        <v>1894</v>
      </c>
      <c r="Z166" s="81" t="s">
        <v>1</v>
      </c>
      <c r="AA166" s="77" t="str">
        <f t="shared" si="28"/>
        <v>Boat type boat for leisure or sport.</v>
      </c>
    </row>
    <row r="167" spans="1:27" ht="6.6" customHeight="1" x14ac:dyDescent="0.25">
      <c r="A167" s="72">
        <v>167</v>
      </c>
      <c r="B167" s="73" t="s">
        <v>1968</v>
      </c>
      <c r="C167" s="83" t="s">
        <v>2000</v>
      </c>
      <c r="D167" s="73" t="s">
        <v>1440</v>
      </c>
      <c r="E167" s="87" t="s">
        <v>1410</v>
      </c>
      <c r="F167" s="88" t="s">
        <v>441</v>
      </c>
      <c r="G167" s="89" t="s">
        <v>1</v>
      </c>
      <c r="H167" s="89" t="s">
        <v>1</v>
      </c>
      <c r="I167" s="89" t="s">
        <v>1</v>
      </c>
      <c r="J167" s="85" t="s">
        <v>1</v>
      </c>
      <c r="K167" s="85" t="s">
        <v>1</v>
      </c>
      <c r="L167" s="86" t="str">
        <f t="shared" si="30"/>
        <v>De.Transportes</v>
      </c>
      <c r="M167" s="76" t="str">
        <f t="shared" si="31"/>
        <v>Aquáticos</v>
      </c>
      <c r="N167" s="76" t="str">
        <f t="shared" si="32"/>
        <v>Embarcações</v>
      </c>
      <c r="O167" s="77" t="str">
        <f t="shared" si="33"/>
        <v>Bote</v>
      </c>
      <c r="P167" s="80" t="s">
        <v>442</v>
      </c>
      <c r="Q167" s="86" t="s">
        <v>443</v>
      </c>
      <c r="R167" s="77" t="s">
        <v>1</v>
      </c>
      <c r="S167" s="77" t="str">
        <f t="shared" si="29"/>
        <v>De Transportes</v>
      </c>
      <c r="T167" s="77" t="str">
        <f t="shared" si="29"/>
        <v>Aquáticos</v>
      </c>
      <c r="U167" s="77" t="str">
        <f t="shared" si="29"/>
        <v>Embarcações</v>
      </c>
      <c r="V167" s="77" t="s">
        <v>1964</v>
      </c>
      <c r="W167" s="78" t="str">
        <f t="shared" si="27"/>
        <v>Key-BRASIL-167</v>
      </c>
      <c r="X167" s="77" t="s">
        <v>1846</v>
      </c>
      <c r="Y167" s="77" t="s">
        <v>1894</v>
      </c>
      <c r="Z167" s="81" t="s">
        <v>1</v>
      </c>
      <c r="AA167" s="77" t="str">
        <f t="shared" si="28"/>
        <v>Small dinghy type vessel.</v>
      </c>
    </row>
    <row r="168" spans="1:27" ht="6.6" customHeight="1" x14ac:dyDescent="0.25">
      <c r="A168" s="72">
        <v>168</v>
      </c>
      <c r="B168" s="73" t="s">
        <v>1968</v>
      </c>
      <c r="C168" s="83" t="s">
        <v>2000</v>
      </c>
      <c r="D168" s="73" t="s">
        <v>1440</v>
      </c>
      <c r="E168" s="87" t="s">
        <v>1410</v>
      </c>
      <c r="F168" s="88" t="s">
        <v>444</v>
      </c>
      <c r="G168" s="89" t="s">
        <v>1</v>
      </c>
      <c r="H168" s="89" t="s">
        <v>1</v>
      </c>
      <c r="I168" s="89" t="s">
        <v>1</v>
      </c>
      <c r="J168" s="85" t="s">
        <v>1</v>
      </c>
      <c r="K168" s="85" t="s">
        <v>1</v>
      </c>
      <c r="L168" s="86" t="str">
        <f t="shared" si="30"/>
        <v>De.Transportes</v>
      </c>
      <c r="M168" s="76" t="str">
        <f t="shared" si="31"/>
        <v>Aquáticos</v>
      </c>
      <c r="N168" s="76" t="str">
        <f t="shared" si="32"/>
        <v>Embarcações</v>
      </c>
      <c r="O168" s="77" t="str">
        <f t="shared" si="33"/>
        <v>Iate</v>
      </c>
      <c r="P168" s="80" t="s">
        <v>445</v>
      </c>
      <c r="Q168" s="86" t="s">
        <v>446</v>
      </c>
      <c r="R168" s="77" t="s">
        <v>1</v>
      </c>
      <c r="S168" s="77" t="str">
        <f t="shared" si="29"/>
        <v>De Transportes</v>
      </c>
      <c r="T168" s="77" t="str">
        <f t="shared" si="29"/>
        <v>Aquáticos</v>
      </c>
      <c r="U168" s="77" t="str">
        <f t="shared" si="29"/>
        <v>Embarcações</v>
      </c>
      <c r="V168" s="77" t="s">
        <v>1964</v>
      </c>
      <c r="W168" s="78" t="str">
        <f t="shared" si="27"/>
        <v>Key-BRASIL-168</v>
      </c>
      <c r="X168" s="77" t="s">
        <v>1846</v>
      </c>
      <c r="Y168" s="77" t="s">
        <v>1894</v>
      </c>
      <c r="Z168" s="81" t="s">
        <v>1</v>
      </c>
      <c r="AA168" s="77" t="str">
        <f t="shared" si="28"/>
        <v>Yacht-type vessel with full cabin structure.</v>
      </c>
    </row>
    <row r="169" spans="1:27" ht="6.6" customHeight="1" x14ac:dyDescent="0.25">
      <c r="A169" s="72">
        <v>169</v>
      </c>
      <c r="B169" s="73" t="s">
        <v>1968</v>
      </c>
      <c r="C169" s="83" t="s">
        <v>2000</v>
      </c>
      <c r="D169" s="73" t="s">
        <v>1440</v>
      </c>
      <c r="E169" s="87" t="s">
        <v>1410</v>
      </c>
      <c r="F169" s="88" t="s">
        <v>447</v>
      </c>
      <c r="G169" s="89" t="s">
        <v>1</v>
      </c>
      <c r="H169" s="89" t="s">
        <v>1</v>
      </c>
      <c r="I169" s="89" t="s">
        <v>1</v>
      </c>
      <c r="J169" s="85" t="s">
        <v>1</v>
      </c>
      <c r="K169" s="85" t="s">
        <v>1</v>
      </c>
      <c r="L169" s="86" t="str">
        <f t="shared" si="30"/>
        <v>De.Transportes</v>
      </c>
      <c r="M169" s="76" t="str">
        <f t="shared" si="31"/>
        <v>Aquáticos</v>
      </c>
      <c r="N169" s="76" t="str">
        <f t="shared" si="32"/>
        <v>Embarcações</v>
      </c>
      <c r="O169" s="77" t="str">
        <f t="shared" si="33"/>
        <v>Catamarã</v>
      </c>
      <c r="P169" s="80" t="s">
        <v>448</v>
      </c>
      <c r="Q169" s="86" t="s">
        <v>449</v>
      </c>
      <c r="R169" s="77" t="s">
        <v>1</v>
      </c>
      <c r="S169" s="77" t="str">
        <f t="shared" si="29"/>
        <v>De Transportes</v>
      </c>
      <c r="T169" s="77" t="str">
        <f t="shared" si="29"/>
        <v>Aquáticos</v>
      </c>
      <c r="U169" s="77" t="str">
        <f t="shared" si="29"/>
        <v>Embarcações</v>
      </c>
      <c r="V169" s="77" t="s">
        <v>1964</v>
      </c>
      <c r="W169" s="78" t="str">
        <f t="shared" si="27"/>
        <v>Key-BRASIL-169</v>
      </c>
      <c r="X169" s="77" t="s">
        <v>1846</v>
      </c>
      <c r="Y169" s="77" t="s">
        <v>1894</v>
      </c>
      <c r="Z169" s="81" t="s">
        <v>1</v>
      </c>
      <c r="AA169" s="77" t="str">
        <f t="shared" si="28"/>
        <v>Catamaran-type vessel with two parallel hulls.</v>
      </c>
    </row>
    <row r="170" spans="1:27" ht="6.6" customHeight="1" x14ac:dyDescent="0.25">
      <c r="A170" s="72">
        <v>170</v>
      </c>
      <c r="B170" s="73" t="s">
        <v>1968</v>
      </c>
      <c r="C170" s="83" t="s">
        <v>2000</v>
      </c>
      <c r="D170" s="73" t="s">
        <v>1440</v>
      </c>
      <c r="E170" s="87" t="s">
        <v>1410</v>
      </c>
      <c r="F170" s="88" t="s">
        <v>450</v>
      </c>
      <c r="G170" s="89" t="s">
        <v>1</v>
      </c>
      <c r="H170" s="89" t="s">
        <v>1</v>
      </c>
      <c r="I170" s="89" t="s">
        <v>1</v>
      </c>
      <c r="J170" s="85" t="s">
        <v>1</v>
      </c>
      <c r="K170" s="85" t="s">
        <v>1</v>
      </c>
      <c r="L170" s="86" t="str">
        <f t="shared" si="30"/>
        <v>De.Transportes</v>
      </c>
      <c r="M170" s="76" t="str">
        <f t="shared" si="31"/>
        <v>Aquáticos</v>
      </c>
      <c r="N170" s="76" t="str">
        <f t="shared" si="32"/>
        <v>Embarcações</v>
      </c>
      <c r="O170" s="77" t="str">
        <f t="shared" si="33"/>
        <v>Veleiro</v>
      </c>
      <c r="P170" s="80" t="s">
        <v>451</v>
      </c>
      <c r="Q170" s="86" t="s">
        <v>452</v>
      </c>
      <c r="R170" s="77" t="s">
        <v>1</v>
      </c>
      <c r="S170" s="77" t="str">
        <f t="shared" si="29"/>
        <v>De Transportes</v>
      </c>
      <c r="T170" s="77" t="str">
        <f t="shared" si="29"/>
        <v>Aquáticos</v>
      </c>
      <c r="U170" s="77" t="str">
        <f t="shared" si="29"/>
        <v>Embarcações</v>
      </c>
      <c r="V170" s="77" t="s">
        <v>1964</v>
      </c>
      <c r="W170" s="78" t="str">
        <f t="shared" si="27"/>
        <v>Key-BRASIL-170</v>
      </c>
      <c r="X170" s="77" t="s">
        <v>1846</v>
      </c>
      <c r="Y170" s="77" t="s">
        <v>1895</v>
      </c>
      <c r="Z170" s="81" t="s">
        <v>1</v>
      </c>
      <c r="AA170" s="77" t="str">
        <f t="shared" si="28"/>
        <v>Sailboat type boat for leisure or sport.</v>
      </c>
    </row>
    <row r="171" spans="1:27" ht="6.6" customHeight="1" x14ac:dyDescent="0.25">
      <c r="A171" s="72">
        <v>171</v>
      </c>
      <c r="B171" s="73" t="s">
        <v>1968</v>
      </c>
      <c r="C171" s="83" t="s">
        <v>2000</v>
      </c>
      <c r="D171" s="73" t="s">
        <v>1441</v>
      </c>
      <c r="E171" s="87" t="s">
        <v>1442</v>
      </c>
      <c r="F171" s="88" t="s">
        <v>1500</v>
      </c>
      <c r="G171" s="89" t="s">
        <v>1</v>
      </c>
      <c r="H171" s="89" t="s">
        <v>1</v>
      </c>
      <c r="I171" s="89" t="s">
        <v>1</v>
      </c>
      <c r="J171" s="85" t="s">
        <v>1</v>
      </c>
      <c r="K171" s="85" t="s">
        <v>1</v>
      </c>
      <c r="L171" s="86" t="str">
        <f t="shared" si="30"/>
        <v>De.Transportes</v>
      </c>
      <c r="M171" s="76" t="str">
        <f t="shared" si="31"/>
        <v>Aéreos</v>
      </c>
      <c r="N171" s="76" t="str">
        <f t="shared" si="32"/>
        <v>Aviões</v>
      </c>
      <c r="O171" s="77" t="str">
        <f t="shared" si="33"/>
        <v>Avião.de.Fuselagem.Larga</v>
      </c>
      <c r="P171" s="80" t="s">
        <v>1448</v>
      </c>
      <c r="Q171" s="86" t="s">
        <v>1457</v>
      </c>
      <c r="R171" s="77" t="s">
        <v>1</v>
      </c>
      <c r="S171" s="77" t="str">
        <f t="shared" si="29"/>
        <v>De Transportes</v>
      </c>
      <c r="T171" s="77" t="str">
        <f t="shared" si="29"/>
        <v>Aéreos</v>
      </c>
      <c r="U171" s="77" t="str">
        <f t="shared" si="29"/>
        <v>Aviões</v>
      </c>
      <c r="V171" s="77" t="s">
        <v>1964</v>
      </c>
      <c r="W171" s="78" t="str">
        <f t="shared" si="27"/>
        <v>Key-BRASIL-171</v>
      </c>
      <c r="X171" s="77" t="s">
        <v>1846</v>
      </c>
      <c r="Y171" s="77" t="s">
        <v>1895</v>
      </c>
      <c r="Z171" s="81" t="s">
        <v>1</v>
      </c>
      <c r="AA171" s="77" t="str">
        <f t="shared" si="28"/>
        <v>Airplane with two internal aisles, used on international and long-haul flights. Like Boeing or Airbus.</v>
      </c>
    </row>
    <row r="172" spans="1:27" ht="6.6" customHeight="1" x14ac:dyDescent="0.25">
      <c r="A172" s="72">
        <v>172</v>
      </c>
      <c r="B172" s="73" t="s">
        <v>1968</v>
      </c>
      <c r="C172" s="83" t="s">
        <v>2000</v>
      </c>
      <c r="D172" s="73" t="s">
        <v>1441</v>
      </c>
      <c r="E172" s="87" t="s">
        <v>1442</v>
      </c>
      <c r="F172" s="88" t="s">
        <v>1499</v>
      </c>
      <c r="G172" s="89" t="s">
        <v>1</v>
      </c>
      <c r="H172" s="89" t="s">
        <v>1</v>
      </c>
      <c r="I172" s="89" t="s">
        <v>1</v>
      </c>
      <c r="J172" s="85" t="s">
        <v>1</v>
      </c>
      <c r="K172" s="85" t="s">
        <v>1</v>
      </c>
      <c r="L172" s="86" t="str">
        <f t="shared" si="30"/>
        <v>De.Transportes</v>
      </c>
      <c r="M172" s="76" t="str">
        <f t="shared" si="31"/>
        <v>Aéreos</v>
      </c>
      <c r="N172" s="76" t="str">
        <f t="shared" si="32"/>
        <v>Aviões</v>
      </c>
      <c r="O172" s="77" t="str">
        <f t="shared" si="33"/>
        <v>Avião.de.Fuselagem.Estreita</v>
      </c>
      <c r="P172" s="80" t="s">
        <v>1449</v>
      </c>
      <c r="Q172" s="86" t="s">
        <v>1458</v>
      </c>
      <c r="R172" s="77" t="s">
        <v>1</v>
      </c>
      <c r="S172" s="77" t="str">
        <f t="shared" si="29"/>
        <v>De Transportes</v>
      </c>
      <c r="T172" s="77" t="str">
        <f t="shared" si="29"/>
        <v>Aéreos</v>
      </c>
      <c r="U172" s="77" t="str">
        <f t="shared" si="29"/>
        <v>Aviões</v>
      </c>
      <c r="V172" s="77" t="s">
        <v>1964</v>
      </c>
      <c r="W172" s="78" t="str">
        <f t="shared" si="27"/>
        <v>Key-BRASIL-172</v>
      </c>
      <c r="X172" s="77" t="s">
        <v>1846</v>
      </c>
      <c r="Y172" s="77" t="s">
        <v>1895</v>
      </c>
      <c r="Z172" s="81" t="s">
        <v>1</v>
      </c>
      <c r="AA172" s="77" t="str">
        <f t="shared" si="28"/>
        <v>Airplane with an internal aisle, used in international and long-haul flights. Like Boeing or Airbus.</v>
      </c>
    </row>
    <row r="173" spans="1:27" ht="6.6" customHeight="1" x14ac:dyDescent="0.25">
      <c r="A173" s="72">
        <v>173</v>
      </c>
      <c r="B173" s="73" t="s">
        <v>1968</v>
      </c>
      <c r="C173" s="83" t="s">
        <v>2000</v>
      </c>
      <c r="D173" s="73" t="s">
        <v>1441</v>
      </c>
      <c r="E173" s="87" t="s">
        <v>1442</v>
      </c>
      <c r="F173" s="88" t="s">
        <v>1445</v>
      </c>
      <c r="G173" s="89" t="s">
        <v>1</v>
      </c>
      <c r="H173" s="89" t="s">
        <v>1</v>
      </c>
      <c r="I173" s="89" t="s">
        <v>1</v>
      </c>
      <c r="J173" s="85" t="s">
        <v>1</v>
      </c>
      <c r="K173" s="85" t="s">
        <v>1</v>
      </c>
      <c r="L173" s="86" t="str">
        <f t="shared" si="30"/>
        <v>De.Transportes</v>
      </c>
      <c r="M173" s="76" t="str">
        <f t="shared" si="31"/>
        <v>Aéreos</v>
      </c>
      <c r="N173" s="76" t="str">
        <f t="shared" si="32"/>
        <v>Aviões</v>
      </c>
      <c r="O173" s="77" t="str">
        <f t="shared" si="33"/>
        <v>Jet.Executivo</v>
      </c>
      <c r="P173" s="80" t="s">
        <v>1446</v>
      </c>
      <c r="Q173" s="86" t="s">
        <v>1459</v>
      </c>
      <c r="R173" s="77" t="s">
        <v>1</v>
      </c>
      <c r="S173" s="77" t="str">
        <f t="shared" si="29"/>
        <v>De Transportes</v>
      </c>
      <c r="T173" s="77" t="str">
        <f t="shared" si="29"/>
        <v>Aéreos</v>
      </c>
      <c r="U173" s="77" t="str">
        <f t="shared" si="29"/>
        <v>Aviões</v>
      </c>
      <c r="V173" s="77" t="s">
        <v>1964</v>
      </c>
      <c r="W173" s="78" t="str">
        <f t="shared" si="27"/>
        <v>Key-BRASIL-173</v>
      </c>
      <c r="X173" s="77" t="s">
        <v>1846</v>
      </c>
      <c r="Y173" s="77" t="s">
        <v>1895</v>
      </c>
      <c r="Z173" s="81" t="s">
        <v>1</v>
      </c>
      <c r="AA173" s="77" t="str">
        <f t="shared" si="28"/>
        <v>Learjet type executive jet.</v>
      </c>
    </row>
    <row r="174" spans="1:27" ht="6.6" customHeight="1" x14ac:dyDescent="0.25">
      <c r="A174" s="72">
        <v>174</v>
      </c>
      <c r="B174" s="73" t="s">
        <v>1968</v>
      </c>
      <c r="C174" s="83" t="s">
        <v>2000</v>
      </c>
      <c r="D174" s="73" t="s">
        <v>1441</v>
      </c>
      <c r="E174" s="87" t="s">
        <v>1442</v>
      </c>
      <c r="F174" s="88" t="s">
        <v>1443</v>
      </c>
      <c r="G174" s="89" t="s">
        <v>1</v>
      </c>
      <c r="H174" s="89" t="s">
        <v>1</v>
      </c>
      <c r="I174" s="89" t="s">
        <v>1</v>
      </c>
      <c r="J174" s="85" t="s">
        <v>1</v>
      </c>
      <c r="K174" s="85" t="s">
        <v>1</v>
      </c>
      <c r="L174" s="86" t="str">
        <f t="shared" si="30"/>
        <v>De.Transportes</v>
      </c>
      <c r="M174" s="76" t="str">
        <f t="shared" si="31"/>
        <v>Aéreos</v>
      </c>
      <c r="N174" s="76" t="str">
        <f t="shared" si="32"/>
        <v>Aviões</v>
      </c>
      <c r="O174" s="77" t="str">
        <f t="shared" si="33"/>
        <v>Avioneta</v>
      </c>
      <c r="P174" s="80" t="s">
        <v>1447</v>
      </c>
      <c r="Q174" s="86" t="s">
        <v>1460</v>
      </c>
      <c r="R174" s="77" t="s">
        <v>1</v>
      </c>
      <c r="S174" s="77" t="str">
        <f t="shared" si="29"/>
        <v>De Transportes</v>
      </c>
      <c r="T174" s="77" t="str">
        <f t="shared" si="29"/>
        <v>Aéreos</v>
      </c>
      <c r="U174" s="77" t="str">
        <f t="shared" si="29"/>
        <v>Aviões</v>
      </c>
      <c r="V174" s="77" t="s">
        <v>1964</v>
      </c>
      <c r="W174" s="78" t="str">
        <f t="shared" si="27"/>
        <v>Key-BRASIL-174</v>
      </c>
      <c r="X174" s="77" t="s">
        <v>1846</v>
      </c>
      <c r="Y174" s="77" t="s">
        <v>1895</v>
      </c>
      <c r="Z174" s="81" t="s">
        <v>1</v>
      </c>
      <c r="AA174" s="77" t="str">
        <f t="shared" si="28"/>
        <v>Small aircraft type Cessna turboprop aircraft.</v>
      </c>
    </row>
    <row r="175" spans="1:27" ht="6.6" customHeight="1" x14ac:dyDescent="0.25">
      <c r="A175" s="72">
        <v>175</v>
      </c>
      <c r="B175" s="73" t="s">
        <v>1968</v>
      </c>
      <c r="C175" s="83" t="s">
        <v>2000</v>
      </c>
      <c r="D175" s="73" t="s">
        <v>1441</v>
      </c>
      <c r="E175" s="87" t="s">
        <v>1444</v>
      </c>
      <c r="F175" s="88" t="s">
        <v>1451</v>
      </c>
      <c r="G175" s="89" t="s">
        <v>1</v>
      </c>
      <c r="H175" s="89" t="s">
        <v>1</v>
      </c>
      <c r="I175" s="89" t="s">
        <v>1</v>
      </c>
      <c r="J175" s="85" t="s">
        <v>1</v>
      </c>
      <c r="K175" s="85" t="s">
        <v>1</v>
      </c>
      <c r="L175" s="86" t="str">
        <f t="shared" si="30"/>
        <v>De.Transportes</v>
      </c>
      <c r="M175" s="76" t="str">
        <f t="shared" si="31"/>
        <v>Aéreos</v>
      </c>
      <c r="N175" s="76" t="str">
        <f t="shared" si="32"/>
        <v>Helicópteros</v>
      </c>
      <c r="O175" s="77" t="str">
        <f t="shared" si="33"/>
        <v>Helicoptero.Pistão</v>
      </c>
      <c r="P175" s="80" t="s">
        <v>1450</v>
      </c>
      <c r="Q175" s="86" t="s">
        <v>1461</v>
      </c>
      <c r="R175" s="77" t="s">
        <v>1</v>
      </c>
      <c r="S175" s="77" t="str">
        <f t="shared" si="29"/>
        <v>De Transportes</v>
      </c>
      <c r="T175" s="77" t="str">
        <f t="shared" si="29"/>
        <v>Aéreos</v>
      </c>
      <c r="U175" s="77" t="str">
        <f t="shared" si="29"/>
        <v>Helicópteros</v>
      </c>
      <c r="V175" s="77" t="s">
        <v>1964</v>
      </c>
      <c r="W175" s="78" t="str">
        <f t="shared" si="27"/>
        <v>Key-BRASIL-175</v>
      </c>
      <c r="X175" s="77" t="s">
        <v>1846</v>
      </c>
      <c r="Y175" s="77" t="s">
        <v>1895</v>
      </c>
      <c r="Z175" s="81" t="s">
        <v>1</v>
      </c>
      <c r="AA175" s="77" t="str">
        <f t="shared" si="28"/>
        <v>Small helicopter.</v>
      </c>
    </row>
    <row r="176" spans="1:27" ht="6.6" customHeight="1" x14ac:dyDescent="0.25">
      <c r="A176" s="72">
        <v>176</v>
      </c>
      <c r="B176" s="73" t="s">
        <v>1968</v>
      </c>
      <c r="C176" s="83" t="s">
        <v>2000</v>
      </c>
      <c r="D176" s="73" t="s">
        <v>1441</v>
      </c>
      <c r="E176" s="87" t="s">
        <v>1444</v>
      </c>
      <c r="F176" s="88" t="s">
        <v>1452</v>
      </c>
      <c r="G176" s="89" t="s">
        <v>1</v>
      </c>
      <c r="H176" s="89" t="s">
        <v>1</v>
      </c>
      <c r="I176" s="89" t="s">
        <v>1</v>
      </c>
      <c r="J176" s="85" t="s">
        <v>1</v>
      </c>
      <c r="K176" s="85" t="s">
        <v>1</v>
      </c>
      <c r="L176" s="86" t="str">
        <f t="shared" si="30"/>
        <v>De.Transportes</v>
      </c>
      <c r="M176" s="76" t="str">
        <f t="shared" si="31"/>
        <v>Aéreos</v>
      </c>
      <c r="N176" s="76" t="str">
        <f t="shared" si="32"/>
        <v>Helicópteros</v>
      </c>
      <c r="O176" s="77" t="str">
        <f t="shared" si="33"/>
        <v>Helicoptero.Turbina</v>
      </c>
      <c r="P176" s="80" t="s">
        <v>1453</v>
      </c>
      <c r="Q176" s="86" t="s">
        <v>1462</v>
      </c>
      <c r="R176" s="77" t="s">
        <v>1</v>
      </c>
      <c r="S176" s="77" t="str">
        <f t="shared" si="29"/>
        <v>De Transportes</v>
      </c>
      <c r="T176" s="77" t="str">
        <f t="shared" si="29"/>
        <v>Aéreos</v>
      </c>
      <c r="U176" s="77" t="str">
        <f t="shared" si="29"/>
        <v>Helicópteros</v>
      </c>
      <c r="V176" s="77" t="s">
        <v>1964</v>
      </c>
      <c r="W176" s="78" t="str">
        <f t="shared" si="27"/>
        <v>Key-BRASIL-176</v>
      </c>
      <c r="X176" s="77" t="s">
        <v>1846</v>
      </c>
      <c r="Y176" s="77" t="s">
        <v>1895</v>
      </c>
      <c r="Z176" s="81" t="s">
        <v>1</v>
      </c>
      <c r="AA176" s="77" t="str">
        <f t="shared" si="28"/>
        <v>Large helicopter.</v>
      </c>
    </row>
    <row r="177" spans="1:27" ht="6.6" customHeight="1" x14ac:dyDescent="0.25">
      <c r="A177" s="72">
        <v>177</v>
      </c>
      <c r="B177" s="73" t="s">
        <v>1968</v>
      </c>
      <c r="C177" s="83" t="s">
        <v>2000</v>
      </c>
      <c r="D177" s="73" t="s">
        <v>1441</v>
      </c>
      <c r="E177" s="87" t="s">
        <v>1454</v>
      </c>
      <c r="F177" s="88" t="s">
        <v>1455</v>
      </c>
      <c r="G177" s="89" t="s">
        <v>1</v>
      </c>
      <c r="H177" s="89" t="s">
        <v>1</v>
      </c>
      <c r="I177" s="89" t="s">
        <v>1</v>
      </c>
      <c r="J177" s="85" t="s">
        <v>1</v>
      </c>
      <c r="K177" s="85" t="s">
        <v>1</v>
      </c>
      <c r="L177" s="86" t="str">
        <f t="shared" si="30"/>
        <v>De.Transportes</v>
      </c>
      <c r="M177" s="76" t="str">
        <f t="shared" si="31"/>
        <v>Aéreos</v>
      </c>
      <c r="N177" s="76" t="str">
        <f t="shared" si="32"/>
        <v>Vants</v>
      </c>
      <c r="O177" s="77" t="str">
        <f t="shared" si="33"/>
        <v>Drone</v>
      </c>
      <c r="P177" s="80" t="s">
        <v>1456</v>
      </c>
      <c r="Q177" s="86" t="s">
        <v>1463</v>
      </c>
      <c r="R177" s="77" t="s">
        <v>1</v>
      </c>
      <c r="S177" s="77" t="str">
        <f t="shared" si="29"/>
        <v>De Transportes</v>
      </c>
      <c r="T177" s="77" t="str">
        <f t="shared" si="29"/>
        <v>Aéreos</v>
      </c>
      <c r="U177" s="77" t="str">
        <f t="shared" si="29"/>
        <v>Vants</v>
      </c>
      <c r="V177" s="77" t="s">
        <v>1964</v>
      </c>
      <c r="W177" s="78" t="str">
        <f t="shared" si="27"/>
        <v>Key-BRASIL-177</v>
      </c>
      <c r="X177" s="77" t="s">
        <v>1846</v>
      </c>
      <c r="Y177" s="77" t="s">
        <v>1895</v>
      </c>
      <c r="Z177" s="81" t="s">
        <v>1</v>
      </c>
      <c r="AA177" s="77" t="str">
        <f t="shared" si="28"/>
        <v>Drone or UAS unmanned aerial vehicle.</v>
      </c>
    </row>
    <row r="178" spans="1:27" ht="6.6" customHeight="1" x14ac:dyDescent="0.25">
      <c r="A178" s="72">
        <v>178</v>
      </c>
      <c r="B178" s="73" t="s">
        <v>1968</v>
      </c>
      <c r="C178" s="83" t="s">
        <v>2000</v>
      </c>
      <c r="D178" s="73" t="s">
        <v>1441</v>
      </c>
      <c r="E178" s="87" t="s">
        <v>1454</v>
      </c>
      <c r="F178" s="88" t="s">
        <v>1488</v>
      </c>
      <c r="G178" s="89" t="s">
        <v>1</v>
      </c>
      <c r="H178" s="89" t="s">
        <v>1</v>
      </c>
      <c r="I178" s="89" t="s">
        <v>1</v>
      </c>
      <c r="J178" s="85" t="s">
        <v>1</v>
      </c>
      <c r="K178" s="85" t="s">
        <v>1</v>
      </c>
      <c r="L178" s="86" t="str">
        <f t="shared" si="30"/>
        <v>De.Transportes</v>
      </c>
      <c r="M178" s="76" t="str">
        <f t="shared" si="31"/>
        <v>Aéreos</v>
      </c>
      <c r="N178" s="76" t="str">
        <f t="shared" si="32"/>
        <v>Vants</v>
      </c>
      <c r="O178" s="77" t="str">
        <f t="shared" si="33"/>
        <v>Vant</v>
      </c>
      <c r="P178" s="80" t="s">
        <v>1456</v>
      </c>
      <c r="Q178" s="86" t="s">
        <v>1463</v>
      </c>
      <c r="R178" s="77" t="s">
        <v>1</v>
      </c>
      <c r="S178" s="77" t="str">
        <f t="shared" si="29"/>
        <v>De Transportes</v>
      </c>
      <c r="T178" s="77" t="str">
        <f t="shared" si="29"/>
        <v>Aéreos</v>
      </c>
      <c r="U178" s="77" t="str">
        <f t="shared" si="29"/>
        <v>Vants</v>
      </c>
      <c r="V178" s="77" t="s">
        <v>1964</v>
      </c>
      <c r="W178" s="78" t="str">
        <f t="shared" si="27"/>
        <v>Key-BRASIL-178</v>
      </c>
      <c r="X178" s="77" t="s">
        <v>1846</v>
      </c>
      <c r="Y178" s="77" t="s">
        <v>1895</v>
      </c>
      <c r="Z178" s="81" t="s">
        <v>1</v>
      </c>
      <c r="AA178" s="77" t="str">
        <f t="shared" si="28"/>
        <v>Drone or UAS unmanned aerial vehicle.</v>
      </c>
    </row>
    <row r="179" spans="1:27" ht="6.6" customHeight="1" x14ac:dyDescent="0.25">
      <c r="A179" s="72">
        <v>179</v>
      </c>
      <c r="B179" s="73" t="s">
        <v>1968</v>
      </c>
      <c r="C179" s="83" t="s">
        <v>2000</v>
      </c>
      <c r="D179" s="73" t="s">
        <v>1441</v>
      </c>
      <c r="E179" s="87" t="s">
        <v>1454</v>
      </c>
      <c r="F179" s="88" t="s">
        <v>1489</v>
      </c>
      <c r="G179" s="89" t="s">
        <v>1</v>
      </c>
      <c r="H179" s="89" t="s">
        <v>1</v>
      </c>
      <c r="I179" s="89" t="s">
        <v>1</v>
      </c>
      <c r="J179" s="85" t="s">
        <v>1</v>
      </c>
      <c r="K179" s="85" t="s">
        <v>1</v>
      </c>
      <c r="L179" s="86" t="str">
        <f t="shared" si="30"/>
        <v>De.Transportes</v>
      </c>
      <c r="M179" s="76" t="str">
        <f t="shared" si="31"/>
        <v>Aéreos</v>
      </c>
      <c r="N179" s="76" t="str">
        <f t="shared" si="32"/>
        <v>Vants</v>
      </c>
      <c r="O179" s="77" t="str">
        <f t="shared" si="33"/>
        <v>UAS</v>
      </c>
      <c r="P179" s="80" t="s">
        <v>1456</v>
      </c>
      <c r="Q179" s="86" t="s">
        <v>1463</v>
      </c>
      <c r="R179" s="77" t="s">
        <v>1</v>
      </c>
      <c r="S179" s="77" t="str">
        <f t="shared" si="29"/>
        <v>De Transportes</v>
      </c>
      <c r="T179" s="77" t="str">
        <f t="shared" si="29"/>
        <v>Aéreos</v>
      </c>
      <c r="U179" s="77" t="str">
        <f t="shared" si="29"/>
        <v>Vants</v>
      </c>
      <c r="V179" s="77" t="s">
        <v>1964</v>
      </c>
      <c r="W179" s="78" t="str">
        <f t="shared" si="27"/>
        <v>Key-BRASIL-179</v>
      </c>
      <c r="X179" s="77" t="s">
        <v>1846</v>
      </c>
      <c r="Y179" s="77" t="s">
        <v>1881</v>
      </c>
      <c r="Z179" s="81" t="s">
        <v>1</v>
      </c>
      <c r="AA179" s="77" t="str">
        <f t="shared" si="28"/>
        <v>Drone or UAS unmanned aerial vehicle.</v>
      </c>
    </row>
    <row r="180" spans="1:27" ht="6.6" customHeight="1" x14ac:dyDescent="0.25">
      <c r="A180" s="72">
        <v>180</v>
      </c>
      <c r="B180" s="73" t="s">
        <v>1968</v>
      </c>
      <c r="C180" s="83" t="s">
        <v>2001</v>
      </c>
      <c r="D180" s="73" t="s">
        <v>2002</v>
      </c>
      <c r="E180" s="32" t="s">
        <v>1468</v>
      </c>
      <c r="F180" s="32" t="s">
        <v>1472</v>
      </c>
      <c r="G180" s="85" t="s">
        <v>1</v>
      </c>
      <c r="H180" s="85" t="s">
        <v>1</v>
      </c>
      <c r="I180" s="85" t="s">
        <v>1</v>
      </c>
      <c r="J180" s="85" t="s">
        <v>1</v>
      </c>
      <c r="K180" s="85" t="s">
        <v>1</v>
      </c>
      <c r="L180" s="86" t="str">
        <f t="shared" si="30"/>
        <v>Infraestruturais</v>
      </c>
      <c r="M180" s="76" t="str">
        <f t="shared" si="31"/>
        <v>Rodoviários</v>
      </c>
      <c r="N180" s="76" t="str">
        <f t="shared" si="32"/>
        <v>Estações Rodoviárias</v>
      </c>
      <c r="O180" s="77" t="str">
        <f t="shared" si="33"/>
        <v>Central.Rodoviário</v>
      </c>
      <c r="P180" s="80" t="s">
        <v>1473</v>
      </c>
      <c r="Q180" s="86" t="s">
        <v>1477</v>
      </c>
      <c r="R180" s="77" t="s">
        <v>1</v>
      </c>
      <c r="S180" s="77" t="str">
        <f t="shared" si="29"/>
        <v>Infraestruturais</v>
      </c>
      <c r="T180" s="77" t="str">
        <f t="shared" si="29"/>
        <v>Rodoviários</v>
      </c>
      <c r="U180" s="77" t="str">
        <f t="shared" si="29"/>
        <v>Estações Rodoviárias</v>
      </c>
      <c r="V180" s="77" t="s">
        <v>1964</v>
      </c>
      <c r="W180" s="78" t="str">
        <f t="shared" si="27"/>
        <v>Key-BRASIL-180</v>
      </c>
      <c r="X180" s="77" t="s">
        <v>1843</v>
      </c>
      <c r="Y180" s="77" t="s">
        <v>1887</v>
      </c>
      <c r="Z180" s="81" t="s">
        <v>1</v>
      </c>
      <c r="AA180" s="77" t="str">
        <f t="shared" si="28"/>
        <v>Intercity bus terminal station.</v>
      </c>
    </row>
    <row r="181" spans="1:27" ht="6.6" customHeight="1" x14ac:dyDescent="0.25">
      <c r="A181" s="72">
        <v>181</v>
      </c>
      <c r="B181" s="73" t="s">
        <v>1968</v>
      </c>
      <c r="C181" s="83" t="s">
        <v>2001</v>
      </c>
      <c r="D181" s="73" t="s">
        <v>2002</v>
      </c>
      <c r="E181" s="32" t="s">
        <v>1468</v>
      </c>
      <c r="F181" s="32" t="s">
        <v>1471</v>
      </c>
      <c r="G181" s="85" t="s">
        <v>1</v>
      </c>
      <c r="H181" s="85" t="s">
        <v>1</v>
      </c>
      <c r="I181" s="85" t="s">
        <v>1</v>
      </c>
      <c r="J181" s="85" t="s">
        <v>1</v>
      </c>
      <c r="K181" s="85" t="s">
        <v>1</v>
      </c>
      <c r="L181" s="86" t="str">
        <f t="shared" si="30"/>
        <v>Infraestruturais</v>
      </c>
      <c r="M181" s="76" t="str">
        <f t="shared" si="31"/>
        <v>Rodoviários</v>
      </c>
      <c r="N181" s="76" t="str">
        <f t="shared" si="32"/>
        <v>Estações Rodoviárias</v>
      </c>
      <c r="O181" s="77" t="str">
        <f t="shared" si="33"/>
        <v>Terminal.Rodoviário</v>
      </c>
      <c r="P181" s="80" t="s">
        <v>1473</v>
      </c>
      <c r="Q181" s="86" t="s">
        <v>1477</v>
      </c>
      <c r="R181" s="77" t="s">
        <v>1</v>
      </c>
      <c r="S181" s="77" t="str">
        <f t="shared" si="29"/>
        <v>Infraestruturais</v>
      </c>
      <c r="T181" s="77" t="str">
        <f t="shared" si="29"/>
        <v>Rodoviários</v>
      </c>
      <c r="U181" s="77" t="str">
        <f t="shared" si="29"/>
        <v>Estações Rodoviárias</v>
      </c>
      <c r="V181" s="77" t="s">
        <v>1964</v>
      </c>
      <c r="W181" s="78" t="str">
        <f t="shared" si="27"/>
        <v>Key-BRASIL-181</v>
      </c>
      <c r="X181" s="77" t="s">
        <v>1843</v>
      </c>
      <c r="Y181" s="77" t="s">
        <v>1887</v>
      </c>
      <c r="Z181" s="81" t="s">
        <v>1</v>
      </c>
      <c r="AA181" s="77" t="str">
        <f t="shared" si="28"/>
        <v>Intercity bus terminal station.</v>
      </c>
    </row>
    <row r="182" spans="1:27" ht="6.6" customHeight="1" x14ac:dyDescent="0.25">
      <c r="A182" s="72">
        <v>182</v>
      </c>
      <c r="B182" s="73" t="s">
        <v>1968</v>
      </c>
      <c r="C182" s="83" t="s">
        <v>2001</v>
      </c>
      <c r="D182" s="73" t="s">
        <v>2002</v>
      </c>
      <c r="E182" s="32" t="s">
        <v>1468</v>
      </c>
      <c r="F182" s="32" t="s">
        <v>1467</v>
      </c>
      <c r="G182" s="85" t="s">
        <v>1</v>
      </c>
      <c r="H182" s="85" t="s">
        <v>1</v>
      </c>
      <c r="I182" s="85" t="s">
        <v>1</v>
      </c>
      <c r="J182" s="85" t="s">
        <v>1</v>
      </c>
      <c r="K182" s="85" t="s">
        <v>1</v>
      </c>
      <c r="L182" s="86" t="str">
        <f t="shared" si="30"/>
        <v>Infraestruturais</v>
      </c>
      <c r="M182" s="76" t="str">
        <f t="shared" si="31"/>
        <v>Rodoviários</v>
      </c>
      <c r="N182" s="76" t="str">
        <f t="shared" si="32"/>
        <v>Estações Rodoviárias</v>
      </c>
      <c r="O182" s="77" t="str">
        <f t="shared" si="33"/>
        <v>Estação.Rodoviária</v>
      </c>
      <c r="P182" s="80" t="s">
        <v>1474</v>
      </c>
      <c r="Q182" s="86" t="s">
        <v>1478</v>
      </c>
      <c r="R182" s="77" t="s">
        <v>1</v>
      </c>
      <c r="S182" s="77" t="str">
        <f t="shared" si="29"/>
        <v>Infraestruturais</v>
      </c>
      <c r="T182" s="77" t="str">
        <f t="shared" si="29"/>
        <v>Rodoviários</v>
      </c>
      <c r="U182" s="77" t="str">
        <f t="shared" si="29"/>
        <v>Estações Rodoviárias</v>
      </c>
      <c r="V182" s="77" t="s">
        <v>1964</v>
      </c>
      <c r="W182" s="78" t="str">
        <f t="shared" si="27"/>
        <v>Key-BRASIL-182</v>
      </c>
      <c r="X182" s="77" t="s">
        <v>1843</v>
      </c>
      <c r="Y182" s="77" t="s">
        <v>1887</v>
      </c>
      <c r="Z182" s="81" t="s">
        <v>1</v>
      </c>
      <c r="AA182" s="77" t="str">
        <f t="shared" si="28"/>
        <v>Bus station.</v>
      </c>
    </row>
    <row r="183" spans="1:27" ht="6.6" customHeight="1" x14ac:dyDescent="0.25">
      <c r="A183" s="72">
        <v>183</v>
      </c>
      <c r="B183" s="73" t="s">
        <v>1968</v>
      </c>
      <c r="C183" s="83" t="s">
        <v>2001</v>
      </c>
      <c r="D183" s="73" t="s">
        <v>2002</v>
      </c>
      <c r="E183" s="32" t="s">
        <v>1468</v>
      </c>
      <c r="F183" s="32" t="s">
        <v>1470</v>
      </c>
      <c r="G183" s="85" t="s">
        <v>1</v>
      </c>
      <c r="H183" s="85" t="s">
        <v>1</v>
      </c>
      <c r="I183" s="85" t="s">
        <v>1</v>
      </c>
      <c r="J183" s="85" t="s">
        <v>1</v>
      </c>
      <c r="K183" s="85" t="s">
        <v>1</v>
      </c>
      <c r="L183" s="86" t="str">
        <f t="shared" si="30"/>
        <v>Infraestruturais</v>
      </c>
      <c r="M183" s="76" t="str">
        <f t="shared" si="31"/>
        <v>Rodoviários</v>
      </c>
      <c r="N183" s="76" t="str">
        <f t="shared" si="32"/>
        <v>Estações Rodoviárias</v>
      </c>
      <c r="O183" s="77" t="str">
        <f t="shared" si="33"/>
        <v>Ponto.de.Ônibus</v>
      </c>
      <c r="P183" s="80" t="s">
        <v>1475</v>
      </c>
      <c r="Q183" s="86" t="s">
        <v>1479</v>
      </c>
      <c r="R183" s="77" t="s">
        <v>1</v>
      </c>
      <c r="S183" s="77" t="str">
        <f t="shared" si="29"/>
        <v>Infraestruturais</v>
      </c>
      <c r="T183" s="77" t="str">
        <f t="shared" si="29"/>
        <v>Rodoviários</v>
      </c>
      <c r="U183" s="77" t="str">
        <f t="shared" si="29"/>
        <v>Estações Rodoviárias</v>
      </c>
      <c r="V183" s="77" t="s">
        <v>1964</v>
      </c>
      <c r="W183" s="78" t="str">
        <f t="shared" si="27"/>
        <v>Key-BRASIL-183</v>
      </c>
      <c r="X183" s="77" t="s">
        <v>1843</v>
      </c>
      <c r="Y183" s="77" t="s">
        <v>1887</v>
      </c>
      <c r="Z183" s="81" t="s">
        <v>1</v>
      </c>
      <c r="AA183" s="77" t="str">
        <f t="shared" si="28"/>
        <v>Urban bus stop.</v>
      </c>
    </row>
    <row r="184" spans="1:27" ht="6.6" customHeight="1" x14ac:dyDescent="0.25">
      <c r="A184" s="72">
        <v>184</v>
      </c>
      <c r="B184" s="73" t="s">
        <v>1968</v>
      </c>
      <c r="C184" s="83" t="s">
        <v>2001</v>
      </c>
      <c r="D184" s="73" t="s">
        <v>2002</v>
      </c>
      <c r="E184" s="32" t="s">
        <v>1468</v>
      </c>
      <c r="F184" s="32" t="s">
        <v>1469</v>
      </c>
      <c r="G184" s="85" t="s">
        <v>1</v>
      </c>
      <c r="H184" s="85" t="s">
        <v>1</v>
      </c>
      <c r="I184" s="85" t="s">
        <v>1</v>
      </c>
      <c r="J184" s="85" t="s">
        <v>1</v>
      </c>
      <c r="K184" s="85" t="s">
        <v>1</v>
      </c>
      <c r="L184" s="86" t="str">
        <f t="shared" si="30"/>
        <v>Infraestruturais</v>
      </c>
      <c r="M184" s="76" t="str">
        <f t="shared" si="31"/>
        <v>Rodoviários</v>
      </c>
      <c r="N184" s="76" t="str">
        <f t="shared" si="32"/>
        <v>Estações Rodoviárias</v>
      </c>
      <c r="O184" s="77" t="str">
        <f t="shared" si="33"/>
        <v>Parada.de.Ônibus</v>
      </c>
      <c r="P184" s="80" t="s">
        <v>1476</v>
      </c>
      <c r="Q184" s="86" t="s">
        <v>1479</v>
      </c>
      <c r="R184" s="77" t="s">
        <v>1</v>
      </c>
      <c r="S184" s="77" t="str">
        <f t="shared" si="29"/>
        <v>Infraestruturais</v>
      </c>
      <c r="T184" s="77" t="str">
        <f t="shared" si="29"/>
        <v>Rodoviários</v>
      </c>
      <c r="U184" s="77" t="str">
        <f t="shared" si="29"/>
        <v>Estações Rodoviárias</v>
      </c>
      <c r="V184" s="77" t="s">
        <v>1964</v>
      </c>
      <c r="W184" s="78" t="str">
        <f t="shared" si="27"/>
        <v>Key-BRASIL-184</v>
      </c>
      <c r="X184" s="77" t="s">
        <v>1843</v>
      </c>
      <c r="Y184" s="77" t="s">
        <v>1897</v>
      </c>
      <c r="Z184" s="81" t="s">
        <v>1</v>
      </c>
      <c r="AA184" s="77" t="str">
        <f t="shared" si="28"/>
        <v>City bus stop.</v>
      </c>
    </row>
    <row r="185" spans="1:27" ht="6.6" customHeight="1" x14ac:dyDescent="0.25">
      <c r="A185" s="72">
        <v>185</v>
      </c>
      <c r="B185" s="73" t="s">
        <v>1968</v>
      </c>
      <c r="C185" s="83" t="s">
        <v>2001</v>
      </c>
      <c r="D185" s="73" t="s">
        <v>2002</v>
      </c>
      <c r="E185" s="84" t="s">
        <v>1402</v>
      </c>
      <c r="F185" s="32" t="s">
        <v>110</v>
      </c>
      <c r="G185" s="85" t="s">
        <v>1</v>
      </c>
      <c r="H185" s="85" t="s">
        <v>1</v>
      </c>
      <c r="I185" s="85" t="s">
        <v>1</v>
      </c>
      <c r="J185" s="85" t="s">
        <v>1</v>
      </c>
      <c r="K185" s="85" t="s">
        <v>1</v>
      </c>
      <c r="L185" s="86" t="str">
        <f t="shared" si="30"/>
        <v>Infraestruturais</v>
      </c>
      <c r="M185" s="76" t="str">
        <f t="shared" si="31"/>
        <v>Rodoviários</v>
      </c>
      <c r="N185" s="76" t="str">
        <f t="shared" si="32"/>
        <v>Vias</v>
      </c>
      <c r="O185" s="77" t="str">
        <f t="shared" si="33"/>
        <v>Estrada.Vicinal</v>
      </c>
      <c r="P185" s="80" t="s">
        <v>82</v>
      </c>
      <c r="Q185" s="86" t="s">
        <v>213</v>
      </c>
      <c r="R185" s="77" t="s">
        <v>1</v>
      </c>
      <c r="S185" s="77" t="str">
        <f t="shared" si="29"/>
        <v>Infraestruturais</v>
      </c>
      <c r="T185" s="77" t="str">
        <f t="shared" si="29"/>
        <v>Rodoviários</v>
      </c>
      <c r="U185" s="77" t="str">
        <f t="shared" si="29"/>
        <v>Vias</v>
      </c>
      <c r="V185" s="77" t="s">
        <v>1964</v>
      </c>
      <c r="W185" s="78" t="str">
        <f t="shared" si="27"/>
        <v>Key-BRASIL-185</v>
      </c>
      <c r="X185" s="77" t="s">
        <v>1849</v>
      </c>
      <c r="Y185" s="81" t="s">
        <v>1897</v>
      </c>
      <c r="Z185" s="81" t="s">
        <v>1</v>
      </c>
      <c r="AA185" s="77" t="str">
        <f t="shared" si="28"/>
        <v>Local roads, generally municipal, unpaved with one lane and of modest technical standard.</v>
      </c>
    </row>
    <row r="186" spans="1:27" ht="6.6" customHeight="1" x14ac:dyDescent="0.25">
      <c r="A186" s="72">
        <v>186</v>
      </c>
      <c r="B186" s="73" t="s">
        <v>1968</v>
      </c>
      <c r="C186" s="83" t="s">
        <v>2001</v>
      </c>
      <c r="D186" s="73" t="s">
        <v>2002</v>
      </c>
      <c r="E186" s="84" t="s">
        <v>1402</v>
      </c>
      <c r="F186" s="32" t="s">
        <v>111</v>
      </c>
      <c r="G186" s="85" t="s">
        <v>1</v>
      </c>
      <c r="H186" s="85" t="s">
        <v>1</v>
      </c>
      <c r="I186" s="85" t="s">
        <v>1</v>
      </c>
      <c r="J186" s="85" t="s">
        <v>1</v>
      </c>
      <c r="K186" s="85" t="s">
        <v>1</v>
      </c>
      <c r="L186" s="86" t="str">
        <f t="shared" si="30"/>
        <v>Infraestruturais</v>
      </c>
      <c r="M186" s="76" t="str">
        <f t="shared" si="31"/>
        <v>Rodoviários</v>
      </c>
      <c r="N186" s="76" t="str">
        <f t="shared" si="32"/>
        <v>Vias</v>
      </c>
      <c r="O186" s="77" t="str">
        <f t="shared" si="33"/>
        <v>Rodovia.Vicinal</v>
      </c>
      <c r="P186" s="80" t="s">
        <v>83</v>
      </c>
      <c r="Q186" s="86" t="s">
        <v>214</v>
      </c>
      <c r="R186" s="77" t="s">
        <v>1</v>
      </c>
      <c r="S186" s="77" t="str">
        <f t="shared" si="29"/>
        <v>Infraestruturais</v>
      </c>
      <c r="T186" s="77" t="str">
        <f t="shared" si="29"/>
        <v>Rodoviários</v>
      </c>
      <c r="U186" s="77" t="str">
        <f t="shared" si="29"/>
        <v>Vias</v>
      </c>
      <c r="V186" s="77" t="s">
        <v>1964</v>
      </c>
      <c r="W186" s="78" t="str">
        <f t="shared" si="27"/>
        <v>Key-BRASIL-186</v>
      </c>
      <c r="X186" s="77" t="s">
        <v>1849</v>
      </c>
      <c r="Y186" s="81" t="s">
        <v>1897</v>
      </c>
      <c r="Z186" s="81" t="s">
        <v>1</v>
      </c>
      <c r="AA186" s="77" t="str">
        <f t="shared" si="28"/>
        <v>Local roads, generally municipal, paved with one lane and of modest technical standard.</v>
      </c>
    </row>
    <row r="187" spans="1:27" ht="6.6" customHeight="1" x14ac:dyDescent="0.25">
      <c r="A187" s="72">
        <v>187</v>
      </c>
      <c r="B187" s="73" t="s">
        <v>1968</v>
      </c>
      <c r="C187" s="83" t="s">
        <v>2001</v>
      </c>
      <c r="D187" s="73" t="s">
        <v>2002</v>
      </c>
      <c r="E187" s="84" t="s">
        <v>1402</v>
      </c>
      <c r="F187" s="32" t="s">
        <v>118</v>
      </c>
      <c r="G187" s="85" t="s">
        <v>1</v>
      </c>
      <c r="H187" s="85" t="s">
        <v>1</v>
      </c>
      <c r="I187" s="85" t="s">
        <v>1</v>
      </c>
      <c r="J187" s="85" t="s">
        <v>1</v>
      </c>
      <c r="K187" s="85" t="s">
        <v>1</v>
      </c>
      <c r="L187" s="86" t="str">
        <f t="shared" si="30"/>
        <v>Infraestruturais</v>
      </c>
      <c r="M187" s="76" t="str">
        <f t="shared" si="31"/>
        <v>Rodoviários</v>
      </c>
      <c r="N187" s="76" t="str">
        <f t="shared" si="32"/>
        <v>Vias</v>
      </c>
      <c r="O187" s="77" t="str">
        <f t="shared" si="33"/>
        <v>Viela.Urbana</v>
      </c>
      <c r="P187" s="80" t="s">
        <v>123</v>
      </c>
      <c r="Q187" s="86" t="s">
        <v>215</v>
      </c>
      <c r="R187" s="77" t="s">
        <v>1</v>
      </c>
      <c r="S187" s="77" t="str">
        <f t="shared" si="29"/>
        <v>Infraestruturais</v>
      </c>
      <c r="T187" s="77" t="str">
        <f t="shared" si="29"/>
        <v>Rodoviários</v>
      </c>
      <c r="U187" s="77" t="str">
        <f t="shared" si="29"/>
        <v>Vias</v>
      </c>
      <c r="V187" s="77" t="s">
        <v>1964</v>
      </c>
      <c r="W187" s="78" t="str">
        <f t="shared" si="27"/>
        <v>Key-BRASIL-187</v>
      </c>
      <c r="X187" s="77" t="s">
        <v>1849</v>
      </c>
      <c r="Y187" s="81" t="s">
        <v>1897</v>
      </c>
      <c r="Z187" s="81" t="s">
        <v>1</v>
      </c>
      <c r="AA187" s="77" t="str">
        <f t="shared" si="28"/>
        <v>Paved urban roads of one lane with a width of 6 to 9 meters.</v>
      </c>
    </row>
    <row r="188" spans="1:27" ht="6.6" customHeight="1" x14ac:dyDescent="0.25">
      <c r="A188" s="72">
        <v>188</v>
      </c>
      <c r="B188" s="73" t="s">
        <v>1968</v>
      </c>
      <c r="C188" s="83" t="s">
        <v>2001</v>
      </c>
      <c r="D188" s="73" t="s">
        <v>2002</v>
      </c>
      <c r="E188" s="84" t="s">
        <v>1402</v>
      </c>
      <c r="F188" s="32" t="s">
        <v>120</v>
      </c>
      <c r="G188" s="85" t="s">
        <v>1</v>
      </c>
      <c r="H188" s="85" t="s">
        <v>1</v>
      </c>
      <c r="I188" s="85" t="s">
        <v>1</v>
      </c>
      <c r="J188" s="85" t="s">
        <v>1</v>
      </c>
      <c r="K188" s="85" t="s">
        <v>1</v>
      </c>
      <c r="L188" s="86" t="str">
        <f t="shared" si="30"/>
        <v>Infraestruturais</v>
      </c>
      <c r="M188" s="76" t="str">
        <f t="shared" si="31"/>
        <v>Rodoviários</v>
      </c>
      <c r="N188" s="76" t="str">
        <f t="shared" si="32"/>
        <v>Vias</v>
      </c>
      <c r="O188" s="77" t="str">
        <f t="shared" si="33"/>
        <v>Rua.Local.Urbana</v>
      </c>
      <c r="P188" s="80" t="s">
        <v>127</v>
      </c>
      <c r="Q188" s="86" t="s">
        <v>216</v>
      </c>
      <c r="R188" s="77" t="s">
        <v>1</v>
      </c>
      <c r="S188" s="77" t="str">
        <f t="shared" si="29"/>
        <v>Infraestruturais</v>
      </c>
      <c r="T188" s="77" t="str">
        <f t="shared" si="29"/>
        <v>Rodoviários</v>
      </c>
      <c r="U188" s="77" t="str">
        <f t="shared" si="29"/>
        <v>Vias</v>
      </c>
      <c r="V188" s="77" t="s">
        <v>1964</v>
      </c>
      <c r="W188" s="78" t="str">
        <f t="shared" si="27"/>
        <v>Key-BRASIL-188</v>
      </c>
      <c r="X188" s="77" t="s">
        <v>1849</v>
      </c>
      <c r="Y188" s="81" t="s">
        <v>1897</v>
      </c>
      <c r="Z188" s="81" t="s">
        <v>1</v>
      </c>
      <c r="AA188" s="77" t="str">
        <f t="shared" si="28"/>
        <v>Paved urban roads of one lane with a width of 9 to 12 meters.</v>
      </c>
    </row>
    <row r="189" spans="1:27" ht="6.6" customHeight="1" x14ac:dyDescent="0.25">
      <c r="A189" s="72">
        <v>189</v>
      </c>
      <c r="B189" s="73" t="s">
        <v>1968</v>
      </c>
      <c r="C189" s="83" t="s">
        <v>2001</v>
      </c>
      <c r="D189" s="73" t="s">
        <v>2002</v>
      </c>
      <c r="E189" s="84" t="s">
        <v>1402</v>
      </c>
      <c r="F189" s="32" t="s">
        <v>119</v>
      </c>
      <c r="G189" s="85" t="s">
        <v>1</v>
      </c>
      <c r="H189" s="85" t="s">
        <v>1</v>
      </c>
      <c r="I189" s="85" t="s">
        <v>1</v>
      </c>
      <c r="J189" s="85" t="s">
        <v>1</v>
      </c>
      <c r="K189" s="85" t="s">
        <v>1</v>
      </c>
      <c r="L189" s="86" t="str">
        <f t="shared" si="30"/>
        <v>Infraestruturais</v>
      </c>
      <c r="M189" s="76" t="str">
        <f t="shared" si="31"/>
        <v>Rodoviários</v>
      </c>
      <c r="N189" s="76" t="str">
        <f t="shared" si="32"/>
        <v>Vias</v>
      </c>
      <c r="O189" s="77" t="str">
        <f t="shared" si="33"/>
        <v>Rua.Coletora.Urbana</v>
      </c>
      <c r="P189" s="80" t="s">
        <v>124</v>
      </c>
      <c r="Q189" s="86" t="s">
        <v>217</v>
      </c>
      <c r="R189" s="77" t="s">
        <v>1</v>
      </c>
      <c r="S189" s="77" t="str">
        <f t="shared" si="29"/>
        <v>Infraestruturais</v>
      </c>
      <c r="T189" s="77" t="str">
        <f t="shared" si="29"/>
        <v>Rodoviários</v>
      </c>
      <c r="U189" s="77" t="str">
        <f t="shared" si="29"/>
        <v>Vias</v>
      </c>
      <c r="V189" s="77" t="s">
        <v>1964</v>
      </c>
      <c r="W189" s="78" t="str">
        <f t="shared" si="27"/>
        <v>Key-BRASIL-189</v>
      </c>
      <c r="X189" s="77" t="s">
        <v>1849</v>
      </c>
      <c r="Y189" s="81" t="s">
        <v>1897</v>
      </c>
      <c r="Z189" s="81" t="s">
        <v>1</v>
      </c>
      <c r="AA189" s="77" t="str">
        <f t="shared" si="28"/>
        <v>Paved urban roads of one or two lanes with widths of 12 to 18 meters.</v>
      </c>
    </row>
    <row r="190" spans="1:27" ht="6.6" customHeight="1" x14ac:dyDescent="0.25">
      <c r="A190" s="72">
        <v>190</v>
      </c>
      <c r="B190" s="73" t="s">
        <v>1968</v>
      </c>
      <c r="C190" s="83" t="s">
        <v>2001</v>
      </c>
      <c r="D190" s="73" t="s">
        <v>2002</v>
      </c>
      <c r="E190" s="84" t="s">
        <v>1402</v>
      </c>
      <c r="F190" s="32" t="s">
        <v>122</v>
      </c>
      <c r="G190" s="85" t="s">
        <v>1</v>
      </c>
      <c r="H190" s="85" t="s">
        <v>1</v>
      </c>
      <c r="I190" s="85" t="s">
        <v>1</v>
      </c>
      <c r="J190" s="85" t="s">
        <v>1</v>
      </c>
      <c r="K190" s="85" t="s">
        <v>1</v>
      </c>
      <c r="L190" s="86" t="str">
        <f t="shared" si="30"/>
        <v>Infraestruturais</v>
      </c>
      <c r="M190" s="76" t="str">
        <f t="shared" si="31"/>
        <v>Rodoviários</v>
      </c>
      <c r="N190" s="76" t="str">
        <f t="shared" si="32"/>
        <v>Vias</v>
      </c>
      <c r="O190" s="77" t="str">
        <f t="shared" si="33"/>
        <v>Avenida.Arterial</v>
      </c>
      <c r="P190" s="80" t="s">
        <v>125</v>
      </c>
      <c r="Q190" s="86" t="s">
        <v>218</v>
      </c>
      <c r="R190" s="77" t="s">
        <v>1</v>
      </c>
      <c r="S190" s="77" t="str">
        <f t="shared" si="29"/>
        <v>Infraestruturais</v>
      </c>
      <c r="T190" s="77" t="str">
        <f t="shared" si="29"/>
        <v>Rodoviários</v>
      </c>
      <c r="U190" s="77" t="str">
        <f t="shared" si="29"/>
        <v>Vias</v>
      </c>
      <c r="V190" s="77" t="s">
        <v>1964</v>
      </c>
      <c r="W190" s="78" t="str">
        <f t="shared" si="27"/>
        <v>Key-BRASIL-190</v>
      </c>
      <c r="X190" s="77" t="s">
        <v>1849</v>
      </c>
      <c r="Y190" s="81" t="s">
        <v>1897</v>
      </c>
      <c r="Z190" s="81" t="s">
        <v>1</v>
      </c>
      <c r="AA190" s="77" t="str">
        <f t="shared" si="28"/>
        <v>Paved urban roads with a large flow of vehicles and public transport with a width of 20 to 30 meters.</v>
      </c>
    </row>
    <row r="191" spans="1:27" ht="6.6" customHeight="1" x14ac:dyDescent="0.25">
      <c r="A191" s="72">
        <v>191</v>
      </c>
      <c r="B191" s="73" t="s">
        <v>1968</v>
      </c>
      <c r="C191" s="83" t="s">
        <v>2001</v>
      </c>
      <c r="D191" s="73" t="s">
        <v>2002</v>
      </c>
      <c r="E191" s="84" t="s">
        <v>1402</v>
      </c>
      <c r="F191" s="32" t="s">
        <v>121</v>
      </c>
      <c r="G191" s="85" t="s">
        <v>1</v>
      </c>
      <c r="H191" s="85" t="s">
        <v>1</v>
      </c>
      <c r="I191" s="85" t="s">
        <v>1</v>
      </c>
      <c r="J191" s="85" t="s">
        <v>1</v>
      </c>
      <c r="K191" s="85" t="s">
        <v>1</v>
      </c>
      <c r="L191" s="86" t="str">
        <f t="shared" si="30"/>
        <v>Infraestruturais</v>
      </c>
      <c r="M191" s="76" t="str">
        <f t="shared" si="31"/>
        <v>Rodoviários</v>
      </c>
      <c r="N191" s="76" t="str">
        <f t="shared" si="32"/>
        <v>Vias</v>
      </c>
      <c r="O191" s="77" t="str">
        <f t="shared" si="33"/>
        <v>Avenida.Expressa</v>
      </c>
      <c r="P191" s="80" t="s">
        <v>126</v>
      </c>
      <c r="Q191" s="86" t="s">
        <v>219</v>
      </c>
      <c r="R191" s="77" t="s">
        <v>1</v>
      </c>
      <c r="S191" s="77" t="str">
        <f t="shared" si="29"/>
        <v>Infraestruturais</v>
      </c>
      <c r="T191" s="77" t="str">
        <f t="shared" si="29"/>
        <v>Rodoviários</v>
      </c>
      <c r="U191" s="77" t="str">
        <f t="shared" si="29"/>
        <v>Vias</v>
      </c>
      <c r="V191" s="77" t="s">
        <v>1964</v>
      </c>
      <c r="W191" s="78" t="str">
        <f t="shared" si="27"/>
        <v>Key-BRASIL-191</v>
      </c>
      <c r="X191" s="77" t="s">
        <v>1849</v>
      </c>
      <c r="Y191" s="81" t="s">
        <v>1897</v>
      </c>
      <c r="Z191" s="81" t="s">
        <v>1</v>
      </c>
      <c r="AA191" s="77" t="str">
        <f t="shared" si="28"/>
        <v>High-speed urban roads with separation of lanes from 30 to 60 meters.</v>
      </c>
    </row>
    <row r="192" spans="1:27" ht="6.6" customHeight="1" x14ac:dyDescent="0.25">
      <c r="A192" s="72">
        <v>192</v>
      </c>
      <c r="B192" s="73" t="s">
        <v>1968</v>
      </c>
      <c r="C192" s="83" t="s">
        <v>2001</v>
      </c>
      <c r="D192" s="73" t="s">
        <v>2002</v>
      </c>
      <c r="E192" s="84" t="s">
        <v>1402</v>
      </c>
      <c r="F192" s="32" t="s">
        <v>1311</v>
      </c>
      <c r="G192" s="85" t="s">
        <v>1</v>
      </c>
      <c r="H192" s="85" t="s">
        <v>1</v>
      </c>
      <c r="I192" s="85" t="s">
        <v>1</v>
      </c>
      <c r="J192" s="85" t="s">
        <v>1</v>
      </c>
      <c r="K192" s="85" t="s">
        <v>1</v>
      </c>
      <c r="L192" s="86" t="str">
        <f t="shared" si="30"/>
        <v>Infraestruturais</v>
      </c>
      <c r="M192" s="76" t="str">
        <f t="shared" si="31"/>
        <v>Rodoviários</v>
      </c>
      <c r="N192" s="76" t="str">
        <f t="shared" si="32"/>
        <v>Vias</v>
      </c>
      <c r="O192" s="77" t="str">
        <f t="shared" si="33"/>
        <v>Corredor.BRT</v>
      </c>
      <c r="P192" s="80" t="s">
        <v>1312</v>
      </c>
      <c r="Q192" s="80" t="s">
        <v>1313</v>
      </c>
      <c r="R192" s="77" t="s">
        <v>1</v>
      </c>
      <c r="S192" s="77" t="str">
        <f t="shared" si="29"/>
        <v>Infraestruturais</v>
      </c>
      <c r="T192" s="77" t="str">
        <f t="shared" si="29"/>
        <v>Rodoviários</v>
      </c>
      <c r="U192" s="77" t="str">
        <f t="shared" si="29"/>
        <v>Vias</v>
      </c>
      <c r="V192" s="77" t="s">
        <v>1964</v>
      </c>
      <c r="W192" s="78" t="str">
        <f t="shared" ref="W192:W255" si="34">CONCATENATE("Key-BRASIL-",A192)</f>
        <v>Key-BRASIL-192</v>
      </c>
      <c r="X192" s="77" t="s">
        <v>1849</v>
      </c>
      <c r="Y192" s="81" t="s">
        <v>1897</v>
      </c>
      <c r="Z192" s="81" t="s">
        <v>1</v>
      </c>
      <c r="AA192" s="77" t="str">
        <f t="shared" si="28"/>
        <v>Exclusive urban road for BRT operation.</v>
      </c>
    </row>
    <row r="193" spans="1:27" ht="6.6" customHeight="1" x14ac:dyDescent="0.25">
      <c r="A193" s="72">
        <v>193</v>
      </c>
      <c r="B193" s="73" t="s">
        <v>1968</v>
      </c>
      <c r="C193" s="83" t="s">
        <v>2001</v>
      </c>
      <c r="D193" s="73" t="s">
        <v>2002</v>
      </c>
      <c r="E193" s="84" t="s">
        <v>1403</v>
      </c>
      <c r="F193" s="32" t="s">
        <v>101</v>
      </c>
      <c r="G193" s="85" t="s">
        <v>1</v>
      </c>
      <c r="H193" s="85" t="s">
        <v>1</v>
      </c>
      <c r="I193" s="85" t="s">
        <v>1</v>
      </c>
      <c r="J193" s="85" t="s">
        <v>1</v>
      </c>
      <c r="K193" s="85" t="s">
        <v>1</v>
      </c>
      <c r="L193" s="86" t="str">
        <f t="shared" si="30"/>
        <v>Infraestruturais</v>
      </c>
      <c r="M193" s="76" t="str">
        <f t="shared" si="31"/>
        <v>Rodoviários</v>
      </c>
      <c r="N193" s="76" t="str">
        <f t="shared" si="32"/>
        <v>Faixas</v>
      </c>
      <c r="O193" s="77" t="str">
        <f t="shared" si="33"/>
        <v>Faixa.de.Rolamento</v>
      </c>
      <c r="P193" s="80" t="s">
        <v>84</v>
      </c>
      <c r="Q193" s="86" t="s">
        <v>220</v>
      </c>
      <c r="R193" s="77" t="s">
        <v>1</v>
      </c>
      <c r="S193" s="77" t="str">
        <f t="shared" si="29"/>
        <v>Infraestruturais</v>
      </c>
      <c r="T193" s="77" t="str">
        <f t="shared" si="29"/>
        <v>Rodoviários</v>
      </c>
      <c r="U193" s="77" t="str">
        <f t="shared" si="29"/>
        <v>Faixas</v>
      </c>
      <c r="V193" s="77" t="s">
        <v>1964</v>
      </c>
      <c r="W193" s="78" t="str">
        <f t="shared" si="34"/>
        <v>Key-BRASIL-193</v>
      </c>
      <c r="X193" s="77" t="s">
        <v>1849</v>
      </c>
      <c r="Y193" s="81" t="s">
        <v>1897</v>
      </c>
      <c r="Z193" s="81" t="s">
        <v>1</v>
      </c>
      <c r="AA193" s="77" t="str">
        <f t="shared" si="28"/>
        <v>Lane used by vehicles.</v>
      </c>
    </row>
    <row r="194" spans="1:27" ht="6.6" customHeight="1" x14ac:dyDescent="0.25">
      <c r="A194" s="72">
        <v>194</v>
      </c>
      <c r="B194" s="73" t="s">
        <v>1968</v>
      </c>
      <c r="C194" s="83" t="s">
        <v>2001</v>
      </c>
      <c r="D194" s="73" t="s">
        <v>2002</v>
      </c>
      <c r="E194" s="84" t="s">
        <v>1403</v>
      </c>
      <c r="F194" s="32" t="s">
        <v>112</v>
      </c>
      <c r="G194" s="85" t="s">
        <v>1</v>
      </c>
      <c r="H194" s="85" t="s">
        <v>1</v>
      </c>
      <c r="I194" s="85" t="s">
        <v>1</v>
      </c>
      <c r="J194" s="85" t="s">
        <v>1</v>
      </c>
      <c r="K194" s="85" t="s">
        <v>1</v>
      </c>
      <c r="L194" s="86" t="str">
        <f t="shared" si="30"/>
        <v>Infraestruturais</v>
      </c>
      <c r="M194" s="76" t="str">
        <f t="shared" si="31"/>
        <v>Rodoviários</v>
      </c>
      <c r="N194" s="76" t="str">
        <f t="shared" si="32"/>
        <v>Faixas</v>
      </c>
      <c r="O194" s="77" t="str">
        <f t="shared" si="33"/>
        <v>Calçada</v>
      </c>
      <c r="P194" s="80" t="s">
        <v>113</v>
      </c>
      <c r="Q194" s="86" t="s">
        <v>222</v>
      </c>
      <c r="R194" s="77" t="s">
        <v>1</v>
      </c>
      <c r="S194" s="77" t="str">
        <f t="shared" si="29"/>
        <v>Infraestruturais</v>
      </c>
      <c r="T194" s="77" t="str">
        <f t="shared" si="29"/>
        <v>Rodoviários</v>
      </c>
      <c r="U194" s="77" t="str">
        <f t="shared" si="29"/>
        <v>Faixas</v>
      </c>
      <c r="V194" s="77" t="s">
        <v>1964</v>
      </c>
      <c r="W194" s="78" t="str">
        <f t="shared" si="34"/>
        <v>Key-BRASIL-194</v>
      </c>
      <c r="X194" s="77" t="s">
        <v>1849</v>
      </c>
      <c r="Y194" s="81" t="s">
        <v>1897</v>
      </c>
      <c r="Z194" s="81" t="s">
        <v>1</v>
      </c>
      <c r="AA194" s="77" t="str">
        <f t="shared" si="28"/>
        <v>Part of the public road intended for pedestrian traffic positioned next to the lanes. For the project, the Carioca Sidewalks Notebook and the NBR 9050 Standard, which deals with accessibility in urban spaces, can be consulted.</v>
      </c>
    </row>
    <row r="195" spans="1:27" ht="6.6" customHeight="1" x14ac:dyDescent="0.25">
      <c r="A195" s="72">
        <v>195</v>
      </c>
      <c r="B195" s="73" t="s">
        <v>1968</v>
      </c>
      <c r="C195" s="83" t="s">
        <v>2001</v>
      </c>
      <c r="D195" s="73" t="s">
        <v>2002</v>
      </c>
      <c r="E195" s="84" t="s">
        <v>1403</v>
      </c>
      <c r="F195" s="32" t="s">
        <v>116</v>
      </c>
      <c r="G195" s="85" t="s">
        <v>1</v>
      </c>
      <c r="H195" s="85" t="s">
        <v>1</v>
      </c>
      <c r="I195" s="85" t="s">
        <v>1</v>
      </c>
      <c r="J195" s="85" t="s">
        <v>1</v>
      </c>
      <c r="K195" s="85" t="s">
        <v>1</v>
      </c>
      <c r="L195" s="86" t="str">
        <f t="shared" si="30"/>
        <v>Infraestruturais</v>
      </c>
      <c r="M195" s="76" t="str">
        <f t="shared" si="31"/>
        <v>Rodoviários</v>
      </c>
      <c r="N195" s="76" t="str">
        <f t="shared" si="32"/>
        <v>Faixas</v>
      </c>
      <c r="O195" s="77" t="str">
        <f t="shared" si="33"/>
        <v>Ciclofaixa</v>
      </c>
      <c r="P195" s="80" t="s">
        <v>117</v>
      </c>
      <c r="Q195" s="86" t="s">
        <v>223</v>
      </c>
      <c r="R195" s="77" t="s">
        <v>1</v>
      </c>
      <c r="S195" s="77" t="str">
        <f t="shared" si="29"/>
        <v>Infraestruturais</v>
      </c>
      <c r="T195" s="77" t="str">
        <f t="shared" si="29"/>
        <v>Rodoviários</v>
      </c>
      <c r="U195" s="77" t="str">
        <f t="shared" si="29"/>
        <v>Faixas</v>
      </c>
      <c r="V195" s="77" t="s">
        <v>1964</v>
      </c>
      <c r="W195" s="78" t="str">
        <f t="shared" si="34"/>
        <v>Key-BRASIL-195</v>
      </c>
      <c r="X195" s="77" t="s">
        <v>1849</v>
      </c>
      <c r="Y195" s="81" t="s">
        <v>1897</v>
      </c>
      <c r="Z195" s="81" t="s">
        <v>1</v>
      </c>
      <c r="AA195" s="77" t="str">
        <f t="shared" si="28"/>
        <v>Lane for cyclists integrated into the lane and delimited by a lane painted on the asphalt. It is less safe than the cyclovia.</v>
      </c>
    </row>
    <row r="196" spans="1:27" ht="6.6" customHeight="1" x14ac:dyDescent="0.25">
      <c r="A196" s="72">
        <v>196</v>
      </c>
      <c r="B196" s="73" t="s">
        <v>1968</v>
      </c>
      <c r="C196" s="83" t="s">
        <v>2001</v>
      </c>
      <c r="D196" s="73" t="s">
        <v>2002</v>
      </c>
      <c r="E196" s="84" t="s">
        <v>1403</v>
      </c>
      <c r="F196" s="32" t="s">
        <v>114</v>
      </c>
      <c r="G196" s="85" t="s">
        <v>1</v>
      </c>
      <c r="H196" s="85" t="s">
        <v>1</v>
      </c>
      <c r="I196" s="85" t="s">
        <v>1</v>
      </c>
      <c r="J196" s="85" t="s">
        <v>1</v>
      </c>
      <c r="K196" s="85" t="s">
        <v>1</v>
      </c>
      <c r="L196" s="86" t="str">
        <f t="shared" si="30"/>
        <v>Infraestruturais</v>
      </c>
      <c r="M196" s="76" t="str">
        <f t="shared" si="31"/>
        <v>Rodoviários</v>
      </c>
      <c r="N196" s="76" t="str">
        <f t="shared" si="32"/>
        <v>Faixas</v>
      </c>
      <c r="O196" s="77" t="str">
        <f t="shared" si="33"/>
        <v>Ciclovia</v>
      </c>
      <c r="P196" s="80" t="s">
        <v>115</v>
      </c>
      <c r="Q196" s="86" t="s">
        <v>224</v>
      </c>
      <c r="R196" s="77" t="s">
        <v>1</v>
      </c>
      <c r="S196" s="77" t="str">
        <f t="shared" si="29"/>
        <v>Infraestruturais</v>
      </c>
      <c r="T196" s="77" t="str">
        <f t="shared" si="29"/>
        <v>Rodoviários</v>
      </c>
      <c r="U196" s="77" t="str">
        <f t="shared" si="29"/>
        <v>Faixas</v>
      </c>
      <c r="V196" s="77" t="s">
        <v>1964</v>
      </c>
      <c r="W196" s="78" t="str">
        <f t="shared" si="34"/>
        <v>Key-BRASIL-196</v>
      </c>
      <c r="X196" s="77" t="s">
        <v>1849</v>
      </c>
      <c r="Y196" s="81" t="s">
        <v>1884</v>
      </c>
      <c r="Z196" s="81" t="s">
        <v>1</v>
      </c>
      <c r="AA196" s="77" t="str">
        <f t="shared" ref="AA196:AA259" si="35">_xlfn.TRANSLATE(P196,"pt","en")</f>
        <v>Exclusive lane for bicycle circulation, physically separated from the motor vehicle lanes.</v>
      </c>
    </row>
    <row r="197" spans="1:27" ht="6.6" customHeight="1" x14ac:dyDescent="0.25">
      <c r="A197" s="72">
        <v>197</v>
      </c>
      <c r="B197" s="73" t="s">
        <v>1968</v>
      </c>
      <c r="C197" s="83" t="s">
        <v>2001</v>
      </c>
      <c r="D197" s="73" t="s">
        <v>2002</v>
      </c>
      <c r="E197" s="84" t="s">
        <v>1403</v>
      </c>
      <c r="F197" s="32" t="s">
        <v>103</v>
      </c>
      <c r="G197" s="85" t="s">
        <v>1</v>
      </c>
      <c r="H197" s="85" t="s">
        <v>1</v>
      </c>
      <c r="I197" s="85" t="s">
        <v>1</v>
      </c>
      <c r="J197" s="85" t="s">
        <v>1</v>
      </c>
      <c r="K197" s="85" t="s">
        <v>1</v>
      </c>
      <c r="L197" s="86" t="str">
        <f t="shared" si="30"/>
        <v>Infraestruturais</v>
      </c>
      <c r="M197" s="76" t="str">
        <f t="shared" si="31"/>
        <v>Rodoviários</v>
      </c>
      <c r="N197" s="76" t="str">
        <f t="shared" si="32"/>
        <v>Faixas</v>
      </c>
      <c r="O197" s="77" t="str">
        <f t="shared" si="33"/>
        <v>Meio.Fio</v>
      </c>
      <c r="P197" s="80" t="s">
        <v>104</v>
      </c>
      <c r="Q197" s="86" t="s">
        <v>221</v>
      </c>
      <c r="R197" s="77" t="s">
        <v>1</v>
      </c>
      <c r="S197" s="77" t="str">
        <f t="shared" si="29"/>
        <v>Infraestruturais</v>
      </c>
      <c r="T197" s="77" t="str">
        <f t="shared" si="29"/>
        <v>Rodoviários</v>
      </c>
      <c r="U197" s="77" t="str">
        <f t="shared" si="29"/>
        <v>Faixas</v>
      </c>
      <c r="V197" s="77" t="s">
        <v>1964</v>
      </c>
      <c r="W197" s="78" t="str">
        <f t="shared" si="34"/>
        <v>Key-BRASIL-197</v>
      </c>
      <c r="X197" s="77" t="s">
        <v>1849</v>
      </c>
      <c r="Y197" s="81" t="s">
        <v>1898</v>
      </c>
      <c r="Z197" s="81" t="s">
        <v>1</v>
      </c>
      <c r="AA197" s="77" t="str">
        <f t="shared" si="35"/>
        <v>Element that separates the road from the pedestrian sidewalk vehicles with a height of less than 35 cm.</v>
      </c>
    </row>
    <row r="198" spans="1:27" ht="6.6" customHeight="1" x14ac:dyDescent="0.25">
      <c r="A198" s="72">
        <v>198</v>
      </c>
      <c r="B198" s="73" t="s">
        <v>1968</v>
      </c>
      <c r="C198" s="83" t="s">
        <v>2001</v>
      </c>
      <c r="D198" s="73" t="s">
        <v>2002</v>
      </c>
      <c r="E198" s="84" t="s">
        <v>1404</v>
      </c>
      <c r="F198" s="32" t="s">
        <v>254</v>
      </c>
      <c r="G198" s="85" t="s">
        <v>1</v>
      </c>
      <c r="H198" s="85" t="s">
        <v>1</v>
      </c>
      <c r="I198" s="85" t="s">
        <v>1</v>
      </c>
      <c r="J198" s="85" t="s">
        <v>1</v>
      </c>
      <c r="K198" s="85" t="s">
        <v>1</v>
      </c>
      <c r="L198" s="86" t="str">
        <f t="shared" si="30"/>
        <v>Infraestruturais</v>
      </c>
      <c r="M198" s="76" t="str">
        <f t="shared" si="31"/>
        <v>Rodoviários</v>
      </c>
      <c r="N198" s="76" t="str">
        <f t="shared" si="32"/>
        <v>Proteções</v>
      </c>
      <c r="O198" s="77" t="str">
        <f t="shared" si="33"/>
        <v>Contenção.Perfil</v>
      </c>
      <c r="P198" s="80" t="s">
        <v>80</v>
      </c>
      <c r="Q198" s="86" t="s">
        <v>225</v>
      </c>
      <c r="R198" s="77" t="s">
        <v>1</v>
      </c>
      <c r="S198" s="77" t="str">
        <f t="shared" si="29"/>
        <v>Infraestruturais</v>
      </c>
      <c r="T198" s="77" t="str">
        <f t="shared" si="29"/>
        <v>Rodoviários</v>
      </c>
      <c r="U198" s="77" t="str">
        <f t="shared" si="29"/>
        <v>Proteções</v>
      </c>
      <c r="V198" s="77" t="s">
        <v>1964</v>
      </c>
      <c r="W198" s="78" t="str">
        <f t="shared" si="34"/>
        <v>Key-BRASIL-198</v>
      </c>
      <c r="X198" s="77" t="s">
        <v>1850</v>
      </c>
      <c r="Y198" s="77" t="s">
        <v>1898</v>
      </c>
      <c r="Z198" s="81" t="s">
        <v>1</v>
      </c>
      <c r="AA198" s="77" t="str">
        <f t="shared" si="35"/>
        <v>ABNT standard profile, embedded in the structure, with the function of lateral protection of the road lane.</v>
      </c>
    </row>
    <row r="199" spans="1:27" ht="6.6" customHeight="1" x14ac:dyDescent="0.25">
      <c r="A199" s="72">
        <v>199</v>
      </c>
      <c r="B199" s="73" t="s">
        <v>1968</v>
      </c>
      <c r="C199" s="83" t="s">
        <v>2001</v>
      </c>
      <c r="D199" s="73" t="s">
        <v>2002</v>
      </c>
      <c r="E199" s="84" t="s">
        <v>1404</v>
      </c>
      <c r="F199" s="32" t="s">
        <v>255</v>
      </c>
      <c r="G199" s="85" t="s">
        <v>1</v>
      </c>
      <c r="H199" s="85" t="s">
        <v>1</v>
      </c>
      <c r="I199" s="85" t="s">
        <v>1</v>
      </c>
      <c r="J199" s="85" t="s">
        <v>1</v>
      </c>
      <c r="K199" s="85" t="s">
        <v>1</v>
      </c>
      <c r="L199" s="86" t="str">
        <f t="shared" si="30"/>
        <v>Infraestruturais</v>
      </c>
      <c r="M199" s="76" t="str">
        <f t="shared" si="31"/>
        <v>Rodoviários</v>
      </c>
      <c r="N199" s="76" t="str">
        <f t="shared" si="32"/>
        <v>Proteções</v>
      </c>
      <c r="O199" s="77" t="str">
        <f t="shared" si="33"/>
        <v>Contenção.Cortina</v>
      </c>
      <c r="P199" s="80" t="s">
        <v>102</v>
      </c>
      <c r="Q199" s="86" t="s">
        <v>259</v>
      </c>
      <c r="R199" s="77" t="s">
        <v>1</v>
      </c>
      <c r="S199" s="77" t="str">
        <f t="shared" si="29"/>
        <v>Infraestruturais</v>
      </c>
      <c r="T199" s="77" t="str">
        <f t="shared" si="29"/>
        <v>Rodoviários</v>
      </c>
      <c r="U199" s="77" t="str">
        <f t="shared" si="29"/>
        <v>Proteções</v>
      </c>
      <c r="V199" s="77" t="s">
        <v>1964</v>
      </c>
      <c r="W199" s="78" t="str">
        <f t="shared" si="34"/>
        <v>Key-BRASIL-199</v>
      </c>
      <c r="X199" s="77" t="s">
        <v>1850</v>
      </c>
      <c r="Y199" s="77" t="s">
        <v>1898</v>
      </c>
      <c r="Z199" s="81" t="s">
        <v>1</v>
      </c>
      <c r="AA199" s="77" t="str">
        <f t="shared" si="35"/>
        <v>Element with a height of more than 1.5 m, embedded in the superstructure that works to prevent the vehicle from falling from the bridge or viaduct over subway and railway tracks.</v>
      </c>
    </row>
    <row r="200" spans="1:27" ht="6.6" customHeight="1" x14ac:dyDescent="0.25">
      <c r="A200" s="72">
        <v>200</v>
      </c>
      <c r="B200" s="73" t="s">
        <v>1968</v>
      </c>
      <c r="C200" s="83" t="s">
        <v>2001</v>
      </c>
      <c r="D200" s="73" t="s">
        <v>2002</v>
      </c>
      <c r="E200" s="84" t="s">
        <v>1404</v>
      </c>
      <c r="F200" s="32" t="s">
        <v>256</v>
      </c>
      <c r="G200" s="85" t="s">
        <v>1</v>
      </c>
      <c r="H200" s="85" t="s">
        <v>1</v>
      </c>
      <c r="I200" s="85" t="s">
        <v>1</v>
      </c>
      <c r="J200" s="85" t="s">
        <v>1</v>
      </c>
      <c r="K200" s="85" t="s">
        <v>1</v>
      </c>
      <c r="L200" s="86" t="str">
        <f t="shared" si="30"/>
        <v>Infraestruturais</v>
      </c>
      <c r="M200" s="76" t="str">
        <f t="shared" si="31"/>
        <v>Rodoviários</v>
      </c>
      <c r="N200" s="76" t="str">
        <f t="shared" si="32"/>
        <v>Proteções</v>
      </c>
      <c r="O200" s="77" t="str">
        <f t="shared" si="33"/>
        <v>Contenção.Guardacorpo</v>
      </c>
      <c r="P200" s="80" t="s">
        <v>81</v>
      </c>
      <c r="Q200" s="86" t="s">
        <v>226</v>
      </c>
      <c r="R200" s="77" t="s">
        <v>1</v>
      </c>
      <c r="S200" s="77" t="str">
        <f t="shared" si="29"/>
        <v>Infraestruturais</v>
      </c>
      <c r="T200" s="77" t="str">
        <f t="shared" si="29"/>
        <v>Rodoviários</v>
      </c>
      <c r="U200" s="77" t="str">
        <f t="shared" si="29"/>
        <v>Proteções</v>
      </c>
      <c r="V200" s="77" t="s">
        <v>1964</v>
      </c>
      <c r="W200" s="78" t="str">
        <f t="shared" si="34"/>
        <v>Key-BRASIL-200</v>
      </c>
      <c r="X200" s="77" t="s">
        <v>1850</v>
      </c>
      <c r="Y200" s="77" t="s">
        <v>1898</v>
      </c>
      <c r="Z200" s="81" t="s">
        <v>1</v>
      </c>
      <c r="AA200" s="77" t="str">
        <f t="shared" si="35"/>
        <v>Continuous or hollow element of pedestrian protection on the edge of the sidewalk.</v>
      </c>
    </row>
    <row r="201" spans="1:27" ht="6.6" customHeight="1" x14ac:dyDescent="0.25">
      <c r="A201" s="72">
        <v>201</v>
      </c>
      <c r="B201" s="73" t="s">
        <v>1968</v>
      </c>
      <c r="C201" s="83" t="s">
        <v>2001</v>
      </c>
      <c r="D201" s="73" t="s">
        <v>2002</v>
      </c>
      <c r="E201" s="84" t="s">
        <v>1404</v>
      </c>
      <c r="F201" s="32" t="s">
        <v>257</v>
      </c>
      <c r="G201" s="85" t="s">
        <v>1</v>
      </c>
      <c r="H201" s="85" t="s">
        <v>1</v>
      </c>
      <c r="I201" s="85" t="s">
        <v>1</v>
      </c>
      <c r="J201" s="85" t="s">
        <v>1</v>
      </c>
      <c r="K201" s="85" t="s">
        <v>1</v>
      </c>
      <c r="L201" s="86" t="str">
        <f t="shared" si="30"/>
        <v>Infraestruturais</v>
      </c>
      <c r="M201" s="76" t="str">
        <f t="shared" si="31"/>
        <v>Rodoviários</v>
      </c>
      <c r="N201" s="76" t="str">
        <f t="shared" si="32"/>
        <v>Proteções</v>
      </c>
      <c r="O201" s="77" t="str">
        <f t="shared" si="33"/>
        <v>Contenção.GuardaRail</v>
      </c>
      <c r="P201" s="80" t="s">
        <v>258</v>
      </c>
      <c r="Q201" s="86" t="s">
        <v>325</v>
      </c>
      <c r="R201" s="77" t="s">
        <v>1</v>
      </c>
      <c r="S201" s="77" t="str">
        <f t="shared" si="29"/>
        <v>Infraestruturais</v>
      </c>
      <c r="T201" s="77" t="str">
        <f t="shared" si="29"/>
        <v>Rodoviários</v>
      </c>
      <c r="U201" s="77" t="str">
        <f t="shared" si="29"/>
        <v>Proteções</v>
      </c>
      <c r="V201" s="77" t="s">
        <v>1964</v>
      </c>
      <c r="W201" s="78" t="str">
        <f t="shared" si="34"/>
        <v>Key-BRASIL-201</v>
      </c>
      <c r="X201" s="77" t="s">
        <v>1850</v>
      </c>
      <c r="Y201" s="77" t="s">
        <v>1899</v>
      </c>
      <c r="Z201" s="81" t="s">
        <v>1</v>
      </c>
      <c r="AA201" s="77" t="str">
        <f t="shared" si="35"/>
        <v>Continuous side protection element at the edge of the high-speed road.</v>
      </c>
    </row>
    <row r="202" spans="1:27" ht="6.6" customHeight="1" x14ac:dyDescent="0.25">
      <c r="A202" s="72">
        <v>202</v>
      </c>
      <c r="B202" s="73" t="s">
        <v>1968</v>
      </c>
      <c r="C202" s="83" t="s">
        <v>2001</v>
      </c>
      <c r="D202" s="73" t="s">
        <v>2002</v>
      </c>
      <c r="E202" s="84" t="s">
        <v>1405</v>
      </c>
      <c r="F202" s="32" t="s">
        <v>105</v>
      </c>
      <c r="G202" s="85" t="s">
        <v>1</v>
      </c>
      <c r="H202" s="85" t="s">
        <v>1</v>
      </c>
      <c r="I202" s="85" t="s">
        <v>1</v>
      </c>
      <c r="J202" s="85" t="s">
        <v>1</v>
      </c>
      <c r="K202" s="85" t="s">
        <v>1</v>
      </c>
      <c r="L202" s="86" t="str">
        <f t="shared" si="30"/>
        <v>Infraestruturais</v>
      </c>
      <c r="M202" s="76" t="str">
        <f t="shared" si="31"/>
        <v>Rodoviários</v>
      </c>
      <c r="N202" s="76" t="str">
        <f t="shared" si="32"/>
        <v>Obras de Arte Especial</v>
      </c>
      <c r="O202" s="77" t="str">
        <f t="shared" si="33"/>
        <v>Ponte</v>
      </c>
      <c r="P202" s="80" t="s">
        <v>79</v>
      </c>
      <c r="Q202" s="86" t="s">
        <v>227</v>
      </c>
      <c r="R202" s="77" t="s">
        <v>1</v>
      </c>
      <c r="S202" s="77" t="str">
        <f t="shared" si="29"/>
        <v>Infraestruturais</v>
      </c>
      <c r="T202" s="77" t="str">
        <f t="shared" si="29"/>
        <v>Rodoviários</v>
      </c>
      <c r="U202" s="77" t="str">
        <f t="shared" si="29"/>
        <v>Obras de Arte Especial</v>
      </c>
      <c r="V202" s="77" t="s">
        <v>1964</v>
      </c>
      <c r="W202" s="78" t="str">
        <f t="shared" si="34"/>
        <v>Key-BRASIL-202</v>
      </c>
      <c r="X202" s="77" t="s">
        <v>1843</v>
      </c>
      <c r="Y202" s="77" t="s">
        <v>1899</v>
      </c>
      <c r="Z202" s="81" t="s">
        <v>1</v>
      </c>
      <c r="AA202" s="77" t="str">
        <f t="shared" si="35"/>
        <v>Structure subject to the action of load in motion, with variable positioning, here called mobile load, used to overcome a natural obstacle (river, stream, valley, etc.).</v>
      </c>
    </row>
    <row r="203" spans="1:27" ht="6.6" customHeight="1" x14ac:dyDescent="0.25">
      <c r="A203" s="72">
        <v>203</v>
      </c>
      <c r="B203" s="73" t="s">
        <v>1968</v>
      </c>
      <c r="C203" s="83" t="s">
        <v>2001</v>
      </c>
      <c r="D203" s="73" t="s">
        <v>2002</v>
      </c>
      <c r="E203" s="84" t="s">
        <v>1405</v>
      </c>
      <c r="F203" s="32" t="s">
        <v>106</v>
      </c>
      <c r="G203" s="85" t="s">
        <v>1</v>
      </c>
      <c r="H203" s="85" t="s">
        <v>1</v>
      </c>
      <c r="I203" s="85" t="s">
        <v>1</v>
      </c>
      <c r="J203" s="85" t="s">
        <v>1</v>
      </c>
      <c r="K203" s="85" t="s">
        <v>1</v>
      </c>
      <c r="L203" s="86" t="str">
        <f t="shared" si="30"/>
        <v>Infraestruturais</v>
      </c>
      <c r="M203" s="76" t="str">
        <f t="shared" si="31"/>
        <v>Rodoviários</v>
      </c>
      <c r="N203" s="76" t="str">
        <f t="shared" si="32"/>
        <v>Obras de Arte Especial</v>
      </c>
      <c r="O203" s="77" t="str">
        <f t="shared" si="33"/>
        <v>Viaduto</v>
      </c>
      <c r="P203" s="80" t="s">
        <v>107</v>
      </c>
      <c r="Q203" s="86" t="s">
        <v>228</v>
      </c>
      <c r="R203" s="77" t="s">
        <v>1</v>
      </c>
      <c r="S203" s="77" t="str">
        <f t="shared" si="29"/>
        <v>Infraestruturais</v>
      </c>
      <c r="T203" s="77" t="str">
        <f t="shared" si="29"/>
        <v>Rodoviários</v>
      </c>
      <c r="U203" s="77" t="str">
        <f t="shared" si="29"/>
        <v>Obras de Arte Especial</v>
      </c>
      <c r="V203" s="77" t="s">
        <v>1964</v>
      </c>
      <c r="W203" s="78" t="str">
        <f t="shared" si="34"/>
        <v>Key-BRASIL-203</v>
      </c>
      <c r="X203" s="77" t="s">
        <v>1843</v>
      </c>
      <c r="Y203" s="77" t="s">
        <v>1899</v>
      </c>
      <c r="Z203" s="81" t="s">
        <v>1</v>
      </c>
      <c r="AA203" s="77" t="str">
        <f t="shared" si="35"/>
        <v>Elevated structure so that vehicles can overcome an artificial obstacle such as an avenue, highway, etc.</v>
      </c>
    </row>
    <row r="204" spans="1:27" ht="6.6" customHeight="1" x14ac:dyDescent="0.25">
      <c r="A204" s="72">
        <v>204</v>
      </c>
      <c r="B204" s="73" t="s">
        <v>1968</v>
      </c>
      <c r="C204" s="83" t="s">
        <v>2001</v>
      </c>
      <c r="D204" s="73" t="s">
        <v>2002</v>
      </c>
      <c r="E204" s="84" t="s">
        <v>1405</v>
      </c>
      <c r="F204" s="32" t="s">
        <v>1347</v>
      </c>
      <c r="G204" s="85" t="s">
        <v>1</v>
      </c>
      <c r="H204" s="85" t="s">
        <v>1</v>
      </c>
      <c r="I204" s="85" t="s">
        <v>1</v>
      </c>
      <c r="J204" s="85" t="s">
        <v>1</v>
      </c>
      <c r="K204" s="85" t="s">
        <v>1</v>
      </c>
      <c r="L204" s="86" t="str">
        <f t="shared" si="30"/>
        <v>Infraestruturais</v>
      </c>
      <c r="M204" s="76" t="str">
        <f t="shared" si="31"/>
        <v>Rodoviários</v>
      </c>
      <c r="N204" s="76" t="str">
        <f t="shared" si="32"/>
        <v>Obras de Arte Especial</v>
      </c>
      <c r="O204" s="77" t="str">
        <f t="shared" si="33"/>
        <v>Passarela.Urbana</v>
      </c>
      <c r="P204" s="80" t="s">
        <v>108</v>
      </c>
      <c r="Q204" s="86" t="s">
        <v>229</v>
      </c>
      <c r="R204" s="77" t="s">
        <v>1</v>
      </c>
      <c r="S204" s="77" t="str">
        <f t="shared" si="29"/>
        <v>Infraestruturais</v>
      </c>
      <c r="T204" s="77" t="str">
        <f t="shared" si="29"/>
        <v>Rodoviários</v>
      </c>
      <c r="U204" s="77" t="str">
        <f t="shared" si="29"/>
        <v>Obras de Arte Especial</v>
      </c>
      <c r="V204" s="77" t="s">
        <v>1964</v>
      </c>
      <c r="W204" s="78" t="str">
        <f t="shared" si="34"/>
        <v>Key-BRASIL-204</v>
      </c>
      <c r="X204" s="77" t="s">
        <v>1843</v>
      </c>
      <c r="Y204" s="77" t="s">
        <v>1887</v>
      </c>
      <c r="Z204" s="81" t="s">
        <v>1</v>
      </c>
      <c r="AA204" s="77" t="str">
        <f t="shared" si="35"/>
        <v>Elevated and elongated structure, intended for pedestrians to overcome natural and/or artificial obstacles. Exclusively for pedestrians and/or cyclists.</v>
      </c>
    </row>
    <row r="205" spans="1:27" ht="6.6" customHeight="1" x14ac:dyDescent="0.25">
      <c r="A205" s="72">
        <v>205</v>
      </c>
      <c r="B205" s="73" t="s">
        <v>1968</v>
      </c>
      <c r="C205" s="83" t="s">
        <v>2001</v>
      </c>
      <c r="D205" s="73" t="s">
        <v>2002</v>
      </c>
      <c r="E205" s="84" t="s">
        <v>1405</v>
      </c>
      <c r="F205" s="32" t="s">
        <v>263</v>
      </c>
      <c r="G205" s="85" t="s">
        <v>1</v>
      </c>
      <c r="H205" s="85" t="s">
        <v>1</v>
      </c>
      <c r="I205" s="85" t="s">
        <v>1</v>
      </c>
      <c r="J205" s="85" t="s">
        <v>1</v>
      </c>
      <c r="K205" s="85" t="s">
        <v>1</v>
      </c>
      <c r="L205" s="86" t="str">
        <f t="shared" si="30"/>
        <v>Infraestruturais</v>
      </c>
      <c r="M205" s="76" t="str">
        <f t="shared" si="31"/>
        <v>Rodoviários</v>
      </c>
      <c r="N205" s="76" t="str">
        <f t="shared" si="32"/>
        <v>Obras de Arte Especial</v>
      </c>
      <c r="O205" s="77" t="str">
        <f t="shared" si="33"/>
        <v>Túnel.Terrestre</v>
      </c>
      <c r="P205" s="80" t="s">
        <v>175</v>
      </c>
      <c r="Q205" s="86" t="s">
        <v>266</v>
      </c>
      <c r="R205" s="77" t="s">
        <v>1</v>
      </c>
      <c r="S205" s="77" t="str">
        <f t="shared" si="29"/>
        <v>Infraestruturais</v>
      </c>
      <c r="T205" s="77" t="str">
        <f t="shared" si="29"/>
        <v>Rodoviários</v>
      </c>
      <c r="U205" s="77" t="str">
        <f t="shared" si="29"/>
        <v>Obras de Arte Especial</v>
      </c>
      <c r="V205" s="77" t="s">
        <v>1964</v>
      </c>
      <c r="W205" s="78" t="str">
        <f t="shared" si="34"/>
        <v>Key-BRASIL-205</v>
      </c>
      <c r="X205" s="77" t="s">
        <v>1843</v>
      </c>
      <c r="Y205" s="77" t="s">
        <v>1887</v>
      </c>
      <c r="Z205" s="81" t="s">
        <v>1</v>
      </c>
      <c r="AA205" s="77" t="str">
        <f t="shared" si="35"/>
        <v>An underpass that allows people, vehicles, or trains to move through natural or urban obstacles.</v>
      </c>
    </row>
    <row r="206" spans="1:27" ht="6.6" customHeight="1" x14ac:dyDescent="0.25">
      <c r="A206" s="72">
        <v>206</v>
      </c>
      <c r="B206" s="73" t="s">
        <v>1968</v>
      </c>
      <c r="C206" s="83" t="s">
        <v>2001</v>
      </c>
      <c r="D206" s="73" t="s">
        <v>2002</v>
      </c>
      <c r="E206" s="84" t="s">
        <v>1405</v>
      </c>
      <c r="F206" s="32" t="s">
        <v>264</v>
      </c>
      <c r="G206" s="85" t="s">
        <v>1</v>
      </c>
      <c r="H206" s="85" t="s">
        <v>1</v>
      </c>
      <c r="I206" s="85" t="s">
        <v>1</v>
      </c>
      <c r="J206" s="85" t="s">
        <v>1</v>
      </c>
      <c r="K206" s="85" t="s">
        <v>1</v>
      </c>
      <c r="L206" s="86" t="str">
        <f t="shared" si="30"/>
        <v>Infraestruturais</v>
      </c>
      <c r="M206" s="76" t="str">
        <f t="shared" si="31"/>
        <v>Rodoviários</v>
      </c>
      <c r="N206" s="76" t="str">
        <f t="shared" si="32"/>
        <v>Obras de Arte Especial</v>
      </c>
      <c r="O206" s="77" t="str">
        <f t="shared" si="33"/>
        <v>Túnel.Acuático</v>
      </c>
      <c r="P206" s="80" t="s">
        <v>265</v>
      </c>
      <c r="Q206" s="86" t="s">
        <v>267</v>
      </c>
      <c r="R206" s="77" t="s">
        <v>1</v>
      </c>
      <c r="S206" s="77" t="str">
        <f t="shared" si="29"/>
        <v>Infraestruturais</v>
      </c>
      <c r="T206" s="77" t="str">
        <f t="shared" si="29"/>
        <v>Rodoviários</v>
      </c>
      <c r="U206" s="77" t="str">
        <f t="shared" si="29"/>
        <v>Obras de Arte Especial</v>
      </c>
      <c r="V206" s="77" t="s">
        <v>1964</v>
      </c>
      <c r="W206" s="78" t="str">
        <f t="shared" si="34"/>
        <v>Key-BRASIL-206</v>
      </c>
      <c r="X206" s="77" t="s">
        <v>1843</v>
      </c>
      <c r="Y206" s="77" t="s">
        <v>1887</v>
      </c>
      <c r="Z206" s="81" t="s">
        <v>1</v>
      </c>
      <c r="AA206" s="77" t="str">
        <f t="shared" si="35"/>
        <v>Subfluvial or maritime passage that allows the movement of people, vehicles or trains.</v>
      </c>
    </row>
    <row r="207" spans="1:27" ht="6.6" customHeight="1" x14ac:dyDescent="0.25">
      <c r="A207" s="72">
        <v>207</v>
      </c>
      <c r="B207" s="73" t="s">
        <v>1968</v>
      </c>
      <c r="C207" s="83" t="s">
        <v>2001</v>
      </c>
      <c r="D207" s="73" t="s">
        <v>2002</v>
      </c>
      <c r="E207" s="84" t="s">
        <v>1405</v>
      </c>
      <c r="F207" s="32" t="s">
        <v>1346</v>
      </c>
      <c r="G207" s="85" t="s">
        <v>1</v>
      </c>
      <c r="H207" s="85" t="s">
        <v>1</v>
      </c>
      <c r="I207" s="85" t="s">
        <v>1</v>
      </c>
      <c r="J207" s="85" t="s">
        <v>1</v>
      </c>
      <c r="K207" s="85" t="s">
        <v>1</v>
      </c>
      <c r="L207" s="86" t="str">
        <f t="shared" si="30"/>
        <v>Infraestruturais</v>
      </c>
      <c r="M207" s="76" t="str">
        <f t="shared" si="31"/>
        <v>Rodoviários</v>
      </c>
      <c r="N207" s="76" t="str">
        <f t="shared" si="32"/>
        <v>Obras de Arte Especial</v>
      </c>
      <c r="O207" s="77" t="str">
        <f t="shared" si="33"/>
        <v>Edifício.Garagem</v>
      </c>
      <c r="P207" s="80" t="s">
        <v>109</v>
      </c>
      <c r="Q207" s="86" t="s">
        <v>230</v>
      </c>
      <c r="R207" s="77" t="s">
        <v>1</v>
      </c>
      <c r="S207" s="77" t="str">
        <f t="shared" si="29"/>
        <v>Infraestruturais</v>
      </c>
      <c r="T207" s="77" t="str">
        <f t="shared" si="29"/>
        <v>Rodoviários</v>
      </c>
      <c r="U207" s="77" t="str">
        <f t="shared" si="29"/>
        <v>Obras de Arte Especial</v>
      </c>
      <c r="V207" s="77" t="s">
        <v>1964</v>
      </c>
      <c r="W207" s="78" t="str">
        <f t="shared" si="34"/>
        <v>Key-BRASIL-207</v>
      </c>
      <c r="X207" s="77" t="s">
        <v>1843</v>
      </c>
      <c r="Y207" s="77" t="s">
        <v>1900</v>
      </c>
      <c r="Z207" s="81" t="s">
        <v>1</v>
      </c>
      <c r="AA207" s="77" t="str">
        <f t="shared" si="35"/>
        <v>Buildings with any floor, with several floors, with access ramps or elevators intended for the parking of light vehicles, for low-speed circulation.</v>
      </c>
    </row>
    <row r="208" spans="1:27" ht="6.6" customHeight="1" x14ac:dyDescent="0.25">
      <c r="A208" s="72">
        <v>208</v>
      </c>
      <c r="B208" s="73" t="s">
        <v>1968</v>
      </c>
      <c r="C208" s="83" t="s">
        <v>2001</v>
      </c>
      <c r="D208" s="73" t="s">
        <v>2002</v>
      </c>
      <c r="E208" s="84" t="s">
        <v>1419</v>
      </c>
      <c r="F208" s="73" t="s">
        <v>130</v>
      </c>
      <c r="G208" s="75" t="s">
        <v>1</v>
      </c>
      <c r="H208" s="75" t="s">
        <v>1</v>
      </c>
      <c r="I208" s="75" t="s">
        <v>1</v>
      </c>
      <c r="J208" s="75" t="s">
        <v>1</v>
      </c>
      <c r="K208" s="75" t="s">
        <v>1</v>
      </c>
      <c r="L208" s="76" t="str">
        <f t="shared" ref="L208:M228" si="36">CONCATENATE("", C208)</f>
        <v>Infraestruturais</v>
      </c>
      <c r="M208" s="76" t="str">
        <f t="shared" si="36"/>
        <v>Rodoviários</v>
      </c>
      <c r="N208" s="76" t="str">
        <f t="shared" si="32"/>
        <v>OAE Partes</v>
      </c>
      <c r="O208" s="77" t="str">
        <f t="shared" si="33"/>
        <v>OAE.Aparelho.Apóio</v>
      </c>
      <c r="P208" s="77" t="s">
        <v>153</v>
      </c>
      <c r="Q208" s="86" t="s">
        <v>231</v>
      </c>
      <c r="R208" s="77" t="s">
        <v>1</v>
      </c>
      <c r="S208" s="77" t="str">
        <f t="shared" si="29"/>
        <v>Infraestruturais</v>
      </c>
      <c r="T208" s="77" t="str">
        <f t="shared" si="29"/>
        <v>Rodoviários</v>
      </c>
      <c r="U208" s="77" t="str">
        <f t="shared" si="29"/>
        <v>OAE Partes</v>
      </c>
      <c r="V208" s="77" t="s">
        <v>1964</v>
      </c>
      <c r="W208" s="78" t="str">
        <f t="shared" si="34"/>
        <v>Key-BRASIL-208</v>
      </c>
      <c r="X208" s="77" t="s">
        <v>1851</v>
      </c>
      <c r="Y208" s="77" t="s">
        <v>1901</v>
      </c>
      <c r="Z208" s="81" t="s">
        <v>1</v>
      </c>
      <c r="AA208" s="77" t="str">
        <f t="shared" si="35"/>
        <v>Part of a Special Work of Art: A type of structural element generally used to transmit the loads from the deck to the pylon.</v>
      </c>
    </row>
    <row r="209" spans="1:27" ht="6.6" customHeight="1" x14ac:dyDescent="0.25">
      <c r="A209" s="72">
        <v>209</v>
      </c>
      <c r="B209" s="73" t="s">
        <v>1968</v>
      </c>
      <c r="C209" s="83" t="s">
        <v>2001</v>
      </c>
      <c r="D209" s="73" t="s">
        <v>2002</v>
      </c>
      <c r="E209" s="84" t="s">
        <v>1419</v>
      </c>
      <c r="F209" s="73" t="s">
        <v>131</v>
      </c>
      <c r="G209" s="75" t="s">
        <v>1</v>
      </c>
      <c r="H209" s="75" t="s">
        <v>1</v>
      </c>
      <c r="I209" s="75" t="s">
        <v>1</v>
      </c>
      <c r="J209" s="75" t="s">
        <v>1</v>
      </c>
      <c r="K209" s="75" t="s">
        <v>1</v>
      </c>
      <c r="L209" s="76" t="str">
        <f t="shared" si="36"/>
        <v>Infraestruturais</v>
      </c>
      <c r="M209" s="76" t="str">
        <f t="shared" si="36"/>
        <v>Rodoviários</v>
      </c>
      <c r="N209" s="76" t="str">
        <f t="shared" si="32"/>
        <v>OAE Partes</v>
      </c>
      <c r="O209" s="77" t="str">
        <f t="shared" si="33"/>
        <v>OAE.Estaca</v>
      </c>
      <c r="P209" s="77" t="s">
        <v>154</v>
      </c>
      <c r="Q209" s="86" t="s">
        <v>232</v>
      </c>
      <c r="R209" s="77" t="s">
        <v>1</v>
      </c>
      <c r="S209" s="77" t="str">
        <f t="shared" si="29"/>
        <v>Infraestruturais</v>
      </c>
      <c r="T209" s="77" t="str">
        <f t="shared" si="29"/>
        <v>Rodoviários</v>
      </c>
      <c r="U209" s="77" t="str">
        <f t="shared" si="29"/>
        <v>OAE Partes</v>
      </c>
      <c r="V209" s="77" t="s">
        <v>1964</v>
      </c>
      <c r="W209" s="78" t="str">
        <f t="shared" si="34"/>
        <v>Key-BRASIL-209</v>
      </c>
      <c r="X209" s="77" t="s">
        <v>1852</v>
      </c>
      <c r="Y209" s="77" t="s">
        <v>1901</v>
      </c>
      <c r="Z209" s="81" t="s">
        <v>1</v>
      </c>
      <c r="AA209" s="77" t="str">
        <f t="shared" si="35"/>
        <v>Part of a Special Artwork: Bridge foundation piles.</v>
      </c>
    </row>
    <row r="210" spans="1:27" ht="6.6" customHeight="1" x14ac:dyDescent="0.25">
      <c r="A210" s="72">
        <v>210</v>
      </c>
      <c r="B210" s="73" t="s">
        <v>1968</v>
      </c>
      <c r="C210" s="83" t="s">
        <v>2001</v>
      </c>
      <c r="D210" s="73" t="s">
        <v>2002</v>
      </c>
      <c r="E210" s="84" t="s">
        <v>1419</v>
      </c>
      <c r="F210" s="73" t="s">
        <v>132</v>
      </c>
      <c r="G210" s="75" t="s">
        <v>1</v>
      </c>
      <c r="H210" s="75" t="s">
        <v>1</v>
      </c>
      <c r="I210" s="75" t="s">
        <v>1</v>
      </c>
      <c r="J210" s="75" t="s">
        <v>1</v>
      </c>
      <c r="K210" s="75" t="s">
        <v>1</v>
      </c>
      <c r="L210" s="76" t="str">
        <f t="shared" si="36"/>
        <v>Infraestruturais</v>
      </c>
      <c r="M210" s="76" t="str">
        <f t="shared" si="36"/>
        <v>Rodoviários</v>
      </c>
      <c r="N210" s="76" t="str">
        <f t="shared" si="32"/>
        <v>OAE Partes</v>
      </c>
      <c r="O210" s="77" t="str">
        <f t="shared" si="33"/>
        <v>OAE.Fundação</v>
      </c>
      <c r="P210" s="77" t="s">
        <v>155</v>
      </c>
      <c r="Q210" s="86" t="s">
        <v>233</v>
      </c>
      <c r="R210" s="77" t="s">
        <v>1</v>
      </c>
      <c r="S210" s="77" t="str">
        <f t="shared" si="29"/>
        <v>Infraestruturais</v>
      </c>
      <c r="T210" s="77" t="str">
        <f t="shared" si="29"/>
        <v>Rodoviários</v>
      </c>
      <c r="U210" s="77" t="str">
        <f t="shared" si="29"/>
        <v>OAE Partes</v>
      </c>
      <c r="V210" s="77" t="s">
        <v>1964</v>
      </c>
      <c r="W210" s="78" t="str">
        <f t="shared" si="34"/>
        <v>Key-BRASIL-210</v>
      </c>
      <c r="X210" s="77" t="s">
        <v>1853</v>
      </c>
      <c r="Y210" s="77" t="s">
        <v>1901</v>
      </c>
      <c r="Z210" s="81" t="s">
        <v>1</v>
      </c>
      <c r="AA210" s="77" t="str">
        <f t="shared" si="35"/>
        <v>Part of a Special Artwork: Bridge Foundation Blocks.</v>
      </c>
    </row>
    <row r="211" spans="1:27" ht="6.6" customHeight="1" x14ac:dyDescent="0.25">
      <c r="A211" s="72">
        <v>211</v>
      </c>
      <c r="B211" s="73" t="s">
        <v>1968</v>
      </c>
      <c r="C211" s="83" t="s">
        <v>2001</v>
      </c>
      <c r="D211" s="73" t="s">
        <v>2002</v>
      </c>
      <c r="E211" s="84" t="s">
        <v>1419</v>
      </c>
      <c r="F211" s="73" t="s">
        <v>133</v>
      </c>
      <c r="G211" s="75" t="s">
        <v>1</v>
      </c>
      <c r="H211" s="75" t="s">
        <v>1</v>
      </c>
      <c r="I211" s="75" t="s">
        <v>1</v>
      </c>
      <c r="J211" s="75" t="s">
        <v>1</v>
      </c>
      <c r="K211" s="75" t="s">
        <v>1</v>
      </c>
      <c r="L211" s="76" t="str">
        <f t="shared" si="36"/>
        <v>Infraestruturais</v>
      </c>
      <c r="M211" s="76" t="str">
        <f t="shared" si="36"/>
        <v>Rodoviários</v>
      </c>
      <c r="N211" s="76" t="str">
        <f t="shared" si="32"/>
        <v>OAE Partes</v>
      </c>
      <c r="O211" s="77" t="str">
        <f t="shared" si="33"/>
        <v>OAE.Encontro</v>
      </c>
      <c r="P211" s="77" t="s">
        <v>156</v>
      </c>
      <c r="Q211" s="86" t="s">
        <v>234</v>
      </c>
      <c r="R211" s="77" t="s">
        <v>1</v>
      </c>
      <c r="S211" s="77" t="str">
        <f t="shared" si="29"/>
        <v>Infraestruturais</v>
      </c>
      <c r="T211" s="77" t="str">
        <f t="shared" si="29"/>
        <v>Rodoviários</v>
      </c>
      <c r="U211" s="77" t="str">
        <f t="shared" si="29"/>
        <v>OAE Partes</v>
      </c>
      <c r="V211" s="77" t="s">
        <v>1964</v>
      </c>
      <c r="W211" s="78" t="str">
        <f t="shared" si="34"/>
        <v>Key-BRASIL-211</v>
      </c>
      <c r="X211" s="77" t="s">
        <v>1854</v>
      </c>
      <c r="Y211" s="77" t="s">
        <v>1901</v>
      </c>
      <c r="Z211" s="81" t="s">
        <v>1</v>
      </c>
      <c r="AA211" s="77" t="str">
        <f t="shared" si="35"/>
        <v>Part of a Special Work of Art: Structure where the road network meets the bridge heads.</v>
      </c>
    </row>
    <row r="212" spans="1:27" ht="6.6" customHeight="1" x14ac:dyDescent="0.25">
      <c r="A212" s="72">
        <v>212</v>
      </c>
      <c r="B212" s="73" t="s">
        <v>1968</v>
      </c>
      <c r="C212" s="83" t="s">
        <v>2001</v>
      </c>
      <c r="D212" s="73" t="s">
        <v>2002</v>
      </c>
      <c r="E212" s="84" t="s">
        <v>1419</v>
      </c>
      <c r="F212" s="73" t="s">
        <v>134</v>
      </c>
      <c r="G212" s="75" t="s">
        <v>1</v>
      </c>
      <c r="H212" s="75" t="s">
        <v>1</v>
      </c>
      <c r="I212" s="75" t="s">
        <v>1</v>
      </c>
      <c r="J212" s="75" t="s">
        <v>1</v>
      </c>
      <c r="K212" s="75" t="s">
        <v>1</v>
      </c>
      <c r="L212" s="76" t="str">
        <f t="shared" si="36"/>
        <v>Infraestruturais</v>
      </c>
      <c r="M212" s="76" t="str">
        <f t="shared" si="36"/>
        <v>Rodoviários</v>
      </c>
      <c r="N212" s="76" t="str">
        <f t="shared" si="32"/>
        <v>OAE Partes</v>
      </c>
      <c r="O212" s="77" t="str">
        <f t="shared" si="33"/>
        <v>OAE.Pilone</v>
      </c>
      <c r="P212" s="77" t="s">
        <v>157</v>
      </c>
      <c r="Q212" s="86" t="s">
        <v>235</v>
      </c>
      <c r="R212" s="77" t="s">
        <v>1</v>
      </c>
      <c r="S212" s="77" t="str">
        <f t="shared" si="29"/>
        <v>Infraestruturais</v>
      </c>
      <c r="T212" s="77" t="str">
        <f t="shared" si="29"/>
        <v>Rodoviários</v>
      </c>
      <c r="U212" s="77" t="str">
        <f t="shared" si="29"/>
        <v>OAE Partes</v>
      </c>
      <c r="V212" s="77" t="s">
        <v>1964</v>
      </c>
      <c r="W212" s="78" t="str">
        <f t="shared" si="34"/>
        <v>Key-BRASIL-212</v>
      </c>
      <c r="X212" s="77" t="s">
        <v>1855</v>
      </c>
      <c r="Y212" s="77" t="s">
        <v>1901</v>
      </c>
      <c r="Z212" s="81" t="s">
        <v>1</v>
      </c>
      <c r="AA212" s="77" t="str">
        <f t="shared" si="35"/>
        <v>Part of a Special Work of Art: Pillars supporting the deck also called Pier.</v>
      </c>
    </row>
    <row r="213" spans="1:27" ht="6.6" customHeight="1" x14ac:dyDescent="0.25">
      <c r="A213" s="72">
        <v>213</v>
      </c>
      <c r="B213" s="73" t="s">
        <v>1968</v>
      </c>
      <c r="C213" s="83" t="s">
        <v>2001</v>
      </c>
      <c r="D213" s="73" t="s">
        <v>2002</v>
      </c>
      <c r="E213" s="84" t="s">
        <v>1419</v>
      </c>
      <c r="F213" s="73" t="s">
        <v>135</v>
      </c>
      <c r="G213" s="75" t="s">
        <v>1</v>
      </c>
      <c r="H213" s="75" t="s">
        <v>1</v>
      </c>
      <c r="I213" s="75" t="s">
        <v>1</v>
      </c>
      <c r="J213" s="75" t="s">
        <v>1</v>
      </c>
      <c r="K213" s="75" t="s">
        <v>1</v>
      </c>
      <c r="L213" s="76" t="str">
        <f t="shared" si="36"/>
        <v>Infraestruturais</v>
      </c>
      <c r="M213" s="76" t="str">
        <f t="shared" si="36"/>
        <v>Rodoviários</v>
      </c>
      <c r="N213" s="76" t="str">
        <f t="shared" si="32"/>
        <v>OAE Partes</v>
      </c>
      <c r="O213" s="77" t="str">
        <f t="shared" si="33"/>
        <v>OAE.Arco</v>
      </c>
      <c r="P213" s="77" t="s">
        <v>158</v>
      </c>
      <c r="Q213" s="86" t="s">
        <v>236</v>
      </c>
      <c r="R213" s="77" t="s">
        <v>1</v>
      </c>
      <c r="S213" s="77" t="str">
        <f t="shared" si="29"/>
        <v>Infraestruturais</v>
      </c>
      <c r="T213" s="77" t="str">
        <f t="shared" si="29"/>
        <v>Rodoviários</v>
      </c>
      <c r="U213" s="77" t="str">
        <f t="shared" si="29"/>
        <v>OAE Partes</v>
      </c>
      <c r="V213" s="77" t="s">
        <v>1964</v>
      </c>
      <c r="W213" s="78" t="str">
        <f t="shared" si="34"/>
        <v>Key-BRASIL-213</v>
      </c>
      <c r="X213" s="77" t="s">
        <v>1856</v>
      </c>
      <c r="Y213" s="77" t="s">
        <v>1901</v>
      </c>
      <c r="Z213" s="81" t="s">
        <v>1</v>
      </c>
      <c r="AA213" s="77" t="str">
        <f t="shared" si="35"/>
        <v>Part of a Special Work of Art: Arched concrete structure to support the bridge.</v>
      </c>
    </row>
    <row r="214" spans="1:27" ht="6.6" customHeight="1" x14ac:dyDescent="0.25">
      <c r="A214" s="72">
        <v>214</v>
      </c>
      <c r="B214" s="73" t="s">
        <v>1968</v>
      </c>
      <c r="C214" s="83" t="s">
        <v>2001</v>
      </c>
      <c r="D214" s="73" t="s">
        <v>2002</v>
      </c>
      <c r="E214" s="84" t="s">
        <v>1419</v>
      </c>
      <c r="F214" s="73" t="s">
        <v>136</v>
      </c>
      <c r="G214" s="75" t="s">
        <v>1</v>
      </c>
      <c r="H214" s="75" t="s">
        <v>1</v>
      </c>
      <c r="I214" s="75" t="s">
        <v>1</v>
      </c>
      <c r="J214" s="75" t="s">
        <v>1</v>
      </c>
      <c r="K214" s="75" t="s">
        <v>1</v>
      </c>
      <c r="L214" s="76" t="str">
        <f t="shared" si="36"/>
        <v>Infraestruturais</v>
      </c>
      <c r="M214" s="76" t="str">
        <f t="shared" si="36"/>
        <v>Rodoviários</v>
      </c>
      <c r="N214" s="76" t="str">
        <f t="shared" si="32"/>
        <v>OAE Partes</v>
      </c>
      <c r="O214" s="77" t="str">
        <f t="shared" si="33"/>
        <v>OAE.Torre</v>
      </c>
      <c r="P214" s="77" t="s">
        <v>159</v>
      </c>
      <c r="Q214" s="86" t="s">
        <v>237</v>
      </c>
      <c r="R214" s="77" t="s">
        <v>1</v>
      </c>
      <c r="S214" s="77" t="str">
        <f t="shared" si="29"/>
        <v>Infraestruturais</v>
      </c>
      <c r="T214" s="77" t="str">
        <f t="shared" si="29"/>
        <v>Rodoviários</v>
      </c>
      <c r="U214" s="77" t="str">
        <f t="shared" si="29"/>
        <v>OAE Partes</v>
      </c>
      <c r="V214" s="77" t="s">
        <v>1964</v>
      </c>
      <c r="W214" s="78" t="str">
        <f t="shared" si="34"/>
        <v>Key-BRASIL-214</v>
      </c>
      <c r="X214" s="77" t="s">
        <v>1857</v>
      </c>
      <c r="Y214" s="77" t="s">
        <v>1901</v>
      </c>
      <c r="Z214" s="81" t="s">
        <v>1</v>
      </c>
      <c r="AA214" s="77" t="str">
        <f t="shared" si="35"/>
        <v>Part of a Special Work of Art: Vertical concrete structure above the deck to support the bridge cables.</v>
      </c>
    </row>
    <row r="215" spans="1:27" ht="6.6" customHeight="1" x14ac:dyDescent="0.25">
      <c r="A215" s="72">
        <v>215</v>
      </c>
      <c r="B215" s="73" t="s">
        <v>1968</v>
      </c>
      <c r="C215" s="83" t="s">
        <v>2001</v>
      </c>
      <c r="D215" s="73" t="s">
        <v>2002</v>
      </c>
      <c r="E215" s="84" t="s">
        <v>1419</v>
      </c>
      <c r="F215" s="73" t="s">
        <v>137</v>
      </c>
      <c r="G215" s="75" t="s">
        <v>1</v>
      </c>
      <c r="H215" s="75" t="s">
        <v>1</v>
      </c>
      <c r="I215" s="75" t="s">
        <v>1</v>
      </c>
      <c r="J215" s="75" t="s">
        <v>1</v>
      </c>
      <c r="K215" s="75" t="s">
        <v>1</v>
      </c>
      <c r="L215" s="76" t="str">
        <f t="shared" si="36"/>
        <v>Infraestruturais</v>
      </c>
      <c r="M215" s="76" t="str">
        <f t="shared" si="36"/>
        <v>Rodoviários</v>
      </c>
      <c r="N215" s="76" t="str">
        <f t="shared" si="32"/>
        <v>OAE Partes</v>
      </c>
      <c r="O215" s="77" t="str">
        <f t="shared" si="33"/>
        <v>OAE.Mastro</v>
      </c>
      <c r="P215" s="77" t="s">
        <v>160</v>
      </c>
      <c r="Q215" s="86" t="s">
        <v>238</v>
      </c>
      <c r="R215" s="77" t="s">
        <v>1</v>
      </c>
      <c r="S215" s="77" t="str">
        <f t="shared" si="29"/>
        <v>Infraestruturais</v>
      </c>
      <c r="T215" s="77" t="str">
        <f t="shared" si="29"/>
        <v>Rodoviários</v>
      </c>
      <c r="U215" s="77" t="str">
        <f t="shared" si="29"/>
        <v>OAE Partes</v>
      </c>
      <c r="V215" s="77" t="s">
        <v>1964</v>
      </c>
      <c r="W215" s="78" t="str">
        <f t="shared" si="34"/>
        <v>Key-BRASIL-215</v>
      </c>
      <c r="X215" s="77" t="s">
        <v>1857</v>
      </c>
      <c r="Y215" s="77" t="s">
        <v>1901</v>
      </c>
      <c r="Z215" s="81" t="s">
        <v>1</v>
      </c>
      <c r="AA215" s="77" t="str">
        <f t="shared" si="35"/>
        <v>Part of a Special Work of Art: Vertical metallic structure above the deck to support the bridge cables.</v>
      </c>
    </row>
    <row r="216" spans="1:27" ht="6.6" customHeight="1" x14ac:dyDescent="0.25">
      <c r="A216" s="72">
        <v>216</v>
      </c>
      <c r="B216" s="73" t="s">
        <v>1968</v>
      </c>
      <c r="C216" s="83" t="s">
        <v>2001</v>
      </c>
      <c r="D216" s="73" t="s">
        <v>2002</v>
      </c>
      <c r="E216" s="84" t="s">
        <v>1419</v>
      </c>
      <c r="F216" s="73" t="s">
        <v>138</v>
      </c>
      <c r="G216" s="75" t="s">
        <v>1</v>
      </c>
      <c r="H216" s="75" t="s">
        <v>1</v>
      </c>
      <c r="I216" s="75" t="s">
        <v>1</v>
      </c>
      <c r="J216" s="75" t="s">
        <v>1</v>
      </c>
      <c r="K216" s="75" t="s">
        <v>1</v>
      </c>
      <c r="L216" s="76" t="str">
        <f t="shared" si="36"/>
        <v>Infraestruturais</v>
      </c>
      <c r="M216" s="76" t="str">
        <f t="shared" si="36"/>
        <v>Rodoviários</v>
      </c>
      <c r="N216" s="76" t="str">
        <f t="shared" si="32"/>
        <v>OAE Partes</v>
      </c>
      <c r="O216" s="77" t="str">
        <f t="shared" si="33"/>
        <v>OAE.Tabuleiro</v>
      </c>
      <c r="P216" s="77" t="s">
        <v>161</v>
      </c>
      <c r="Q216" s="86" t="s">
        <v>239</v>
      </c>
      <c r="R216" s="77" t="s">
        <v>1</v>
      </c>
      <c r="S216" s="77" t="str">
        <f t="shared" si="29"/>
        <v>Infraestruturais</v>
      </c>
      <c r="T216" s="77" t="str">
        <f t="shared" si="29"/>
        <v>Rodoviários</v>
      </c>
      <c r="U216" s="77" t="str">
        <f t="shared" si="29"/>
        <v>OAE Partes</v>
      </c>
      <c r="V216" s="77" t="s">
        <v>1964</v>
      </c>
      <c r="W216" s="78" t="str">
        <f t="shared" si="34"/>
        <v>Key-BRASIL-216</v>
      </c>
      <c r="X216" s="77" t="s">
        <v>1858</v>
      </c>
      <c r="Y216" s="77" t="s">
        <v>1901</v>
      </c>
      <c r="Z216" s="81" t="s">
        <v>1</v>
      </c>
      <c r="AA216" s="77" t="str">
        <f t="shared" si="35"/>
        <v>Part of a Special Artwork: Segments of the bridge deck. The segments can be separated by construction or expansion joints.</v>
      </c>
    </row>
    <row r="217" spans="1:27" ht="6.6" customHeight="1" x14ac:dyDescent="0.25">
      <c r="A217" s="72">
        <v>217</v>
      </c>
      <c r="B217" s="73" t="s">
        <v>1968</v>
      </c>
      <c r="C217" s="83" t="s">
        <v>2001</v>
      </c>
      <c r="D217" s="73" t="s">
        <v>2002</v>
      </c>
      <c r="E217" s="84" t="s">
        <v>1419</v>
      </c>
      <c r="F217" s="73" t="s">
        <v>139</v>
      </c>
      <c r="G217" s="75" t="s">
        <v>1</v>
      </c>
      <c r="H217" s="75" t="s">
        <v>1</v>
      </c>
      <c r="I217" s="75" t="s">
        <v>1</v>
      </c>
      <c r="J217" s="75" t="s">
        <v>1</v>
      </c>
      <c r="K217" s="75" t="s">
        <v>1</v>
      </c>
      <c r="L217" s="76" t="str">
        <f t="shared" si="36"/>
        <v>Infraestruturais</v>
      </c>
      <c r="M217" s="76" t="str">
        <f t="shared" si="36"/>
        <v>Rodoviários</v>
      </c>
      <c r="N217" s="76" t="str">
        <f t="shared" si="32"/>
        <v>OAE Partes</v>
      </c>
      <c r="O217" s="77" t="str">
        <f t="shared" si="33"/>
        <v>OAE.Estai</v>
      </c>
      <c r="P217" s="77" t="s">
        <v>162</v>
      </c>
      <c r="Q217" s="86" t="s">
        <v>240</v>
      </c>
      <c r="R217" s="77" t="s">
        <v>1</v>
      </c>
      <c r="S217" s="77" t="str">
        <f t="shared" si="29"/>
        <v>Infraestruturais</v>
      </c>
      <c r="T217" s="77" t="str">
        <f t="shared" si="29"/>
        <v>Rodoviários</v>
      </c>
      <c r="U217" s="77" t="str">
        <f t="shared" si="29"/>
        <v>OAE Partes</v>
      </c>
      <c r="V217" s="77" t="s">
        <v>1964</v>
      </c>
      <c r="W217" s="78" t="str">
        <f t="shared" si="34"/>
        <v>Key-BRASIL-217</v>
      </c>
      <c r="X217" s="77" t="s">
        <v>1859</v>
      </c>
      <c r="Y217" s="77" t="s">
        <v>1901</v>
      </c>
      <c r="Z217" s="81" t="s">
        <v>1</v>
      </c>
      <c r="AA217" s="77" t="str">
        <f t="shared" si="35"/>
        <v>Part of a Special Work of Art: Support cables of a cable-stayed bridge.</v>
      </c>
    </row>
    <row r="218" spans="1:27" ht="6.6" customHeight="1" x14ac:dyDescent="0.25">
      <c r="A218" s="72">
        <v>218</v>
      </c>
      <c r="B218" s="73" t="s">
        <v>1968</v>
      </c>
      <c r="C218" s="83" t="s">
        <v>2001</v>
      </c>
      <c r="D218" s="73" t="s">
        <v>2002</v>
      </c>
      <c r="E218" s="84" t="s">
        <v>1419</v>
      </c>
      <c r="F218" s="73" t="s">
        <v>140</v>
      </c>
      <c r="G218" s="75" t="s">
        <v>1</v>
      </c>
      <c r="H218" s="75" t="s">
        <v>1</v>
      </c>
      <c r="I218" s="75" t="s">
        <v>1</v>
      </c>
      <c r="J218" s="75" t="s">
        <v>1</v>
      </c>
      <c r="K218" s="75" t="s">
        <v>1</v>
      </c>
      <c r="L218" s="76" t="str">
        <f t="shared" si="36"/>
        <v>Infraestruturais</v>
      </c>
      <c r="M218" s="76" t="str">
        <f t="shared" si="36"/>
        <v>Rodoviários</v>
      </c>
      <c r="N218" s="76" t="str">
        <f t="shared" si="32"/>
        <v>OAE Partes</v>
      </c>
      <c r="O218" s="77" t="str">
        <f t="shared" si="33"/>
        <v>OAE.Longarina.de.Bordo</v>
      </c>
      <c r="P218" s="77" t="s">
        <v>163</v>
      </c>
      <c r="Q218" s="86" t="s">
        <v>241</v>
      </c>
      <c r="R218" s="77" t="s">
        <v>1</v>
      </c>
      <c r="S218" s="77" t="str">
        <f t="shared" si="29"/>
        <v>Infraestruturais</v>
      </c>
      <c r="T218" s="77" t="str">
        <f t="shared" si="29"/>
        <v>Rodoviários</v>
      </c>
      <c r="U218" s="77" t="str">
        <f t="shared" si="29"/>
        <v>OAE Partes</v>
      </c>
      <c r="V218" s="77" t="s">
        <v>1964</v>
      </c>
      <c r="W218" s="78" t="str">
        <f t="shared" si="34"/>
        <v>Key-BRASIL-218</v>
      </c>
      <c r="X218" s="77" t="s">
        <v>1860</v>
      </c>
      <c r="Y218" s="77" t="s">
        <v>1901</v>
      </c>
      <c r="Z218" s="81" t="s">
        <v>1</v>
      </c>
      <c r="AA218" s="77" t="str">
        <f t="shared" si="35"/>
        <v>Part of a Special Work of Art: Main beams in the longitudinal direction at the edge of the bridge.</v>
      </c>
    </row>
    <row r="219" spans="1:27" ht="6.6" customHeight="1" x14ac:dyDescent="0.25">
      <c r="A219" s="72">
        <v>219</v>
      </c>
      <c r="B219" s="73" t="s">
        <v>1968</v>
      </c>
      <c r="C219" s="83" t="s">
        <v>2001</v>
      </c>
      <c r="D219" s="73" t="s">
        <v>2002</v>
      </c>
      <c r="E219" s="84" t="s">
        <v>1419</v>
      </c>
      <c r="F219" s="73" t="s">
        <v>141</v>
      </c>
      <c r="G219" s="75" t="s">
        <v>1</v>
      </c>
      <c r="H219" s="75" t="s">
        <v>1</v>
      </c>
      <c r="I219" s="75" t="s">
        <v>1</v>
      </c>
      <c r="J219" s="75" t="s">
        <v>1</v>
      </c>
      <c r="K219" s="75" t="s">
        <v>1</v>
      </c>
      <c r="L219" s="76" t="str">
        <f t="shared" si="36"/>
        <v>Infraestruturais</v>
      </c>
      <c r="M219" s="76" t="str">
        <f t="shared" si="36"/>
        <v>Rodoviários</v>
      </c>
      <c r="N219" s="76" t="str">
        <f t="shared" si="32"/>
        <v>OAE Partes</v>
      </c>
      <c r="O219" s="77" t="str">
        <f t="shared" si="33"/>
        <v>OAE.Longarina.Interna</v>
      </c>
      <c r="P219" s="77" t="s">
        <v>164</v>
      </c>
      <c r="Q219" s="86" t="s">
        <v>242</v>
      </c>
      <c r="R219" s="77" t="s">
        <v>1</v>
      </c>
      <c r="S219" s="77" t="str">
        <f t="shared" si="29"/>
        <v>Infraestruturais</v>
      </c>
      <c r="T219" s="77" t="str">
        <f t="shared" si="29"/>
        <v>Rodoviários</v>
      </c>
      <c r="U219" s="77" t="str">
        <f t="shared" si="29"/>
        <v>OAE Partes</v>
      </c>
      <c r="V219" s="77" t="s">
        <v>1964</v>
      </c>
      <c r="W219" s="78" t="str">
        <f t="shared" si="34"/>
        <v>Key-BRASIL-219</v>
      </c>
      <c r="X219" s="77" t="s">
        <v>1860</v>
      </c>
      <c r="Y219" s="77" t="s">
        <v>1901</v>
      </c>
      <c r="Z219" s="81" t="s">
        <v>1</v>
      </c>
      <c r="AA219" s="77" t="str">
        <f t="shared" si="35"/>
        <v>Part of a Special Work of Art: Main beams in the longitudinal direction inside the bridge.</v>
      </c>
    </row>
    <row r="220" spans="1:27" ht="6.6" customHeight="1" x14ac:dyDescent="0.25">
      <c r="A220" s="72">
        <v>220</v>
      </c>
      <c r="B220" s="73" t="s">
        <v>1968</v>
      </c>
      <c r="C220" s="83" t="s">
        <v>2001</v>
      </c>
      <c r="D220" s="73" t="s">
        <v>2002</v>
      </c>
      <c r="E220" s="84" t="s">
        <v>1419</v>
      </c>
      <c r="F220" s="73" t="s">
        <v>142</v>
      </c>
      <c r="G220" s="75" t="s">
        <v>1</v>
      </c>
      <c r="H220" s="75" t="s">
        <v>1</v>
      </c>
      <c r="I220" s="75" t="s">
        <v>1</v>
      </c>
      <c r="J220" s="75" t="s">
        <v>1</v>
      </c>
      <c r="K220" s="75" t="s">
        <v>1</v>
      </c>
      <c r="L220" s="76" t="str">
        <f t="shared" si="36"/>
        <v>Infraestruturais</v>
      </c>
      <c r="M220" s="76" t="str">
        <f t="shared" si="36"/>
        <v>Rodoviários</v>
      </c>
      <c r="N220" s="76" t="str">
        <f t="shared" si="32"/>
        <v>OAE Partes</v>
      </c>
      <c r="O220" s="77" t="str">
        <f t="shared" si="33"/>
        <v>OAE.Transversina</v>
      </c>
      <c r="P220" s="77" t="s">
        <v>165</v>
      </c>
      <c r="Q220" s="86" t="s">
        <v>243</v>
      </c>
      <c r="R220" s="77" t="s">
        <v>1</v>
      </c>
      <c r="S220" s="77" t="str">
        <f t="shared" si="29"/>
        <v>Infraestruturais</v>
      </c>
      <c r="T220" s="77" t="str">
        <f t="shared" si="29"/>
        <v>Rodoviários</v>
      </c>
      <c r="U220" s="77" t="str">
        <f t="shared" si="29"/>
        <v>OAE Partes</v>
      </c>
      <c r="V220" s="77" t="s">
        <v>1964</v>
      </c>
      <c r="W220" s="78" t="str">
        <f t="shared" si="34"/>
        <v>Key-BRASIL-220</v>
      </c>
      <c r="X220" s="77" t="s">
        <v>1861</v>
      </c>
      <c r="Y220" s="77" t="s">
        <v>1901</v>
      </c>
      <c r="Z220" s="81" t="s">
        <v>1</v>
      </c>
      <c r="AA220" s="77" t="str">
        <f t="shared" si="35"/>
        <v>Part of a Special Work of Art: Beams in the transverse direction of the bridge.</v>
      </c>
    </row>
    <row r="221" spans="1:27" ht="6.6" customHeight="1" x14ac:dyDescent="0.25">
      <c r="A221" s="72">
        <v>221</v>
      </c>
      <c r="B221" s="73" t="s">
        <v>1968</v>
      </c>
      <c r="C221" s="83" t="s">
        <v>2001</v>
      </c>
      <c r="D221" s="73" t="s">
        <v>2002</v>
      </c>
      <c r="E221" s="84" t="s">
        <v>1419</v>
      </c>
      <c r="F221" s="73" t="s">
        <v>143</v>
      </c>
      <c r="G221" s="75" t="s">
        <v>1</v>
      </c>
      <c r="H221" s="75" t="s">
        <v>1</v>
      </c>
      <c r="I221" s="75" t="s">
        <v>1</v>
      </c>
      <c r="J221" s="75" t="s">
        <v>1</v>
      </c>
      <c r="K221" s="75" t="s">
        <v>1</v>
      </c>
      <c r="L221" s="76" t="str">
        <f t="shared" si="36"/>
        <v>Infraestruturais</v>
      </c>
      <c r="M221" s="76" t="str">
        <f t="shared" si="36"/>
        <v>Rodoviários</v>
      </c>
      <c r="N221" s="76" t="str">
        <f t="shared" si="32"/>
        <v>OAE Partes</v>
      </c>
      <c r="O221" s="77" t="str">
        <f t="shared" si="33"/>
        <v>OAE.Contraventamento</v>
      </c>
      <c r="P221" s="77" t="s">
        <v>166</v>
      </c>
      <c r="Q221" s="86" t="s">
        <v>244</v>
      </c>
      <c r="R221" s="77" t="s">
        <v>1</v>
      </c>
      <c r="S221" s="77" t="str">
        <f t="shared" si="29"/>
        <v>Infraestruturais</v>
      </c>
      <c r="T221" s="77" t="str">
        <f t="shared" si="29"/>
        <v>Rodoviários</v>
      </c>
      <c r="U221" s="77" t="str">
        <f t="shared" si="29"/>
        <v>OAE Partes</v>
      </c>
      <c r="V221" s="77" t="s">
        <v>1964</v>
      </c>
      <c r="W221" s="78" t="str">
        <f t="shared" si="34"/>
        <v>Key-BRASIL-221</v>
      </c>
      <c r="X221" s="77" t="s">
        <v>1862</v>
      </c>
      <c r="Y221" s="77" t="s">
        <v>1901</v>
      </c>
      <c r="Z221" s="81" t="s">
        <v>1</v>
      </c>
      <c r="AA221" s="77" t="str">
        <f t="shared" si="35"/>
        <v>Part of a Special Artwork: Bracing of the bridge.</v>
      </c>
    </row>
    <row r="222" spans="1:27" ht="6.6" customHeight="1" x14ac:dyDescent="0.25">
      <c r="A222" s="72">
        <v>222</v>
      </c>
      <c r="B222" s="73" t="s">
        <v>1968</v>
      </c>
      <c r="C222" s="83" t="s">
        <v>2001</v>
      </c>
      <c r="D222" s="73" t="s">
        <v>2002</v>
      </c>
      <c r="E222" s="84" t="s">
        <v>1419</v>
      </c>
      <c r="F222" s="73" t="s">
        <v>144</v>
      </c>
      <c r="G222" s="75" t="s">
        <v>1</v>
      </c>
      <c r="H222" s="75" t="s">
        <v>1</v>
      </c>
      <c r="I222" s="75" t="s">
        <v>1</v>
      </c>
      <c r="J222" s="75" t="s">
        <v>1</v>
      </c>
      <c r="K222" s="75" t="s">
        <v>1</v>
      </c>
      <c r="L222" s="76" t="str">
        <f t="shared" si="36"/>
        <v>Infraestruturais</v>
      </c>
      <c r="M222" s="76" t="str">
        <f t="shared" si="36"/>
        <v>Rodoviários</v>
      </c>
      <c r="N222" s="76" t="str">
        <f t="shared" si="32"/>
        <v>OAE Partes</v>
      </c>
      <c r="O222" s="77" t="str">
        <f t="shared" si="33"/>
        <v>OAE.Diafragma</v>
      </c>
      <c r="P222" s="77" t="s">
        <v>167</v>
      </c>
      <c r="Q222" s="86" t="s">
        <v>245</v>
      </c>
      <c r="R222" s="77" t="s">
        <v>1</v>
      </c>
      <c r="S222" s="77" t="str">
        <f t="shared" si="29"/>
        <v>Infraestruturais</v>
      </c>
      <c r="T222" s="77" t="str">
        <f t="shared" si="29"/>
        <v>Rodoviários</v>
      </c>
      <c r="U222" s="77" t="str">
        <f t="shared" si="29"/>
        <v>OAE Partes</v>
      </c>
      <c r="V222" s="77" t="s">
        <v>1964</v>
      </c>
      <c r="W222" s="78" t="str">
        <f t="shared" si="34"/>
        <v>Key-BRASIL-222</v>
      </c>
      <c r="X222" s="77" t="s">
        <v>1863</v>
      </c>
      <c r="Y222" s="77" t="s">
        <v>1901</v>
      </c>
      <c r="Z222" s="81" t="s">
        <v>1</v>
      </c>
      <c r="AA222" s="77" t="str">
        <f t="shared" si="35"/>
        <v>Part of a Special Work of Art: Walls in the transverse direction of the bridge.</v>
      </c>
    </row>
    <row r="223" spans="1:27" ht="6.6" customHeight="1" x14ac:dyDescent="0.25">
      <c r="A223" s="72">
        <v>223</v>
      </c>
      <c r="B223" s="73" t="s">
        <v>1968</v>
      </c>
      <c r="C223" s="83" t="s">
        <v>2001</v>
      </c>
      <c r="D223" s="73" t="s">
        <v>2002</v>
      </c>
      <c r="E223" s="84" t="s">
        <v>1419</v>
      </c>
      <c r="F223" s="73" t="s">
        <v>145</v>
      </c>
      <c r="G223" s="75" t="s">
        <v>1</v>
      </c>
      <c r="H223" s="75" t="s">
        <v>1</v>
      </c>
      <c r="I223" s="75" t="s">
        <v>1</v>
      </c>
      <c r="J223" s="75" t="s">
        <v>1</v>
      </c>
      <c r="K223" s="75" t="s">
        <v>1</v>
      </c>
      <c r="L223" s="76" t="str">
        <f t="shared" si="36"/>
        <v>Infraestruturais</v>
      </c>
      <c r="M223" s="76" t="str">
        <f t="shared" si="36"/>
        <v>Rodoviários</v>
      </c>
      <c r="N223" s="76" t="str">
        <f t="shared" si="32"/>
        <v>OAE Partes</v>
      </c>
      <c r="O223" s="77" t="str">
        <f t="shared" si="33"/>
        <v>OAE.Treliça</v>
      </c>
      <c r="P223" s="77" t="s">
        <v>1579</v>
      </c>
      <c r="Q223" s="86" t="s">
        <v>246</v>
      </c>
      <c r="R223" s="77" t="s">
        <v>1</v>
      </c>
      <c r="S223" s="77" t="str">
        <f t="shared" si="29"/>
        <v>Infraestruturais</v>
      </c>
      <c r="T223" s="77" t="str">
        <f t="shared" si="29"/>
        <v>Rodoviários</v>
      </c>
      <c r="U223" s="77" t="str">
        <f t="shared" si="29"/>
        <v>OAE Partes</v>
      </c>
      <c r="V223" s="77" t="s">
        <v>1964</v>
      </c>
      <c r="W223" s="78" t="str">
        <f t="shared" si="34"/>
        <v>Key-BRASIL-223</v>
      </c>
      <c r="X223" s="77" t="s">
        <v>1864</v>
      </c>
      <c r="Y223" s="77" t="s">
        <v>1901</v>
      </c>
      <c r="Z223" s="81" t="s">
        <v>1</v>
      </c>
      <c r="AA223" s="77" t="str">
        <f t="shared" si="35"/>
        <v>Part of a Special Artwork: Bridge trusses.</v>
      </c>
    </row>
    <row r="224" spans="1:27" ht="6.6" customHeight="1" x14ac:dyDescent="0.25">
      <c r="A224" s="72">
        <v>224</v>
      </c>
      <c r="B224" s="73" t="s">
        <v>1968</v>
      </c>
      <c r="C224" s="83" t="s">
        <v>2001</v>
      </c>
      <c r="D224" s="73" t="s">
        <v>2002</v>
      </c>
      <c r="E224" s="84" t="s">
        <v>1419</v>
      </c>
      <c r="F224" s="73" t="s">
        <v>146</v>
      </c>
      <c r="G224" s="75" t="s">
        <v>1</v>
      </c>
      <c r="H224" s="75" t="s">
        <v>1</v>
      </c>
      <c r="I224" s="75" t="s">
        <v>1</v>
      </c>
      <c r="J224" s="75" t="s">
        <v>1</v>
      </c>
      <c r="K224" s="75" t="s">
        <v>1</v>
      </c>
      <c r="L224" s="76" t="str">
        <f t="shared" si="36"/>
        <v>Infraestruturais</v>
      </c>
      <c r="M224" s="76" t="str">
        <f t="shared" si="36"/>
        <v>Rodoviários</v>
      </c>
      <c r="N224" s="76" t="str">
        <f t="shared" si="32"/>
        <v>OAE Partes</v>
      </c>
      <c r="O224" s="77" t="str">
        <f t="shared" si="33"/>
        <v>OAE.Defesa</v>
      </c>
      <c r="P224" s="77" t="s">
        <v>168</v>
      </c>
      <c r="Q224" s="86" t="s">
        <v>247</v>
      </c>
      <c r="R224" s="77" t="s">
        <v>1</v>
      </c>
      <c r="S224" s="77" t="str">
        <f t="shared" si="29"/>
        <v>Infraestruturais</v>
      </c>
      <c r="T224" s="77" t="str">
        <f t="shared" si="29"/>
        <v>Rodoviários</v>
      </c>
      <c r="U224" s="77" t="str">
        <f t="shared" si="29"/>
        <v>OAE Partes</v>
      </c>
      <c r="V224" s="77" t="s">
        <v>1964</v>
      </c>
      <c r="W224" s="78" t="str">
        <f t="shared" si="34"/>
        <v>Key-BRASIL-224</v>
      </c>
      <c r="X224" s="77" t="s">
        <v>1863</v>
      </c>
      <c r="Y224" s="77" t="s">
        <v>1897</v>
      </c>
      <c r="Z224" s="81" t="s">
        <v>1</v>
      </c>
      <c r="AA224" s="77" t="str">
        <f t="shared" si="35"/>
        <v>Part of a Special Work of Art: Element of structural defense of the work of Special Art.</v>
      </c>
    </row>
    <row r="225" spans="1:27" ht="6.6" customHeight="1" x14ac:dyDescent="0.25">
      <c r="A225" s="72">
        <v>225</v>
      </c>
      <c r="B225" s="73" t="s">
        <v>1968</v>
      </c>
      <c r="C225" s="83" t="s">
        <v>2001</v>
      </c>
      <c r="D225" s="73" t="s">
        <v>2002</v>
      </c>
      <c r="E225" s="84" t="s">
        <v>1419</v>
      </c>
      <c r="F225" s="73" t="s">
        <v>147</v>
      </c>
      <c r="G225" s="75" t="s">
        <v>1</v>
      </c>
      <c r="H225" s="75" t="s">
        <v>1</v>
      </c>
      <c r="I225" s="75" t="s">
        <v>1</v>
      </c>
      <c r="J225" s="75" t="s">
        <v>1</v>
      </c>
      <c r="K225" s="75" t="s">
        <v>1</v>
      </c>
      <c r="L225" s="76" t="str">
        <f t="shared" si="36"/>
        <v>Infraestruturais</v>
      </c>
      <c r="M225" s="76" t="str">
        <f t="shared" si="36"/>
        <v>Rodoviários</v>
      </c>
      <c r="N225" s="76" t="str">
        <f t="shared" si="32"/>
        <v>OAE Partes</v>
      </c>
      <c r="O225" s="77" t="str">
        <f t="shared" si="33"/>
        <v>OAE.Rolamento</v>
      </c>
      <c r="P225" s="77" t="s">
        <v>169</v>
      </c>
      <c r="Q225" s="86" t="s">
        <v>248</v>
      </c>
      <c r="R225" s="77" t="s">
        <v>1</v>
      </c>
      <c r="S225" s="77" t="str">
        <f t="shared" ref="S225:U291" si="37">SUBSTITUTE(C225, ".", " ")</f>
        <v>Infraestruturais</v>
      </c>
      <c r="T225" s="77" t="str">
        <f t="shared" si="37"/>
        <v>Rodoviários</v>
      </c>
      <c r="U225" s="77" t="str">
        <f t="shared" si="37"/>
        <v>OAE Partes</v>
      </c>
      <c r="V225" s="77" t="s">
        <v>1964</v>
      </c>
      <c r="W225" s="78" t="str">
        <f t="shared" si="34"/>
        <v>Key-BRASIL-225</v>
      </c>
      <c r="X225" s="77" t="s">
        <v>1849</v>
      </c>
      <c r="Y225" s="81" t="s">
        <v>1897</v>
      </c>
      <c r="Z225" s="81" t="s">
        <v>1</v>
      </c>
      <c r="AA225" s="77" t="str">
        <f t="shared" si="35"/>
        <v>Part of a Special Work of Art: Asphalt layer of the road track of the deck.</v>
      </c>
    </row>
    <row r="226" spans="1:27" ht="6.6" customHeight="1" x14ac:dyDescent="0.25">
      <c r="A226" s="72">
        <v>226</v>
      </c>
      <c r="B226" s="73" t="s">
        <v>1968</v>
      </c>
      <c r="C226" s="83" t="s">
        <v>2001</v>
      </c>
      <c r="D226" s="73" t="s">
        <v>2002</v>
      </c>
      <c r="E226" s="84" t="s">
        <v>1419</v>
      </c>
      <c r="F226" s="73" t="s">
        <v>148</v>
      </c>
      <c r="G226" s="75" t="s">
        <v>1</v>
      </c>
      <c r="H226" s="75" t="s">
        <v>1</v>
      </c>
      <c r="I226" s="75" t="s">
        <v>1</v>
      </c>
      <c r="J226" s="75" t="s">
        <v>1</v>
      </c>
      <c r="K226" s="75" t="s">
        <v>1</v>
      </c>
      <c r="L226" s="76" t="str">
        <f t="shared" si="36"/>
        <v>Infraestruturais</v>
      </c>
      <c r="M226" s="76" t="str">
        <f t="shared" si="36"/>
        <v>Rodoviários</v>
      </c>
      <c r="N226" s="76" t="str">
        <f t="shared" si="32"/>
        <v>OAE Partes</v>
      </c>
      <c r="O226" s="77" t="str">
        <f t="shared" si="33"/>
        <v>OAE.Leito</v>
      </c>
      <c r="P226" s="77" t="s">
        <v>170</v>
      </c>
      <c r="Q226" s="86" t="s">
        <v>249</v>
      </c>
      <c r="R226" s="77" t="s">
        <v>1</v>
      </c>
      <c r="S226" s="77" t="str">
        <f t="shared" si="37"/>
        <v>Infraestruturais</v>
      </c>
      <c r="T226" s="77" t="str">
        <f t="shared" si="37"/>
        <v>Rodoviários</v>
      </c>
      <c r="U226" s="77" t="str">
        <f t="shared" si="37"/>
        <v>OAE Partes</v>
      </c>
      <c r="V226" s="77" t="s">
        <v>1964</v>
      </c>
      <c r="W226" s="78" t="str">
        <f t="shared" si="34"/>
        <v>Key-BRASIL-226</v>
      </c>
      <c r="X226" s="77" t="s">
        <v>1849</v>
      </c>
      <c r="Y226" s="81" t="s">
        <v>1902</v>
      </c>
      <c r="Z226" s="81" t="s">
        <v>1</v>
      </c>
      <c r="AA226" s="77" t="str">
        <f t="shared" si="35"/>
        <v>Part of a Special Work of Art: Subfloor layer of the deck carriageway.</v>
      </c>
    </row>
    <row r="227" spans="1:27" ht="6.6" customHeight="1" x14ac:dyDescent="0.25">
      <c r="A227" s="72">
        <v>227</v>
      </c>
      <c r="B227" s="73" t="s">
        <v>1968</v>
      </c>
      <c r="C227" s="83" t="s">
        <v>2001</v>
      </c>
      <c r="D227" s="73" t="s">
        <v>2002</v>
      </c>
      <c r="E227" s="84" t="s">
        <v>1419</v>
      </c>
      <c r="F227" s="73" t="s">
        <v>149</v>
      </c>
      <c r="G227" s="75" t="s">
        <v>1</v>
      </c>
      <c r="H227" s="75" t="s">
        <v>1</v>
      </c>
      <c r="I227" s="75" t="s">
        <v>1</v>
      </c>
      <c r="J227" s="75" t="s">
        <v>1</v>
      </c>
      <c r="K227" s="75" t="s">
        <v>1</v>
      </c>
      <c r="L227" s="76" t="str">
        <f t="shared" si="36"/>
        <v>Infraestruturais</v>
      </c>
      <c r="M227" s="76" t="str">
        <f t="shared" si="36"/>
        <v>Rodoviários</v>
      </c>
      <c r="N227" s="76" t="str">
        <f t="shared" si="32"/>
        <v>OAE Partes</v>
      </c>
      <c r="O227" s="77" t="str">
        <f t="shared" si="33"/>
        <v>OAE.Junta</v>
      </c>
      <c r="P227" s="77" t="s">
        <v>171</v>
      </c>
      <c r="Q227" s="86" t="s">
        <v>250</v>
      </c>
      <c r="R227" s="77" t="s">
        <v>1</v>
      </c>
      <c r="S227" s="77" t="str">
        <f t="shared" si="37"/>
        <v>Infraestruturais</v>
      </c>
      <c r="T227" s="77" t="str">
        <f t="shared" si="37"/>
        <v>Rodoviários</v>
      </c>
      <c r="U227" s="77" t="str">
        <f t="shared" si="37"/>
        <v>OAE Partes</v>
      </c>
      <c r="V227" s="77" t="s">
        <v>1964</v>
      </c>
      <c r="W227" s="78" t="str">
        <f t="shared" si="34"/>
        <v>Key-BRASIL-227</v>
      </c>
      <c r="X227" s="77" t="s">
        <v>1849</v>
      </c>
      <c r="Y227" s="77" t="s">
        <v>1903</v>
      </c>
      <c r="Z227" s="81" t="s">
        <v>1</v>
      </c>
      <c r="AA227" s="77" t="str">
        <f t="shared" si="35"/>
        <v>Part of a Special Work of Art: Road expansion joint of the deck.</v>
      </c>
    </row>
    <row r="228" spans="1:27" ht="6.6" customHeight="1" x14ac:dyDescent="0.25">
      <c r="A228" s="72">
        <v>228</v>
      </c>
      <c r="B228" s="73" t="s">
        <v>1968</v>
      </c>
      <c r="C228" s="83" t="s">
        <v>2001</v>
      </c>
      <c r="D228" s="73" t="s">
        <v>2002</v>
      </c>
      <c r="E228" s="84" t="s">
        <v>1419</v>
      </c>
      <c r="F228" s="73" t="s">
        <v>150</v>
      </c>
      <c r="G228" s="75" t="s">
        <v>1</v>
      </c>
      <c r="H228" s="75" t="s">
        <v>1</v>
      </c>
      <c r="I228" s="75" t="s">
        <v>1</v>
      </c>
      <c r="J228" s="75" t="s">
        <v>1</v>
      </c>
      <c r="K228" s="75" t="s">
        <v>1</v>
      </c>
      <c r="L228" s="76" t="str">
        <f t="shared" si="36"/>
        <v>Infraestruturais</v>
      </c>
      <c r="M228" s="76" t="str">
        <f t="shared" si="36"/>
        <v>Rodoviários</v>
      </c>
      <c r="N228" s="76" t="str">
        <f t="shared" si="32"/>
        <v>OAE Partes</v>
      </c>
      <c r="O228" s="77" t="str">
        <f t="shared" si="33"/>
        <v>OAE.Drenagem</v>
      </c>
      <c r="P228" s="77" t="s">
        <v>172</v>
      </c>
      <c r="Q228" s="86" t="s">
        <v>251</v>
      </c>
      <c r="R228" s="77" t="s">
        <v>1</v>
      </c>
      <c r="S228" s="77" t="str">
        <f t="shared" si="37"/>
        <v>Infraestruturais</v>
      </c>
      <c r="T228" s="77" t="str">
        <f t="shared" si="37"/>
        <v>Rodoviários</v>
      </c>
      <c r="U228" s="77" t="str">
        <f t="shared" si="37"/>
        <v>OAE Partes</v>
      </c>
      <c r="V228" s="77" t="s">
        <v>1964</v>
      </c>
      <c r="W228" s="78" t="str">
        <f t="shared" si="34"/>
        <v>Key-BRASIL-228</v>
      </c>
      <c r="X228" s="90" t="s">
        <v>1865</v>
      </c>
      <c r="Y228" s="90" t="s">
        <v>1904</v>
      </c>
      <c r="Z228" s="81" t="s">
        <v>1</v>
      </c>
      <c r="AA228" s="77" t="str">
        <f t="shared" si="35"/>
        <v>Part of a Special Work of Art: Water drainage element on the bridge.</v>
      </c>
    </row>
    <row r="229" spans="1:27" ht="6.6" customHeight="1" x14ac:dyDescent="0.25">
      <c r="A229" s="72">
        <v>229</v>
      </c>
      <c r="B229" s="73" t="s">
        <v>1968</v>
      </c>
      <c r="C229" s="83" t="s">
        <v>2001</v>
      </c>
      <c r="D229" s="73" t="s">
        <v>2002</v>
      </c>
      <c r="E229" s="84" t="s">
        <v>1419</v>
      </c>
      <c r="F229" s="73" t="s">
        <v>151</v>
      </c>
      <c r="G229" s="75" t="s">
        <v>1</v>
      </c>
      <c r="H229" s="75" t="s">
        <v>1</v>
      </c>
      <c r="I229" s="75" t="s">
        <v>1</v>
      </c>
      <c r="J229" s="75" t="s">
        <v>1</v>
      </c>
      <c r="K229" s="75" t="s">
        <v>1</v>
      </c>
      <c r="L229" s="76" t="str">
        <f t="shared" ref="L229:M244" si="38">CONCATENATE("", C229)</f>
        <v>Infraestruturais</v>
      </c>
      <c r="M229" s="76" t="str">
        <f t="shared" si="38"/>
        <v>Rodoviários</v>
      </c>
      <c r="N229" s="76" t="str">
        <f t="shared" ref="N229:N292" si="39">(SUBSTITUTE(SUBSTITUTE(CONCATENATE("",E229),"."," ")," De "," de "))</f>
        <v>OAE Partes</v>
      </c>
      <c r="O229" s="77" t="str">
        <f t="shared" ref="O229:O292" si="40">F229</f>
        <v>OAE.Sinalização</v>
      </c>
      <c r="P229" s="77" t="s">
        <v>173</v>
      </c>
      <c r="Q229" s="86" t="s">
        <v>252</v>
      </c>
      <c r="R229" s="77" t="s">
        <v>1</v>
      </c>
      <c r="S229" s="77" t="str">
        <f t="shared" si="37"/>
        <v>Infraestruturais</v>
      </c>
      <c r="T229" s="77" t="str">
        <f t="shared" si="37"/>
        <v>Rodoviários</v>
      </c>
      <c r="U229" s="77" t="str">
        <f t="shared" si="37"/>
        <v>OAE Partes</v>
      </c>
      <c r="V229" s="77" t="s">
        <v>1964</v>
      </c>
      <c r="W229" s="78" t="str">
        <f t="shared" si="34"/>
        <v>Key-BRASIL-229</v>
      </c>
      <c r="X229" s="77" t="s">
        <v>1848</v>
      </c>
      <c r="Y229" s="77" t="s">
        <v>1896</v>
      </c>
      <c r="Z229" s="81" t="s">
        <v>1</v>
      </c>
      <c r="AA229" s="77" t="str">
        <f t="shared" si="35"/>
        <v>Part of a Special Work of Art: Signage element type information plates.</v>
      </c>
    </row>
    <row r="230" spans="1:27" ht="6.6" customHeight="1" x14ac:dyDescent="0.25">
      <c r="A230" s="72">
        <v>230</v>
      </c>
      <c r="B230" s="73" t="s">
        <v>1968</v>
      </c>
      <c r="C230" s="83" t="s">
        <v>2001</v>
      </c>
      <c r="D230" s="73" t="s">
        <v>2002</v>
      </c>
      <c r="E230" s="84" t="s">
        <v>1419</v>
      </c>
      <c r="F230" s="73" t="s">
        <v>152</v>
      </c>
      <c r="G230" s="75" t="s">
        <v>1</v>
      </c>
      <c r="H230" s="75" t="s">
        <v>1</v>
      </c>
      <c r="I230" s="75" t="s">
        <v>1</v>
      </c>
      <c r="J230" s="75" t="s">
        <v>1</v>
      </c>
      <c r="K230" s="75" t="s">
        <v>1</v>
      </c>
      <c r="L230" s="76" t="str">
        <f t="shared" si="38"/>
        <v>Infraestruturais</v>
      </c>
      <c r="M230" s="76" t="str">
        <f t="shared" si="38"/>
        <v>Rodoviários</v>
      </c>
      <c r="N230" s="76" t="str">
        <f t="shared" si="39"/>
        <v>OAE Partes</v>
      </c>
      <c r="O230" s="77" t="str">
        <f t="shared" si="40"/>
        <v>OAE.Iluminação</v>
      </c>
      <c r="P230" s="77" t="s">
        <v>174</v>
      </c>
      <c r="Q230" s="86" t="s">
        <v>253</v>
      </c>
      <c r="R230" s="77" t="s">
        <v>1</v>
      </c>
      <c r="S230" s="77" t="str">
        <f t="shared" si="37"/>
        <v>Infraestruturais</v>
      </c>
      <c r="T230" s="77" t="str">
        <f t="shared" si="37"/>
        <v>Rodoviários</v>
      </c>
      <c r="U230" s="77" t="str">
        <f t="shared" si="37"/>
        <v>OAE Partes</v>
      </c>
      <c r="V230" s="77" t="s">
        <v>1964</v>
      </c>
      <c r="W230" s="78" t="str">
        <f t="shared" si="34"/>
        <v>Key-BRASIL-230</v>
      </c>
      <c r="X230" s="77" t="s">
        <v>1847</v>
      </c>
      <c r="Y230" s="77" t="s">
        <v>1905</v>
      </c>
      <c r="Z230" s="81" t="s">
        <v>1</v>
      </c>
      <c r="AA230" s="77" t="str">
        <f t="shared" si="35"/>
        <v>Part of a Special Artwork: Lamppost-like lighting element.</v>
      </c>
    </row>
    <row r="231" spans="1:27" ht="6.6" customHeight="1" x14ac:dyDescent="0.25">
      <c r="A231" s="72">
        <v>231</v>
      </c>
      <c r="B231" s="73" t="s">
        <v>1968</v>
      </c>
      <c r="C231" s="83" t="s">
        <v>2001</v>
      </c>
      <c r="D231" s="73" t="s">
        <v>1491</v>
      </c>
      <c r="E231" s="73" t="s">
        <v>1407</v>
      </c>
      <c r="F231" s="32" t="s">
        <v>1790</v>
      </c>
      <c r="G231" s="75" t="s">
        <v>1</v>
      </c>
      <c r="H231" s="75" t="s">
        <v>1</v>
      </c>
      <c r="I231" s="75" t="s">
        <v>1</v>
      </c>
      <c r="J231" s="75" t="s">
        <v>1</v>
      </c>
      <c r="K231" s="75" t="s">
        <v>1</v>
      </c>
      <c r="L231" s="76" t="str">
        <f t="shared" si="38"/>
        <v>Infraestruturais</v>
      </c>
      <c r="M231" s="76" t="str">
        <f t="shared" si="38"/>
        <v>Ferroviários</v>
      </c>
      <c r="N231" s="76" t="str">
        <f t="shared" si="39"/>
        <v>Ferrovias</v>
      </c>
      <c r="O231" s="77" t="str">
        <f t="shared" si="40"/>
        <v>Ferrovia.AV</v>
      </c>
      <c r="P231" s="80" t="s">
        <v>1791</v>
      </c>
      <c r="Q231" s="77" t="s">
        <v>1792</v>
      </c>
      <c r="R231" s="77" t="s">
        <v>1</v>
      </c>
      <c r="S231" s="77" t="str">
        <f t="shared" si="37"/>
        <v>Infraestruturais</v>
      </c>
      <c r="T231" s="77" t="str">
        <f t="shared" si="37"/>
        <v>Ferroviários</v>
      </c>
      <c r="U231" s="77" t="str">
        <f t="shared" si="37"/>
        <v>Ferrovias</v>
      </c>
      <c r="V231" s="77" t="s">
        <v>1964</v>
      </c>
      <c r="W231" s="78" t="str">
        <f t="shared" si="34"/>
        <v>Key-BRASIL-231</v>
      </c>
      <c r="X231" s="77" t="s">
        <v>1850</v>
      </c>
      <c r="Y231" s="81" t="s">
        <v>1905</v>
      </c>
      <c r="Z231" s="81" t="s">
        <v>1</v>
      </c>
      <c r="AA231" s="77" t="str">
        <f t="shared" si="35"/>
        <v>Railway system designed to travel at high speed.</v>
      </c>
    </row>
    <row r="232" spans="1:27" ht="6.6" customHeight="1" x14ac:dyDescent="0.25">
      <c r="A232" s="72">
        <v>232</v>
      </c>
      <c r="B232" s="73" t="s">
        <v>1968</v>
      </c>
      <c r="C232" s="83" t="s">
        <v>2001</v>
      </c>
      <c r="D232" s="73" t="s">
        <v>1491</v>
      </c>
      <c r="E232" s="73" t="s">
        <v>1407</v>
      </c>
      <c r="F232" s="32" t="s">
        <v>282</v>
      </c>
      <c r="G232" s="75" t="s">
        <v>1</v>
      </c>
      <c r="H232" s="75" t="s">
        <v>1</v>
      </c>
      <c r="I232" s="75" t="s">
        <v>1</v>
      </c>
      <c r="J232" s="75" t="s">
        <v>1</v>
      </c>
      <c r="K232" s="75" t="s">
        <v>1</v>
      </c>
      <c r="L232" s="76" t="str">
        <f t="shared" si="38"/>
        <v>Infraestruturais</v>
      </c>
      <c r="M232" s="76" t="str">
        <f t="shared" si="38"/>
        <v>Ferroviários</v>
      </c>
      <c r="N232" s="76" t="str">
        <f t="shared" si="39"/>
        <v>Ferrovias</v>
      </c>
      <c r="O232" s="77" t="str">
        <f t="shared" si="40"/>
        <v>Ferrovia.Radial</v>
      </c>
      <c r="P232" s="80" t="s">
        <v>372</v>
      </c>
      <c r="Q232" s="77" t="s">
        <v>373</v>
      </c>
      <c r="R232" s="77" t="s">
        <v>1</v>
      </c>
      <c r="S232" s="77" t="str">
        <f t="shared" si="37"/>
        <v>Infraestruturais</v>
      </c>
      <c r="T232" s="77" t="str">
        <f t="shared" si="37"/>
        <v>Ferroviários</v>
      </c>
      <c r="U232" s="77" t="str">
        <f t="shared" si="37"/>
        <v>Ferrovias</v>
      </c>
      <c r="V232" s="77" t="s">
        <v>1964</v>
      </c>
      <c r="W232" s="78" t="str">
        <f t="shared" si="34"/>
        <v>Key-BRASIL-232</v>
      </c>
      <c r="X232" s="77" t="s">
        <v>1850</v>
      </c>
      <c r="Y232" s="81" t="s">
        <v>1905</v>
      </c>
      <c r="Z232" s="81" t="s">
        <v>1</v>
      </c>
      <c r="AA232" s="77" t="str">
        <f t="shared" si="35"/>
        <v>A railway that starts from a capital city towards the extremes of the country.</v>
      </c>
    </row>
    <row r="233" spans="1:27" ht="6.6" customHeight="1" x14ac:dyDescent="0.25">
      <c r="A233" s="72">
        <v>233</v>
      </c>
      <c r="B233" s="73" t="s">
        <v>1968</v>
      </c>
      <c r="C233" s="83" t="s">
        <v>2001</v>
      </c>
      <c r="D233" s="73" t="s">
        <v>1491</v>
      </c>
      <c r="E233" s="73" t="s">
        <v>1407</v>
      </c>
      <c r="F233" s="32" t="s">
        <v>283</v>
      </c>
      <c r="G233" s="75" t="s">
        <v>1</v>
      </c>
      <c r="H233" s="75" t="s">
        <v>1</v>
      </c>
      <c r="I233" s="75" t="s">
        <v>1</v>
      </c>
      <c r="J233" s="75" t="s">
        <v>1</v>
      </c>
      <c r="K233" s="75" t="s">
        <v>1</v>
      </c>
      <c r="L233" s="76" t="str">
        <f t="shared" si="38"/>
        <v>Infraestruturais</v>
      </c>
      <c r="M233" s="76" t="str">
        <f t="shared" si="38"/>
        <v>Ferroviários</v>
      </c>
      <c r="N233" s="76" t="str">
        <f t="shared" si="39"/>
        <v>Ferrovias</v>
      </c>
      <c r="O233" s="77" t="str">
        <f t="shared" si="40"/>
        <v>Ferrovia.NS</v>
      </c>
      <c r="P233" s="80" t="s">
        <v>269</v>
      </c>
      <c r="Q233" s="77" t="s">
        <v>331</v>
      </c>
      <c r="R233" s="77" t="s">
        <v>1</v>
      </c>
      <c r="S233" s="77" t="str">
        <f t="shared" si="37"/>
        <v>Infraestruturais</v>
      </c>
      <c r="T233" s="77" t="str">
        <f t="shared" si="37"/>
        <v>Ferroviários</v>
      </c>
      <c r="U233" s="77" t="str">
        <f t="shared" si="37"/>
        <v>Ferrovias</v>
      </c>
      <c r="V233" s="77" t="s">
        <v>1964</v>
      </c>
      <c r="W233" s="78" t="str">
        <f t="shared" si="34"/>
        <v>Key-BRASIL-233</v>
      </c>
      <c r="X233" s="77" t="s">
        <v>1850</v>
      </c>
      <c r="Y233" s="81" t="s">
        <v>1905</v>
      </c>
      <c r="Z233" s="81" t="s">
        <v>1</v>
      </c>
      <c r="AA233" s="77" t="str">
        <f t="shared" si="35"/>
        <v>A railroad that crosses a country in a North-South direction.</v>
      </c>
    </row>
    <row r="234" spans="1:27" ht="6.6" customHeight="1" x14ac:dyDescent="0.25">
      <c r="A234" s="72">
        <v>234</v>
      </c>
      <c r="B234" s="73" t="s">
        <v>1968</v>
      </c>
      <c r="C234" s="83" t="s">
        <v>2001</v>
      </c>
      <c r="D234" s="73" t="s">
        <v>1491</v>
      </c>
      <c r="E234" s="73" t="s">
        <v>1407</v>
      </c>
      <c r="F234" s="32" t="s">
        <v>284</v>
      </c>
      <c r="G234" s="75" t="s">
        <v>1</v>
      </c>
      <c r="H234" s="75" t="s">
        <v>1</v>
      </c>
      <c r="I234" s="75" t="s">
        <v>1</v>
      </c>
      <c r="J234" s="75" t="s">
        <v>1</v>
      </c>
      <c r="K234" s="75" t="s">
        <v>1</v>
      </c>
      <c r="L234" s="76" t="str">
        <f t="shared" si="38"/>
        <v>Infraestruturais</v>
      </c>
      <c r="M234" s="76" t="str">
        <f t="shared" si="38"/>
        <v>Ferroviários</v>
      </c>
      <c r="N234" s="76" t="str">
        <f t="shared" si="39"/>
        <v>Ferrovias</v>
      </c>
      <c r="O234" s="77" t="str">
        <f t="shared" si="40"/>
        <v>Ferrovia.EW</v>
      </c>
      <c r="P234" s="80" t="s">
        <v>270</v>
      </c>
      <c r="Q234" s="77" t="s">
        <v>332</v>
      </c>
      <c r="R234" s="77" t="s">
        <v>1</v>
      </c>
      <c r="S234" s="77" t="str">
        <f t="shared" si="37"/>
        <v>Infraestruturais</v>
      </c>
      <c r="T234" s="77" t="str">
        <f t="shared" si="37"/>
        <v>Ferroviários</v>
      </c>
      <c r="U234" s="77" t="str">
        <f t="shared" si="37"/>
        <v>Ferrovias</v>
      </c>
      <c r="V234" s="77" t="s">
        <v>1964</v>
      </c>
      <c r="W234" s="78" t="str">
        <f t="shared" si="34"/>
        <v>Key-BRASIL-234</v>
      </c>
      <c r="X234" s="77" t="s">
        <v>1850</v>
      </c>
      <c r="Y234" s="81" t="s">
        <v>1905</v>
      </c>
      <c r="Z234" s="81" t="s">
        <v>1</v>
      </c>
      <c r="AA234" s="77" t="str">
        <f t="shared" si="35"/>
        <v>A railroad that crosses a country in an East-West direction.</v>
      </c>
    </row>
    <row r="235" spans="1:27" ht="6.6" customHeight="1" x14ac:dyDescent="0.25">
      <c r="A235" s="72">
        <v>235</v>
      </c>
      <c r="B235" s="73" t="s">
        <v>1968</v>
      </c>
      <c r="C235" s="83" t="s">
        <v>2001</v>
      </c>
      <c r="D235" s="73" t="s">
        <v>1491</v>
      </c>
      <c r="E235" s="73" t="s">
        <v>1407</v>
      </c>
      <c r="F235" s="32" t="s">
        <v>285</v>
      </c>
      <c r="G235" s="75" t="s">
        <v>1</v>
      </c>
      <c r="H235" s="75" t="s">
        <v>1</v>
      </c>
      <c r="I235" s="75" t="s">
        <v>1</v>
      </c>
      <c r="J235" s="75" t="s">
        <v>1</v>
      </c>
      <c r="K235" s="75" t="s">
        <v>1</v>
      </c>
      <c r="L235" s="76" t="str">
        <f t="shared" si="38"/>
        <v>Infraestruturais</v>
      </c>
      <c r="M235" s="76" t="str">
        <f t="shared" si="38"/>
        <v>Ferroviários</v>
      </c>
      <c r="N235" s="76" t="str">
        <f t="shared" si="39"/>
        <v>Ferrovias</v>
      </c>
      <c r="O235" s="77" t="str">
        <f t="shared" si="40"/>
        <v>Ferrovia.Diagonal</v>
      </c>
      <c r="P235" s="80" t="s">
        <v>271</v>
      </c>
      <c r="Q235" s="77" t="s">
        <v>333</v>
      </c>
      <c r="R235" s="77" t="s">
        <v>1</v>
      </c>
      <c r="S235" s="77" t="str">
        <f t="shared" si="37"/>
        <v>Infraestruturais</v>
      </c>
      <c r="T235" s="77" t="str">
        <f t="shared" si="37"/>
        <v>Ferroviários</v>
      </c>
      <c r="U235" s="77" t="str">
        <f t="shared" si="37"/>
        <v>Ferrovias</v>
      </c>
      <c r="V235" s="77" t="s">
        <v>1964</v>
      </c>
      <c r="W235" s="78" t="str">
        <f t="shared" si="34"/>
        <v>Key-BRASIL-235</v>
      </c>
      <c r="X235" s="77" t="s">
        <v>1850</v>
      </c>
      <c r="Y235" s="81" t="s">
        <v>1905</v>
      </c>
      <c r="Z235" s="81" t="s">
        <v>1</v>
      </c>
      <c r="AA235" s="77" t="str">
        <f t="shared" si="35"/>
        <v>A railroad that crosses a country with a northeast-southwest or northwest-southeast orientation.</v>
      </c>
    </row>
    <row r="236" spans="1:27" ht="6.6" customHeight="1" x14ac:dyDescent="0.25">
      <c r="A236" s="72">
        <v>236</v>
      </c>
      <c r="B236" s="73" t="s">
        <v>1968</v>
      </c>
      <c r="C236" s="83" t="s">
        <v>2001</v>
      </c>
      <c r="D236" s="73" t="s">
        <v>1491</v>
      </c>
      <c r="E236" s="73" t="s">
        <v>1407</v>
      </c>
      <c r="F236" s="32" t="s">
        <v>286</v>
      </c>
      <c r="G236" s="75" t="s">
        <v>1</v>
      </c>
      <c r="H236" s="75" t="s">
        <v>1</v>
      </c>
      <c r="I236" s="75" t="s">
        <v>1</v>
      </c>
      <c r="J236" s="75" t="s">
        <v>1</v>
      </c>
      <c r="K236" s="75" t="s">
        <v>1</v>
      </c>
      <c r="L236" s="76" t="str">
        <f t="shared" si="38"/>
        <v>Infraestruturais</v>
      </c>
      <c r="M236" s="76" t="str">
        <f t="shared" si="38"/>
        <v>Ferroviários</v>
      </c>
      <c r="N236" s="76" t="str">
        <f t="shared" si="39"/>
        <v>Ferrovias</v>
      </c>
      <c r="O236" s="77" t="str">
        <f t="shared" si="40"/>
        <v>Ferrovia.Ligação</v>
      </c>
      <c r="P236" s="80" t="s">
        <v>268</v>
      </c>
      <c r="Q236" s="77" t="s">
        <v>334</v>
      </c>
      <c r="R236" s="77" t="s">
        <v>1</v>
      </c>
      <c r="S236" s="77" t="str">
        <f t="shared" si="37"/>
        <v>Infraestruturais</v>
      </c>
      <c r="T236" s="77" t="str">
        <f t="shared" si="37"/>
        <v>Ferroviários</v>
      </c>
      <c r="U236" s="77" t="str">
        <f t="shared" si="37"/>
        <v>Ferrovias</v>
      </c>
      <c r="V236" s="77" t="s">
        <v>1964</v>
      </c>
      <c r="W236" s="78" t="str">
        <f t="shared" si="34"/>
        <v>Key-BRASIL-236</v>
      </c>
      <c r="X236" s="77" t="s">
        <v>1850</v>
      </c>
      <c r="Y236" s="81" t="s">
        <v>1905</v>
      </c>
      <c r="Z236" s="81" t="s">
        <v>1</v>
      </c>
      <c r="AA236" s="77" t="str">
        <f t="shared" si="35"/>
        <v>A railroad that connects railroads to each other or to specific localities.</v>
      </c>
    </row>
    <row r="237" spans="1:27" ht="6.6" customHeight="1" x14ac:dyDescent="0.25">
      <c r="A237" s="72">
        <v>237</v>
      </c>
      <c r="B237" s="73" t="s">
        <v>1968</v>
      </c>
      <c r="C237" s="83" t="s">
        <v>2001</v>
      </c>
      <c r="D237" s="73" t="s">
        <v>1491</v>
      </c>
      <c r="E237" s="73" t="s">
        <v>1407</v>
      </c>
      <c r="F237" s="32" t="s">
        <v>1300</v>
      </c>
      <c r="G237" s="75" t="s">
        <v>1</v>
      </c>
      <c r="H237" s="75" t="s">
        <v>1</v>
      </c>
      <c r="I237" s="75" t="s">
        <v>1</v>
      </c>
      <c r="J237" s="75" t="s">
        <v>1</v>
      </c>
      <c r="K237" s="75" t="s">
        <v>1</v>
      </c>
      <c r="L237" s="76" t="str">
        <f t="shared" si="38"/>
        <v>Infraestruturais</v>
      </c>
      <c r="M237" s="76" t="str">
        <f t="shared" si="38"/>
        <v>Ferroviários</v>
      </c>
      <c r="N237" s="76" t="str">
        <f t="shared" si="39"/>
        <v>Ferrovias</v>
      </c>
      <c r="O237" s="77" t="str">
        <f t="shared" si="40"/>
        <v>Metrovia</v>
      </c>
      <c r="P237" s="80" t="s">
        <v>358</v>
      </c>
      <c r="Q237" s="77" t="s">
        <v>359</v>
      </c>
      <c r="R237" s="77" t="s">
        <v>1</v>
      </c>
      <c r="S237" s="77" t="str">
        <f t="shared" si="37"/>
        <v>Infraestruturais</v>
      </c>
      <c r="T237" s="77" t="str">
        <f t="shared" si="37"/>
        <v>Ferroviários</v>
      </c>
      <c r="U237" s="77" t="str">
        <f t="shared" si="37"/>
        <v>Ferrovias</v>
      </c>
      <c r="V237" s="77" t="s">
        <v>1964</v>
      </c>
      <c r="W237" s="78" t="str">
        <f t="shared" si="34"/>
        <v>Key-BRASIL-237</v>
      </c>
      <c r="X237" s="77" t="s">
        <v>1850</v>
      </c>
      <c r="Y237" s="81" t="s">
        <v>1905</v>
      </c>
      <c r="Z237" s="81" t="s">
        <v>1</v>
      </c>
      <c r="AA237" s="77" t="str">
        <f t="shared" si="35"/>
        <v>Urban railway. Usually underground, but may have stretches at the urban level.</v>
      </c>
    </row>
    <row r="238" spans="1:27" ht="6.6" customHeight="1" x14ac:dyDescent="0.25">
      <c r="A238" s="72">
        <v>238</v>
      </c>
      <c r="B238" s="73" t="s">
        <v>1968</v>
      </c>
      <c r="C238" s="83" t="s">
        <v>2001</v>
      </c>
      <c r="D238" s="73" t="s">
        <v>1491</v>
      </c>
      <c r="E238" s="73" t="s">
        <v>1407</v>
      </c>
      <c r="F238" s="32" t="s">
        <v>1314</v>
      </c>
      <c r="G238" s="75" t="s">
        <v>1</v>
      </c>
      <c r="H238" s="75" t="s">
        <v>1</v>
      </c>
      <c r="I238" s="75" t="s">
        <v>1</v>
      </c>
      <c r="J238" s="75" t="s">
        <v>1</v>
      </c>
      <c r="K238" s="75" t="s">
        <v>1</v>
      </c>
      <c r="L238" s="76" t="str">
        <f t="shared" si="38"/>
        <v>Infraestruturais</v>
      </c>
      <c r="M238" s="76" t="str">
        <f t="shared" si="38"/>
        <v>Ferroviários</v>
      </c>
      <c r="N238" s="76" t="str">
        <f t="shared" si="39"/>
        <v>Ferrovias</v>
      </c>
      <c r="O238" s="77" t="str">
        <f t="shared" si="40"/>
        <v>Metrovia.VLT</v>
      </c>
      <c r="P238" s="80" t="s">
        <v>1315</v>
      </c>
      <c r="Q238" s="80" t="s">
        <v>1316</v>
      </c>
      <c r="R238" s="77" t="s">
        <v>1</v>
      </c>
      <c r="S238" s="77" t="str">
        <f t="shared" si="37"/>
        <v>Infraestruturais</v>
      </c>
      <c r="T238" s="77" t="str">
        <f t="shared" si="37"/>
        <v>Ferroviários</v>
      </c>
      <c r="U238" s="77" t="str">
        <f t="shared" si="37"/>
        <v>Ferrovias</v>
      </c>
      <c r="V238" s="77" t="s">
        <v>1964</v>
      </c>
      <c r="W238" s="78" t="str">
        <f t="shared" si="34"/>
        <v>Key-BRASIL-238</v>
      </c>
      <c r="X238" s="77" t="s">
        <v>1850</v>
      </c>
      <c r="Y238" s="81" t="s">
        <v>1905</v>
      </c>
      <c r="Z238" s="81" t="s">
        <v>1</v>
      </c>
      <c r="AA238" s="77" t="str">
        <f t="shared" si="35"/>
        <v>Urban railway to VLT. It operates on the urban surface and meets accessibility requirements.</v>
      </c>
    </row>
    <row r="239" spans="1:27" ht="6.6" customHeight="1" x14ac:dyDescent="0.25">
      <c r="A239" s="72">
        <v>239</v>
      </c>
      <c r="B239" s="73" t="s">
        <v>1968</v>
      </c>
      <c r="C239" s="83" t="s">
        <v>2001</v>
      </c>
      <c r="D239" s="73" t="s">
        <v>1491</v>
      </c>
      <c r="E239" s="73" t="s">
        <v>1407</v>
      </c>
      <c r="F239" s="32" t="s">
        <v>360</v>
      </c>
      <c r="G239" s="75" t="s">
        <v>1</v>
      </c>
      <c r="H239" s="75" t="s">
        <v>1</v>
      </c>
      <c r="I239" s="75" t="s">
        <v>1</v>
      </c>
      <c r="J239" s="75" t="s">
        <v>1</v>
      </c>
      <c r="K239" s="75" t="s">
        <v>1</v>
      </c>
      <c r="L239" s="76" t="str">
        <f t="shared" si="38"/>
        <v>Infraestruturais</v>
      </c>
      <c r="M239" s="76" t="str">
        <f t="shared" si="38"/>
        <v>Ferroviários</v>
      </c>
      <c r="N239" s="76" t="str">
        <f t="shared" si="39"/>
        <v>Ferrovias</v>
      </c>
      <c r="O239" s="77" t="str">
        <f t="shared" si="40"/>
        <v>Monotrilho</v>
      </c>
      <c r="P239" s="80" t="s">
        <v>361</v>
      </c>
      <c r="Q239" s="77" t="s">
        <v>362</v>
      </c>
      <c r="R239" s="77" t="s">
        <v>1</v>
      </c>
      <c r="S239" s="77" t="str">
        <f t="shared" si="37"/>
        <v>Infraestruturais</v>
      </c>
      <c r="T239" s="77" t="str">
        <f t="shared" si="37"/>
        <v>Ferroviários</v>
      </c>
      <c r="U239" s="77" t="str">
        <f t="shared" si="37"/>
        <v>Ferrovias</v>
      </c>
      <c r="V239" s="77" t="s">
        <v>1964</v>
      </c>
      <c r="W239" s="78" t="str">
        <f t="shared" si="34"/>
        <v>Key-BRASIL-239</v>
      </c>
      <c r="X239" s="77" t="s">
        <v>1850</v>
      </c>
      <c r="Y239" s="81" t="s">
        <v>1887</v>
      </c>
      <c r="Z239" s="81" t="s">
        <v>1</v>
      </c>
      <c r="AA239" s="77" t="str">
        <f t="shared" si="35"/>
        <v>A railway system in which vehicles run on a single elevated rail that serves as both a guide and a structural support.</v>
      </c>
    </row>
    <row r="240" spans="1:27" ht="6.6" customHeight="1" x14ac:dyDescent="0.25">
      <c r="A240" s="72">
        <v>240</v>
      </c>
      <c r="B240" s="73" t="s">
        <v>1968</v>
      </c>
      <c r="C240" s="83" t="s">
        <v>2001</v>
      </c>
      <c r="D240" s="73" t="s">
        <v>1491</v>
      </c>
      <c r="E240" s="73" t="s">
        <v>1407</v>
      </c>
      <c r="F240" s="32" t="s">
        <v>1808</v>
      </c>
      <c r="G240" s="75" t="s">
        <v>1</v>
      </c>
      <c r="H240" s="75" t="s">
        <v>1</v>
      </c>
      <c r="I240" s="75" t="s">
        <v>1</v>
      </c>
      <c r="J240" s="75" t="s">
        <v>1</v>
      </c>
      <c r="K240" s="75" t="s">
        <v>1</v>
      </c>
      <c r="L240" s="76" t="str">
        <f t="shared" si="38"/>
        <v>Infraestruturais</v>
      </c>
      <c r="M240" s="76" t="str">
        <f t="shared" si="38"/>
        <v>Ferroviários</v>
      </c>
      <c r="N240" s="76" t="str">
        <f t="shared" si="39"/>
        <v>Ferrovias</v>
      </c>
      <c r="O240" s="77" t="str">
        <f t="shared" si="40"/>
        <v>Túnel.Ferroviário</v>
      </c>
      <c r="P240" s="80" t="s">
        <v>1806</v>
      </c>
      <c r="Q240" s="80" t="s">
        <v>1807</v>
      </c>
      <c r="R240" s="77" t="s">
        <v>1</v>
      </c>
      <c r="S240" s="77" t="str">
        <f t="shared" si="37"/>
        <v>Infraestruturais</v>
      </c>
      <c r="T240" s="77" t="str">
        <f t="shared" si="37"/>
        <v>Ferroviários</v>
      </c>
      <c r="U240" s="77" t="str">
        <f t="shared" si="37"/>
        <v>Ferrovias</v>
      </c>
      <c r="V240" s="77" t="s">
        <v>1964</v>
      </c>
      <c r="W240" s="78" t="str">
        <f t="shared" si="34"/>
        <v>Key-BRASIL-240</v>
      </c>
      <c r="X240" s="77" t="s">
        <v>1843</v>
      </c>
      <c r="Y240" s="81" t="s">
        <v>1887</v>
      </c>
      <c r="Z240" s="81" t="s">
        <v>1</v>
      </c>
      <c r="AA240" s="77" t="str">
        <f t="shared" si="35"/>
        <v>Tunnel for railroad passage.</v>
      </c>
    </row>
    <row r="241" spans="1:27" ht="6.6" customHeight="1" x14ac:dyDescent="0.25">
      <c r="A241" s="72">
        <v>241</v>
      </c>
      <c r="B241" s="73" t="s">
        <v>1968</v>
      </c>
      <c r="C241" s="83" t="s">
        <v>2001</v>
      </c>
      <c r="D241" s="73" t="s">
        <v>1491</v>
      </c>
      <c r="E241" s="73" t="s">
        <v>1793</v>
      </c>
      <c r="F241" s="32" t="s">
        <v>1464</v>
      </c>
      <c r="G241" s="75" t="s">
        <v>1</v>
      </c>
      <c r="H241" s="75" t="s">
        <v>1</v>
      </c>
      <c r="I241" s="75" t="s">
        <v>1</v>
      </c>
      <c r="J241" s="75" t="s">
        <v>1</v>
      </c>
      <c r="K241" s="75" t="s">
        <v>1</v>
      </c>
      <c r="L241" s="76" t="str">
        <f t="shared" si="38"/>
        <v>Infraestruturais</v>
      </c>
      <c r="M241" s="76" t="str">
        <f t="shared" si="38"/>
        <v>Ferroviários</v>
      </c>
      <c r="N241" s="76" t="str">
        <f t="shared" si="39"/>
        <v>Ferrovias Estações</v>
      </c>
      <c r="O241" s="77" t="str">
        <f t="shared" si="40"/>
        <v>Estação.Central</v>
      </c>
      <c r="P241" s="80" t="s">
        <v>1465</v>
      </c>
      <c r="Q241" s="80" t="s">
        <v>1466</v>
      </c>
      <c r="R241" s="77" t="s">
        <v>1</v>
      </c>
      <c r="S241" s="77" t="str">
        <f t="shared" si="37"/>
        <v>Infraestruturais</v>
      </c>
      <c r="T241" s="77" t="str">
        <f t="shared" si="37"/>
        <v>Ferroviários</v>
      </c>
      <c r="U241" s="77" t="str">
        <f t="shared" si="37"/>
        <v>Ferrovias Estações</v>
      </c>
      <c r="V241" s="77" t="s">
        <v>1964</v>
      </c>
      <c r="W241" s="78" t="str">
        <f t="shared" si="34"/>
        <v>Key-BRASIL-241</v>
      </c>
      <c r="X241" s="77" t="s">
        <v>1843</v>
      </c>
      <c r="Y241" s="81" t="s">
        <v>1887</v>
      </c>
      <c r="Z241" s="81" t="s">
        <v>1</v>
      </c>
      <c r="AA241" s="77" t="str">
        <f t="shared" si="35"/>
        <v>Central station of the line. Large stations such as Central do Brasil, Leopoldina or Retiro.</v>
      </c>
    </row>
    <row r="242" spans="1:27" ht="6.6" customHeight="1" x14ac:dyDescent="0.25">
      <c r="A242" s="72">
        <v>242</v>
      </c>
      <c r="B242" s="73" t="s">
        <v>1968</v>
      </c>
      <c r="C242" s="83" t="s">
        <v>2001</v>
      </c>
      <c r="D242" s="73" t="s">
        <v>1491</v>
      </c>
      <c r="E242" s="73" t="s">
        <v>1793</v>
      </c>
      <c r="F242" s="32" t="s">
        <v>1334</v>
      </c>
      <c r="G242" s="75" t="s">
        <v>1</v>
      </c>
      <c r="H242" s="75" t="s">
        <v>1</v>
      </c>
      <c r="I242" s="75" t="s">
        <v>1</v>
      </c>
      <c r="J242" s="75" t="s">
        <v>1</v>
      </c>
      <c r="K242" s="75" t="s">
        <v>1</v>
      </c>
      <c r="L242" s="76" t="str">
        <f t="shared" si="38"/>
        <v>Infraestruturais</v>
      </c>
      <c r="M242" s="76" t="str">
        <f t="shared" si="38"/>
        <v>Ferroviários</v>
      </c>
      <c r="N242" s="76" t="str">
        <f t="shared" si="39"/>
        <v>Ferrovias Estações</v>
      </c>
      <c r="O242" s="77" t="str">
        <f t="shared" si="40"/>
        <v>Estação.Terminal</v>
      </c>
      <c r="P242" s="80" t="s">
        <v>1335</v>
      </c>
      <c r="Q242" s="80" t="s">
        <v>1336</v>
      </c>
      <c r="R242" s="77" t="s">
        <v>1</v>
      </c>
      <c r="S242" s="77" t="str">
        <f t="shared" si="37"/>
        <v>Infraestruturais</v>
      </c>
      <c r="T242" s="77" t="str">
        <f t="shared" si="37"/>
        <v>Ferroviários</v>
      </c>
      <c r="U242" s="77" t="str">
        <f t="shared" si="37"/>
        <v>Ferrovias Estações</v>
      </c>
      <c r="V242" s="77" t="s">
        <v>1964</v>
      </c>
      <c r="W242" s="78" t="str">
        <f t="shared" si="34"/>
        <v>Key-BRASIL-242</v>
      </c>
      <c r="X242" s="77" t="s">
        <v>1843</v>
      </c>
      <c r="Y242" s="81" t="s">
        <v>1887</v>
      </c>
      <c r="Z242" s="81" t="s">
        <v>1</v>
      </c>
      <c r="AA242" s="77" t="str">
        <f t="shared" si="35"/>
        <v>Line terminal station.</v>
      </c>
    </row>
    <row r="243" spans="1:27" ht="6.6" customHeight="1" x14ac:dyDescent="0.25">
      <c r="A243" s="72">
        <v>243</v>
      </c>
      <c r="B243" s="73" t="s">
        <v>1968</v>
      </c>
      <c r="C243" s="83" t="s">
        <v>2001</v>
      </c>
      <c r="D243" s="73" t="s">
        <v>1491</v>
      </c>
      <c r="E243" s="73" t="s">
        <v>1793</v>
      </c>
      <c r="F243" s="32" t="s">
        <v>1329</v>
      </c>
      <c r="G243" s="75" t="s">
        <v>1</v>
      </c>
      <c r="H243" s="75" t="s">
        <v>1</v>
      </c>
      <c r="I243" s="75" t="s">
        <v>1</v>
      </c>
      <c r="J243" s="75" t="s">
        <v>1</v>
      </c>
      <c r="K243" s="75" t="s">
        <v>1</v>
      </c>
      <c r="L243" s="76" t="str">
        <f t="shared" si="38"/>
        <v>Infraestruturais</v>
      </c>
      <c r="M243" s="76" t="str">
        <f t="shared" si="38"/>
        <v>Ferroviários</v>
      </c>
      <c r="N243" s="76" t="str">
        <f t="shared" si="39"/>
        <v>Ferrovias Estações</v>
      </c>
      <c r="O243" s="77" t="str">
        <f t="shared" si="40"/>
        <v>Estação.de.Transferência</v>
      </c>
      <c r="P243" s="80" t="s">
        <v>1330</v>
      </c>
      <c r="Q243" s="80" t="s">
        <v>1332</v>
      </c>
      <c r="R243" s="77" t="s">
        <v>1</v>
      </c>
      <c r="S243" s="77" t="str">
        <f t="shared" si="37"/>
        <v>Infraestruturais</v>
      </c>
      <c r="T243" s="77" t="str">
        <f t="shared" si="37"/>
        <v>Ferroviários</v>
      </c>
      <c r="U243" s="77" t="str">
        <f t="shared" si="37"/>
        <v>Ferrovias Estações</v>
      </c>
      <c r="V243" s="77" t="s">
        <v>1964</v>
      </c>
      <c r="W243" s="78" t="str">
        <f t="shared" si="34"/>
        <v>Key-BRASIL-243</v>
      </c>
      <c r="X243" s="77" t="s">
        <v>1843</v>
      </c>
      <c r="Y243" s="81" t="s">
        <v>1887</v>
      </c>
      <c r="Z243" s="81" t="s">
        <v>1</v>
      </c>
      <c r="AA243" s="77" t="str">
        <f t="shared" si="35"/>
        <v>Transfer station of the same modal.</v>
      </c>
    </row>
    <row r="244" spans="1:27" ht="6.6" customHeight="1" x14ac:dyDescent="0.25">
      <c r="A244" s="72">
        <v>244</v>
      </c>
      <c r="B244" s="73" t="s">
        <v>1968</v>
      </c>
      <c r="C244" s="83" t="s">
        <v>2001</v>
      </c>
      <c r="D244" s="73" t="s">
        <v>1491</v>
      </c>
      <c r="E244" s="73" t="s">
        <v>1793</v>
      </c>
      <c r="F244" s="32" t="s">
        <v>1337</v>
      </c>
      <c r="G244" s="75" t="s">
        <v>1</v>
      </c>
      <c r="H244" s="75" t="s">
        <v>1</v>
      </c>
      <c r="I244" s="75" t="s">
        <v>1</v>
      </c>
      <c r="J244" s="75" t="s">
        <v>1</v>
      </c>
      <c r="K244" s="75" t="s">
        <v>1</v>
      </c>
      <c r="L244" s="76" t="str">
        <f t="shared" si="38"/>
        <v>Infraestruturais</v>
      </c>
      <c r="M244" s="76" t="str">
        <f t="shared" si="38"/>
        <v>Ferroviários</v>
      </c>
      <c r="N244" s="76" t="str">
        <f t="shared" si="39"/>
        <v>Ferrovias Estações</v>
      </c>
      <c r="O244" s="77" t="str">
        <f t="shared" si="40"/>
        <v>Estação.Intermodal</v>
      </c>
      <c r="P244" s="80" t="s">
        <v>1331</v>
      </c>
      <c r="Q244" s="80" t="s">
        <v>1333</v>
      </c>
      <c r="R244" s="77" t="s">
        <v>1</v>
      </c>
      <c r="S244" s="77" t="str">
        <f t="shared" si="37"/>
        <v>Infraestruturais</v>
      </c>
      <c r="T244" s="77" t="str">
        <f t="shared" si="37"/>
        <v>Ferroviários</v>
      </c>
      <c r="U244" s="77" t="str">
        <f t="shared" si="37"/>
        <v>Ferrovias Estações</v>
      </c>
      <c r="V244" s="77" t="s">
        <v>1964</v>
      </c>
      <c r="W244" s="78" t="str">
        <f t="shared" si="34"/>
        <v>Key-BRASIL-244</v>
      </c>
      <c r="X244" s="77" t="s">
        <v>1843</v>
      </c>
      <c r="Y244" s="81" t="s">
        <v>1887</v>
      </c>
      <c r="Z244" s="81" t="s">
        <v>1</v>
      </c>
      <c r="AA244" s="77" t="str">
        <f t="shared" si="35"/>
        <v>Multimodal transfer station.</v>
      </c>
    </row>
    <row r="245" spans="1:27" ht="6.6" customHeight="1" x14ac:dyDescent="0.25">
      <c r="A245" s="72">
        <v>245</v>
      </c>
      <c r="B245" s="73" t="s">
        <v>1968</v>
      </c>
      <c r="C245" s="83" t="s">
        <v>2001</v>
      </c>
      <c r="D245" s="73" t="s">
        <v>1491</v>
      </c>
      <c r="E245" s="73" t="s">
        <v>1793</v>
      </c>
      <c r="F245" s="32" t="s">
        <v>1317</v>
      </c>
      <c r="G245" s="75" t="s">
        <v>1</v>
      </c>
      <c r="H245" s="75" t="s">
        <v>1</v>
      </c>
      <c r="I245" s="75" t="s">
        <v>1</v>
      </c>
      <c r="J245" s="75" t="s">
        <v>1</v>
      </c>
      <c r="K245" s="75" t="s">
        <v>1</v>
      </c>
      <c r="L245" s="76" t="str">
        <f t="shared" ref="L245:M261" si="41">CONCATENATE("", C245)</f>
        <v>Infraestruturais</v>
      </c>
      <c r="M245" s="76" t="str">
        <f t="shared" si="41"/>
        <v>Ferroviários</v>
      </c>
      <c r="N245" s="76" t="str">
        <f t="shared" si="39"/>
        <v>Ferrovias Estações</v>
      </c>
      <c r="O245" s="77" t="str">
        <f t="shared" si="40"/>
        <v>Estação.de.Trem</v>
      </c>
      <c r="P245" s="80" t="s">
        <v>1321</v>
      </c>
      <c r="Q245" s="80" t="s">
        <v>1325</v>
      </c>
      <c r="R245" s="77" t="s">
        <v>1</v>
      </c>
      <c r="S245" s="77" t="str">
        <f t="shared" si="37"/>
        <v>Infraestruturais</v>
      </c>
      <c r="T245" s="77" t="str">
        <f t="shared" si="37"/>
        <v>Ferroviários</v>
      </c>
      <c r="U245" s="77" t="str">
        <f t="shared" si="37"/>
        <v>Ferrovias Estações</v>
      </c>
      <c r="V245" s="77" t="s">
        <v>1964</v>
      </c>
      <c r="W245" s="78" t="str">
        <f t="shared" si="34"/>
        <v>Key-BRASIL-245</v>
      </c>
      <c r="X245" s="77" t="s">
        <v>1843</v>
      </c>
      <c r="Y245" s="81" t="s">
        <v>1887</v>
      </c>
      <c r="Z245" s="81" t="s">
        <v>1</v>
      </c>
      <c r="AA245" s="77" t="str">
        <f t="shared" si="35"/>
        <v>Train station.</v>
      </c>
    </row>
    <row r="246" spans="1:27" ht="6.6" customHeight="1" x14ac:dyDescent="0.25">
      <c r="A246" s="72">
        <v>246</v>
      </c>
      <c r="B246" s="73" t="s">
        <v>1968</v>
      </c>
      <c r="C246" s="83" t="s">
        <v>2001</v>
      </c>
      <c r="D246" s="73" t="s">
        <v>1491</v>
      </c>
      <c r="E246" s="73" t="s">
        <v>1793</v>
      </c>
      <c r="F246" s="32" t="s">
        <v>1318</v>
      </c>
      <c r="G246" s="75" t="s">
        <v>1</v>
      </c>
      <c r="H246" s="75" t="s">
        <v>1</v>
      </c>
      <c r="I246" s="75" t="s">
        <v>1</v>
      </c>
      <c r="J246" s="75" t="s">
        <v>1</v>
      </c>
      <c r="K246" s="75" t="s">
        <v>1</v>
      </c>
      <c r="L246" s="76" t="str">
        <f t="shared" si="41"/>
        <v>Infraestruturais</v>
      </c>
      <c r="M246" s="76" t="str">
        <f t="shared" si="41"/>
        <v>Ferroviários</v>
      </c>
      <c r="N246" s="76" t="str">
        <f t="shared" si="39"/>
        <v>Ferrovias Estações</v>
      </c>
      <c r="O246" s="77" t="str">
        <f t="shared" si="40"/>
        <v>Estação.de.Metro</v>
      </c>
      <c r="P246" s="80" t="s">
        <v>1322</v>
      </c>
      <c r="Q246" s="80" t="s">
        <v>1326</v>
      </c>
      <c r="R246" s="77" t="s">
        <v>1</v>
      </c>
      <c r="S246" s="77" t="str">
        <f t="shared" si="37"/>
        <v>Infraestruturais</v>
      </c>
      <c r="T246" s="77" t="str">
        <f t="shared" si="37"/>
        <v>Ferroviários</v>
      </c>
      <c r="U246" s="77" t="str">
        <f t="shared" si="37"/>
        <v>Ferrovias Estações</v>
      </c>
      <c r="V246" s="77" t="s">
        <v>1964</v>
      </c>
      <c r="W246" s="78" t="str">
        <f t="shared" si="34"/>
        <v>Key-BRASIL-246</v>
      </c>
      <c r="X246" s="77" t="s">
        <v>1843</v>
      </c>
      <c r="Y246" s="81" t="s">
        <v>1887</v>
      </c>
      <c r="Z246" s="81" t="s">
        <v>1</v>
      </c>
      <c r="AA246" s="77" t="str">
        <f t="shared" si="35"/>
        <v>Metro station.</v>
      </c>
    </row>
    <row r="247" spans="1:27" ht="6.6" customHeight="1" x14ac:dyDescent="0.25">
      <c r="A247" s="72">
        <v>247</v>
      </c>
      <c r="B247" s="73" t="s">
        <v>1968</v>
      </c>
      <c r="C247" s="83" t="s">
        <v>2001</v>
      </c>
      <c r="D247" s="73" t="s">
        <v>1491</v>
      </c>
      <c r="E247" s="73" t="s">
        <v>1793</v>
      </c>
      <c r="F247" s="32" t="s">
        <v>1319</v>
      </c>
      <c r="G247" s="75" t="s">
        <v>1</v>
      </c>
      <c r="H247" s="75" t="s">
        <v>1</v>
      </c>
      <c r="I247" s="75" t="s">
        <v>1</v>
      </c>
      <c r="J247" s="75" t="s">
        <v>1</v>
      </c>
      <c r="K247" s="75" t="s">
        <v>1</v>
      </c>
      <c r="L247" s="76" t="str">
        <f t="shared" si="41"/>
        <v>Infraestruturais</v>
      </c>
      <c r="M247" s="76" t="str">
        <f t="shared" si="41"/>
        <v>Ferroviários</v>
      </c>
      <c r="N247" s="76" t="str">
        <f t="shared" si="39"/>
        <v>Ferrovias Estações</v>
      </c>
      <c r="O247" s="77" t="str">
        <f t="shared" si="40"/>
        <v>Estação.de.VLT</v>
      </c>
      <c r="P247" s="80" t="s">
        <v>1323</v>
      </c>
      <c r="Q247" s="80" t="s">
        <v>1327</v>
      </c>
      <c r="R247" s="77" t="s">
        <v>1</v>
      </c>
      <c r="S247" s="77" t="str">
        <f t="shared" si="37"/>
        <v>Infraestruturais</v>
      </c>
      <c r="T247" s="77" t="str">
        <f t="shared" si="37"/>
        <v>Ferroviários</v>
      </c>
      <c r="U247" s="77" t="str">
        <f t="shared" si="37"/>
        <v>Ferrovias Estações</v>
      </c>
      <c r="V247" s="77" t="s">
        <v>1964</v>
      </c>
      <c r="W247" s="78" t="str">
        <f t="shared" si="34"/>
        <v>Key-BRASIL-247</v>
      </c>
      <c r="X247" s="77" t="s">
        <v>1843</v>
      </c>
      <c r="Y247" s="81" t="s">
        <v>1887</v>
      </c>
      <c r="Z247" s="81" t="s">
        <v>1</v>
      </c>
      <c r="AA247" s="77" t="str">
        <f t="shared" si="35"/>
        <v>Light rail station.</v>
      </c>
    </row>
    <row r="248" spans="1:27" ht="6.6" customHeight="1" x14ac:dyDescent="0.25">
      <c r="A248" s="72">
        <v>248</v>
      </c>
      <c r="B248" s="73" t="s">
        <v>1968</v>
      </c>
      <c r="C248" s="83" t="s">
        <v>2001</v>
      </c>
      <c r="D248" s="73" t="s">
        <v>1491</v>
      </c>
      <c r="E248" s="73" t="s">
        <v>1793</v>
      </c>
      <c r="F248" s="32" t="s">
        <v>1320</v>
      </c>
      <c r="G248" s="75" t="s">
        <v>1</v>
      </c>
      <c r="H248" s="75" t="s">
        <v>1</v>
      </c>
      <c r="I248" s="75" t="s">
        <v>1</v>
      </c>
      <c r="J248" s="75" t="s">
        <v>1</v>
      </c>
      <c r="K248" s="75" t="s">
        <v>1</v>
      </c>
      <c r="L248" s="76" t="str">
        <f t="shared" si="41"/>
        <v>Infraestruturais</v>
      </c>
      <c r="M248" s="76" t="str">
        <f t="shared" si="41"/>
        <v>Ferroviários</v>
      </c>
      <c r="N248" s="76" t="str">
        <f t="shared" si="39"/>
        <v>Ferrovias Estações</v>
      </c>
      <c r="O248" s="77" t="str">
        <f t="shared" si="40"/>
        <v>Estação.de.Monotrilho</v>
      </c>
      <c r="P248" s="80" t="s">
        <v>1324</v>
      </c>
      <c r="Q248" s="80" t="s">
        <v>1328</v>
      </c>
      <c r="R248" s="77" t="s">
        <v>1</v>
      </c>
      <c r="S248" s="77" t="str">
        <f t="shared" si="37"/>
        <v>Infraestruturais</v>
      </c>
      <c r="T248" s="77" t="str">
        <f t="shared" si="37"/>
        <v>Ferroviários</v>
      </c>
      <c r="U248" s="77" t="str">
        <f t="shared" si="37"/>
        <v>Ferrovias Estações</v>
      </c>
      <c r="V248" s="77" t="s">
        <v>1964</v>
      </c>
      <c r="W248" s="78" t="str">
        <f t="shared" si="34"/>
        <v>Key-BRASIL-248</v>
      </c>
      <c r="X248" s="77" t="s">
        <v>1843</v>
      </c>
      <c r="Y248" s="81" t="s">
        <v>1905</v>
      </c>
      <c r="Z248" s="81" t="s">
        <v>1</v>
      </c>
      <c r="AA248" s="77" t="str">
        <f t="shared" si="35"/>
        <v>Monorail station.</v>
      </c>
    </row>
    <row r="249" spans="1:27" ht="6.6" customHeight="1" x14ac:dyDescent="0.25">
      <c r="A249" s="72">
        <v>249</v>
      </c>
      <c r="B249" s="73" t="s">
        <v>1968</v>
      </c>
      <c r="C249" s="83" t="s">
        <v>2001</v>
      </c>
      <c r="D249" s="73" t="s">
        <v>1491</v>
      </c>
      <c r="E249" s="73" t="s">
        <v>1417</v>
      </c>
      <c r="F249" s="32" t="s">
        <v>1794</v>
      </c>
      <c r="G249" s="75" t="s">
        <v>1</v>
      </c>
      <c r="H249" s="75" t="s">
        <v>1</v>
      </c>
      <c r="I249" s="75" t="s">
        <v>1</v>
      </c>
      <c r="J249" s="75" t="s">
        <v>1</v>
      </c>
      <c r="K249" s="75" t="s">
        <v>1</v>
      </c>
      <c r="L249" s="76" t="str">
        <f t="shared" si="41"/>
        <v>Infraestruturais</v>
      </c>
      <c r="M249" s="76" t="str">
        <f t="shared" si="41"/>
        <v>Ferroviários</v>
      </c>
      <c r="N249" s="76" t="str">
        <f t="shared" si="39"/>
        <v>Ferrovias Trilhos</v>
      </c>
      <c r="O249" s="77" t="str">
        <f t="shared" si="40"/>
        <v>Trilho.de.Bitola.Métrica</v>
      </c>
      <c r="P249" s="80" t="s">
        <v>1798</v>
      </c>
      <c r="Q249" s="77" t="s">
        <v>1803</v>
      </c>
      <c r="R249" s="77" t="s">
        <v>1</v>
      </c>
      <c r="S249" s="77" t="str">
        <f t="shared" si="37"/>
        <v>Infraestruturais</v>
      </c>
      <c r="T249" s="77" t="str">
        <f t="shared" si="37"/>
        <v>Ferroviários</v>
      </c>
      <c r="U249" s="77" t="str">
        <f t="shared" si="37"/>
        <v>Ferrovias Trilhos</v>
      </c>
      <c r="V249" s="77" t="s">
        <v>1964</v>
      </c>
      <c r="W249" s="78" t="str">
        <f t="shared" si="34"/>
        <v>Key-BRASIL-249</v>
      </c>
      <c r="X249" s="77" t="s">
        <v>1850</v>
      </c>
      <c r="Y249" s="81" t="s">
        <v>1905</v>
      </c>
      <c r="Z249" s="81" t="s">
        <v>1</v>
      </c>
      <c r="AA249" s="77" t="str">
        <f t="shared" si="35"/>
        <v>Rail designed with the internal distance between rails of 1000 mm.</v>
      </c>
    </row>
    <row r="250" spans="1:27" ht="6.6" customHeight="1" x14ac:dyDescent="0.25">
      <c r="A250" s="72">
        <v>250</v>
      </c>
      <c r="B250" s="73" t="s">
        <v>1968</v>
      </c>
      <c r="C250" s="83" t="s">
        <v>2001</v>
      </c>
      <c r="D250" s="73" t="s">
        <v>1491</v>
      </c>
      <c r="E250" s="73" t="s">
        <v>1417</v>
      </c>
      <c r="F250" s="32" t="s">
        <v>1795</v>
      </c>
      <c r="G250" s="75" t="s">
        <v>1</v>
      </c>
      <c r="H250" s="75" t="s">
        <v>1</v>
      </c>
      <c r="I250" s="75" t="s">
        <v>1</v>
      </c>
      <c r="J250" s="75" t="s">
        <v>1</v>
      </c>
      <c r="K250" s="75" t="s">
        <v>1</v>
      </c>
      <c r="L250" s="76" t="str">
        <f t="shared" si="41"/>
        <v>Infraestruturais</v>
      </c>
      <c r="M250" s="76" t="str">
        <f t="shared" si="41"/>
        <v>Ferroviários</v>
      </c>
      <c r="N250" s="76" t="str">
        <f t="shared" si="39"/>
        <v>Ferrovias Trilhos</v>
      </c>
      <c r="O250" s="77" t="str">
        <f t="shared" si="40"/>
        <v>Trilho.de.Bitola.Internacional</v>
      </c>
      <c r="P250" s="80" t="s">
        <v>1800</v>
      </c>
      <c r="Q250" s="77" t="s">
        <v>1804</v>
      </c>
      <c r="R250" s="77" t="s">
        <v>1</v>
      </c>
      <c r="S250" s="77" t="str">
        <f t="shared" si="37"/>
        <v>Infraestruturais</v>
      </c>
      <c r="T250" s="77" t="str">
        <f t="shared" si="37"/>
        <v>Ferroviários</v>
      </c>
      <c r="U250" s="77" t="str">
        <f t="shared" si="37"/>
        <v>Ferrovias Trilhos</v>
      </c>
      <c r="V250" s="77" t="s">
        <v>1964</v>
      </c>
      <c r="W250" s="78" t="str">
        <f t="shared" si="34"/>
        <v>Key-BRASIL-250</v>
      </c>
      <c r="X250" s="77" t="s">
        <v>1850</v>
      </c>
      <c r="Y250" s="81" t="s">
        <v>1905</v>
      </c>
      <c r="Z250" s="81" t="s">
        <v>1</v>
      </c>
      <c r="AA250" s="77" t="str">
        <f t="shared" si="35"/>
        <v>Rail designed with the internal distance between rails of 1435 mm.</v>
      </c>
    </row>
    <row r="251" spans="1:27" ht="6.6" customHeight="1" x14ac:dyDescent="0.25">
      <c r="A251" s="72">
        <v>251</v>
      </c>
      <c r="B251" s="73" t="s">
        <v>1968</v>
      </c>
      <c r="C251" s="83" t="s">
        <v>2001</v>
      </c>
      <c r="D251" s="73" t="s">
        <v>1491</v>
      </c>
      <c r="E251" s="73" t="s">
        <v>1417</v>
      </c>
      <c r="F251" s="32" t="s">
        <v>1796</v>
      </c>
      <c r="G251" s="75" t="s">
        <v>1</v>
      </c>
      <c r="H251" s="75" t="s">
        <v>1</v>
      </c>
      <c r="I251" s="75" t="s">
        <v>1</v>
      </c>
      <c r="J251" s="75" t="s">
        <v>1</v>
      </c>
      <c r="K251" s="75" t="s">
        <v>1</v>
      </c>
      <c r="L251" s="76" t="str">
        <f t="shared" si="41"/>
        <v>Infraestruturais</v>
      </c>
      <c r="M251" s="76" t="str">
        <f t="shared" si="41"/>
        <v>Ferroviários</v>
      </c>
      <c r="N251" s="76" t="str">
        <f t="shared" si="39"/>
        <v>Ferrovias Trilhos</v>
      </c>
      <c r="O251" s="77" t="str">
        <f t="shared" si="40"/>
        <v>Trilho.de.Bitola.Irlandesa</v>
      </c>
      <c r="P251" s="80" t="s">
        <v>1799</v>
      </c>
      <c r="Q251" s="77" t="s">
        <v>1805</v>
      </c>
      <c r="R251" s="77" t="s">
        <v>1</v>
      </c>
      <c r="S251" s="77" t="str">
        <f t="shared" si="37"/>
        <v>Infraestruturais</v>
      </c>
      <c r="T251" s="77" t="str">
        <f t="shared" si="37"/>
        <v>Ferroviários</v>
      </c>
      <c r="U251" s="77" t="str">
        <f t="shared" si="37"/>
        <v>Ferrovias Trilhos</v>
      </c>
      <c r="V251" s="77" t="s">
        <v>1964</v>
      </c>
      <c r="W251" s="78" t="str">
        <f t="shared" si="34"/>
        <v>Key-BRASIL-251</v>
      </c>
      <c r="X251" s="77" t="s">
        <v>1850</v>
      </c>
      <c r="Y251" s="81" t="s">
        <v>1905</v>
      </c>
      <c r="Z251" s="81" t="s">
        <v>1</v>
      </c>
      <c r="AA251" s="77" t="str">
        <f t="shared" si="35"/>
        <v>Rail designed with the internal distance between rails of 1600 mm.</v>
      </c>
    </row>
    <row r="252" spans="1:27" ht="6.6" customHeight="1" x14ac:dyDescent="0.25">
      <c r="A252" s="72">
        <v>252</v>
      </c>
      <c r="B252" s="73" t="s">
        <v>1968</v>
      </c>
      <c r="C252" s="83" t="s">
        <v>2001</v>
      </c>
      <c r="D252" s="73" t="s">
        <v>1491</v>
      </c>
      <c r="E252" s="73" t="s">
        <v>1417</v>
      </c>
      <c r="F252" s="32" t="s">
        <v>1797</v>
      </c>
      <c r="G252" s="75" t="s">
        <v>1</v>
      </c>
      <c r="H252" s="75" t="s">
        <v>1</v>
      </c>
      <c r="I252" s="75" t="s">
        <v>1</v>
      </c>
      <c r="J252" s="75" t="s">
        <v>1</v>
      </c>
      <c r="K252" s="75" t="s">
        <v>1</v>
      </c>
      <c r="L252" s="76" t="str">
        <f t="shared" si="41"/>
        <v>Infraestruturais</v>
      </c>
      <c r="M252" s="76" t="str">
        <f t="shared" si="41"/>
        <v>Ferroviários</v>
      </c>
      <c r="N252" s="76" t="str">
        <f t="shared" si="39"/>
        <v>Ferrovias Trilhos</v>
      </c>
      <c r="O252" s="77" t="str">
        <f t="shared" si="40"/>
        <v>Trilho.de.Bitola.Mista</v>
      </c>
      <c r="P252" s="80" t="s">
        <v>1801</v>
      </c>
      <c r="Q252" s="77" t="s">
        <v>1802</v>
      </c>
      <c r="R252" s="77" t="s">
        <v>1</v>
      </c>
      <c r="S252" s="77" t="str">
        <f t="shared" si="37"/>
        <v>Infraestruturais</v>
      </c>
      <c r="T252" s="77" t="str">
        <f t="shared" si="37"/>
        <v>Ferroviários</v>
      </c>
      <c r="U252" s="77" t="str">
        <f t="shared" si="37"/>
        <v>Ferrovias Trilhos</v>
      </c>
      <c r="V252" s="77" t="s">
        <v>1964</v>
      </c>
      <c r="W252" s="78" t="str">
        <f t="shared" si="34"/>
        <v>Key-BRASIL-252</v>
      </c>
      <c r="X252" s="77" t="s">
        <v>1850</v>
      </c>
      <c r="Y252" s="81" t="s">
        <v>1906</v>
      </c>
      <c r="Z252" s="81" t="s">
        <v>1</v>
      </c>
      <c r="AA252" s="77" t="str">
        <f t="shared" si="35"/>
        <v>Railway track designed with International and Irish gauge.</v>
      </c>
    </row>
    <row r="253" spans="1:27" ht="6.6" customHeight="1" x14ac:dyDescent="0.25">
      <c r="A253" s="72">
        <v>253</v>
      </c>
      <c r="B253" s="73" t="s">
        <v>1968</v>
      </c>
      <c r="C253" s="83" t="s">
        <v>2001</v>
      </c>
      <c r="D253" s="73" t="s">
        <v>1491</v>
      </c>
      <c r="E253" s="73" t="s">
        <v>1417</v>
      </c>
      <c r="F253" s="91" t="s">
        <v>276</v>
      </c>
      <c r="G253" s="75" t="s">
        <v>1</v>
      </c>
      <c r="H253" s="75" t="s">
        <v>1</v>
      </c>
      <c r="I253" s="75" t="s">
        <v>1</v>
      </c>
      <c r="J253" s="75" t="s">
        <v>1</v>
      </c>
      <c r="K253" s="75" t="s">
        <v>1</v>
      </c>
      <c r="L253" s="76" t="str">
        <f t="shared" si="41"/>
        <v>Infraestruturais</v>
      </c>
      <c r="M253" s="76" t="str">
        <f t="shared" si="41"/>
        <v>Ferroviários</v>
      </c>
      <c r="N253" s="76" t="str">
        <f t="shared" si="39"/>
        <v>Ferrovias Trilhos</v>
      </c>
      <c r="O253" s="77" t="str">
        <f t="shared" si="40"/>
        <v>Trilho</v>
      </c>
      <c r="P253" s="92" t="s">
        <v>277</v>
      </c>
      <c r="Q253" s="77" t="s">
        <v>335</v>
      </c>
      <c r="R253" s="77" t="s">
        <v>1</v>
      </c>
      <c r="S253" s="77" t="str">
        <f t="shared" si="37"/>
        <v>Infraestruturais</v>
      </c>
      <c r="T253" s="77" t="str">
        <f t="shared" si="37"/>
        <v>Ferroviários</v>
      </c>
      <c r="U253" s="77" t="str">
        <f t="shared" si="37"/>
        <v>Ferrovias Trilhos</v>
      </c>
      <c r="V253" s="77" t="s">
        <v>1964</v>
      </c>
      <c r="W253" s="78" t="str">
        <f t="shared" si="34"/>
        <v>Key-BRASIL-253</v>
      </c>
      <c r="X253" s="77" t="s">
        <v>1850</v>
      </c>
      <c r="Y253" s="81" t="s">
        <v>1906</v>
      </c>
      <c r="Z253" s="81" t="s">
        <v>1</v>
      </c>
      <c r="AA253" s="77" t="str">
        <f t="shared" si="35"/>
        <v>The basic component of the railroad on which trains run.</v>
      </c>
    </row>
    <row r="254" spans="1:27" ht="6.6" customHeight="1" x14ac:dyDescent="0.25">
      <c r="A254" s="72">
        <v>254</v>
      </c>
      <c r="B254" s="73" t="s">
        <v>1968</v>
      </c>
      <c r="C254" s="83" t="s">
        <v>2001</v>
      </c>
      <c r="D254" s="73" t="s">
        <v>1491</v>
      </c>
      <c r="E254" s="73" t="s">
        <v>1417</v>
      </c>
      <c r="F254" s="91" t="s">
        <v>281</v>
      </c>
      <c r="G254" s="75" t="s">
        <v>1</v>
      </c>
      <c r="H254" s="75" t="s">
        <v>1</v>
      </c>
      <c r="I254" s="75" t="s">
        <v>1</v>
      </c>
      <c r="J254" s="75" t="s">
        <v>1</v>
      </c>
      <c r="K254" s="75" t="s">
        <v>1</v>
      </c>
      <c r="L254" s="76" t="str">
        <f t="shared" si="41"/>
        <v>Infraestruturais</v>
      </c>
      <c r="M254" s="76" t="str">
        <f t="shared" si="41"/>
        <v>Ferroviários</v>
      </c>
      <c r="N254" s="76" t="str">
        <f t="shared" si="39"/>
        <v>Ferrovias Trilhos</v>
      </c>
      <c r="O254" s="77" t="str">
        <f t="shared" si="40"/>
        <v>Trilho.Lâmina</v>
      </c>
      <c r="P254" s="92" t="s">
        <v>272</v>
      </c>
      <c r="Q254" s="77" t="s">
        <v>336</v>
      </c>
      <c r="R254" s="77" t="s">
        <v>1</v>
      </c>
      <c r="S254" s="77" t="str">
        <f t="shared" si="37"/>
        <v>Infraestruturais</v>
      </c>
      <c r="T254" s="77" t="str">
        <f t="shared" si="37"/>
        <v>Ferroviários</v>
      </c>
      <c r="U254" s="77" t="str">
        <f t="shared" si="37"/>
        <v>Ferrovias Trilhos</v>
      </c>
      <c r="V254" s="77" t="s">
        <v>1964</v>
      </c>
      <c r="W254" s="78" t="str">
        <f t="shared" si="34"/>
        <v>Key-BRASIL-254</v>
      </c>
      <c r="X254" s="77" t="s">
        <v>1850</v>
      </c>
      <c r="Y254" s="81" t="s">
        <v>1906</v>
      </c>
      <c r="Z254" s="81" t="s">
        <v>1</v>
      </c>
      <c r="AA254" s="77" t="str">
        <f t="shared" si="35"/>
        <v>It can refer to the cutting edge or profile of the rail, used in technical contexts.</v>
      </c>
    </row>
    <row r="255" spans="1:27" ht="6.6" customHeight="1" x14ac:dyDescent="0.25">
      <c r="A255" s="72">
        <v>255</v>
      </c>
      <c r="B255" s="73" t="s">
        <v>1968</v>
      </c>
      <c r="C255" s="83" t="s">
        <v>2001</v>
      </c>
      <c r="D255" s="73" t="s">
        <v>1491</v>
      </c>
      <c r="E255" s="73" t="s">
        <v>1417</v>
      </c>
      <c r="F255" s="91" t="s">
        <v>1378</v>
      </c>
      <c r="G255" s="75" t="s">
        <v>1</v>
      </c>
      <c r="H255" s="75" t="s">
        <v>1</v>
      </c>
      <c r="I255" s="75" t="s">
        <v>1</v>
      </c>
      <c r="J255" s="75" t="s">
        <v>1</v>
      </c>
      <c r="K255" s="75" t="s">
        <v>1</v>
      </c>
      <c r="L255" s="76" t="str">
        <f t="shared" si="41"/>
        <v>Infraestruturais</v>
      </c>
      <c r="M255" s="76" t="str">
        <f t="shared" si="41"/>
        <v>Ferroviários</v>
      </c>
      <c r="N255" s="76" t="str">
        <f t="shared" si="39"/>
        <v>Ferrovias Trilhos</v>
      </c>
      <c r="O255" s="77" t="str">
        <f t="shared" si="40"/>
        <v>Trilho.de.Contenção</v>
      </c>
      <c r="P255" s="92" t="s">
        <v>273</v>
      </c>
      <c r="Q255" s="77" t="s">
        <v>337</v>
      </c>
      <c r="R255" s="77" t="s">
        <v>1</v>
      </c>
      <c r="S255" s="77" t="str">
        <f t="shared" si="37"/>
        <v>Infraestruturais</v>
      </c>
      <c r="T255" s="77" t="str">
        <f t="shared" si="37"/>
        <v>Ferroviários</v>
      </c>
      <c r="U255" s="77" t="str">
        <f t="shared" si="37"/>
        <v>Ferrovias Trilhos</v>
      </c>
      <c r="V255" s="77" t="s">
        <v>1964</v>
      </c>
      <c r="W255" s="78" t="str">
        <f t="shared" si="34"/>
        <v>Key-BRASIL-255</v>
      </c>
      <c r="X255" s="77" t="s">
        <v>1850</v>
      </c>
      <c r="Y255" s="81" t="s">
        <v>1906</v>
      </c>
      <c r="Z255" s="81" t="s">
        <v>1</v>
      </c>
      <c r="AA255" s="77" t="str">
        <f t="shared" si="35"/>
        <v>Additional rail placed next to the main rail on sharp turns to prevent derailment.</v>
      </c>
    </row>
    <row r="256" spans="1:27" ht="6.6" customHeight="1" x14ac:dyDescent="0.25">
      <c r="A256" s="72">
        <v>256</v>
      </c>
      <c r="B256" s="73" t="s">
        <v>1968</v>
      </c>
      <c r="C256" s="83" t="s">
        <v>2001</v>
      </c>
      <c r="D256" s="73" t="s">
        <v>1491</v>
      </c>
      <c r="E256" s="73" t="s">
        <v>1417</v>
      </c>
      <c r="F256" s="91" t="s">
        <v>1379</v>
      </c>
      <c r="G256" s="75" t="s">
        <v>1</v>
      </c>
      <c r="H256" s="75" t="s">
        <v>1</v>
      </c>
      <c r="I256" s="75" t="s">
        <v>1</v>
      </c>
      <c r="J256" s="75" t="s">
        <v>1</v>
      </c>
      <c r="K256" s="75" t="s">
        <v>1</v>
      </c>
      <c r="L256" s="76" t="str">
        <f t="shared" si="41"/>
        <v>Infraestruturais</v>
      </c>
      <c r="M256" s="76" t="str">
        <f t="shared" si="41"/>
        <v>Ferroviários</v>
      </c>
      <c r="N256" s="76" t="str">
        <f t="shared" si="39"/>
        <v>Ferrovias Trilhos</v>
      </c>
      <c r="O256" s="77" t="str">
        <f t="shared" si="40"/>
        <v>Trilho.de.Segurança</v>
      </c>
      <c r="P256" s="92" t="s">
        <v>274</v>
      </c>
      <c r="Q256" s="77" t="s">
        <v>338</v>
      </c>
      <c r="R256" s="77" t="s">
        <v>1</v>
      </c>
      <c r="S256" s="77" t="str">
        <f t="shared" si="37"/>
        <v>Infraestruturais</v>
      </c>
      <c r="T256" s="77" t="str">
        <f t="shared" si="37"/>
        <v>Ferroviários</v>
      </c>
      <c r="U256" s="77" t="str">
        <f t="shared" si="37"/>
        <v>Ferrovias Trilhos</v>
      </c>
      <c r="V256" s="77" t="s">
        <v>1964</v>
      </c>
      <c r="W256" s="78" t="str">
        <f t="shared" ref="W256:W319" si="42">CONCATENATE("Key-BRASIL-",A256)</f>
        <v>Key-BRASIL-256</v>
      </c>
      <c r="X256" s="77" t="s">
        <v>1850</v>
      </c>
      <c r="Y256" s="81" t="s">
        <v>1906</v>
      </c>
      <c r="Z256" s="81" t="s">
        <v>1</v>
      </c>
      <c r="AA256" s="77" t="str">
        <f t="shared" si="35"/>
        <v>Similar to checkrail, it protects against derailments, especially at bridges and crossings.</v>
      </c>
    </row>
    <row r="257" spans="1:27" ht="6.6" customHeight="1" x14ac:dyDescent="0.25">
      <c r="A257" s="72">
        <v>257</v>
      </c>
      <c r="B257" s="73" t="s">
        <v>1968</v>
      </c>
      <c r="C257" s="83" t="s">
        <v>2001</v>
      </c>
      <c r="D257" s="73" t="s">
        <v>1491</v>
      </c>
      <c r="E257" s="73" t="s">
        <v>1417</v>
      </c>
      <c r="F257" s="91" t="s">
        <v>280</v>
      </c>
      <c r="G257" s="75" t="s">
        <v>1</v>
      </c>
      <c r="H257" s="75" t="s">
        <v>1</v>
      </c>
      <c r="I257" s="75" t="s">
        <v>1</v>
      </c>
      <c r="J257" s="75" t="s">
        <v>1</v>
      </c>
      <c r="K257" s="75" t="s">
        <v>1</v>
      </c>
      <c r="L257" s="76" t="str">
        <f t="shared" si="41"/>
        <v>Infraestruturais</v>
      </c>
      <c r="M257" s="76" t="str">
        <f t="shared" si="41"/>
        <v>Ferroviários</v>
      </c>
      <c r="N257" s="76" t="str">
        <f t="shared" si="39"/>
        <v>Ferrovias Trilhos</v>
      </c>
      <c r="O257" s="77" t="str">
        <f t="shared" si="40"/>
        <v>Trilho.Dentado</v>
      </c>
      <c r="P257" s="92" t="s">
        <v>275</v>
      </c>
      <c r="Q257" s="77" t="s">
        <v>339</v>
      </c>
      <c r="R257" s="77" t="s">
        <v>1</v>
      </c>
      <c r="S257" s="77" t="str">
        <f t="shared" si="37"/>
        <v>Infraestruturais</v>
      </c>
      <c r="T257" s="77" t="str">
        <f t="shared" si="37"/>
        <v>Ferroviários</v>
      </c>
      <c r="U257" s="77" t="str">
        <f t="shared" si="37"/>
        <v>Ferrovias Trilhos</v>
      </c>
      <c r="V257" s="77" t="s">
        <v>1964</v>
      </c>
      <c r="W257" s="78" t="str">
        <f t="shared" si="42"/>
        <v>Key-BRASIL-257</v>
      </c>
      <c r="X257" s="77" t="s">
        <v>1850</v>
      </c>
      <c r="Y257" s="81" t="s">
        <v>1906</v>
      </c>
      <c r="Z257" s="81" t="s">
        <v>1</v>
      </c>
      <c r="AA257" s="77" t="str">
        <f t="shared" si="35"/>
        <v>Used on cogwheel railways, where locomotives climb steep inclines with gears.</v>
      </c>
    </row>
    <row r="258" spans="1:27" ht="6.6" customHeight="1" x14ac:dyDescent="0.25">
      <c r="A258" s="72">
        <v>258</v>
      </c>
      <c r="B258" s="73" t="s">
        <v>1968</v>
      </c>
      <c r="C258" s="83" t="s">
        <v>2001</v>
      </c>
      <c r="D258" s="73" t="s">
        <v>1491</v>
      </c>
      <c r="E258" s="73" t="s">
        <v>1417</v>
      </c>
      <c r="F258" s="91" t="s">
        <v>279</v>
      </c>
      <c r="G258" s="75" t="s">
        <v>1</v>
      </c>
      <c r="H258" s="75" t="s">
        <v>1</v>
      </c>
      <c r="I258" s="75" t="s">
        <v>1</v>
      </c>
      <c r="J258" s="75" t="s">
        <v>1</v>
      </c>
      <c r="K258" s="75" t="s">
        <v>1</v>
      </c>
      <c r="L258" s="76" t="str">
        <f t="shared" si="41"/>
        <v>Infraestruturais</v>
      </c>
      <c r="M258" s="76" t="str">
        <f t="shared" si="41"/>
        <v>Ferroviários</v>
      </c>
      <c r="N258" s="76" t="str">
        <f t="shared" si="39"/>
        <v>Ferrovias Trilhos</v>
      </c>
      <c r="O258" s="77" t="str">
        <f t="shared" si="40"/>
        <v>Trilho.Fixo</v>
      </c>
      <c r="P258" s="92" t="s">
        <v>278</v>
      </c>
      <c r="Q258" s="77" t="s">
        <v>340</v>
      </c>
      <c r="R258" s="77" t="s">
        <v>1</v>
      </c>
      <c r="S258" s="77" t="str">
        <f t="shared" si="37"/>
        <v>Infraestruturais</v>
      </c>
      <c r="T258" s="77" t="str">
        <f t="shared" si="37"/>
        <v>Ferroviários</v>
      </c>
      <c r="U258" s="77" t="str">
        <f t="shared" si="37"/>
        <v>Ferrovias Trilhos</v>
      </c>
      <c r="V258" s="77" t="s">
        <v>1964</v>
      </c>
      <c r="W258" s="78" t="str">
        <f t="shared" si="42"/>
        <v>Key-BRASIL-258</v>
      </c>
      <c r="X258" s="77" t="s">
        <v>1850</v>
      </c>
      <c r="Y258" s="81" t="s">
        <v>1907</v>
      </c>
      <c r="Z258" s="81" t="s">
        <v>1</v>
      </c>
      <c r="AA258" s="77" t="str">
        <f t="shared" si="35"/>
        <v>Part of the rail that remains fixed on turnouts, against which the moving rail rests.</v>
      </c>
    </row>
    <row r="259" spans="1:27" ht="6.6" customHeight="1" x14ac:dyDescent="0.25">
      <c r="A259" s="72">
        <v>259</v>
      </c>
      <c r="B259" s="73" t="s">
        <v>1968</v>
      </c>
      <c r="C259" s="83" t="s">
        <v>2001</v>
      </c>
      <c r="D259" s="73" t="s">
        <v>1491</v>
      </c>
      <c r="E259" s="73" t="s">
        <v>1417</v>
      </c>
      <c r="F259" s="91" t="s">
        <v>302</v>
      </c>
      <c r="G259" s="75" t="s">
        <v>1</v>
      </c>
      <c r="H259" s="75" t="s">
        <v>1</v>
      </c>
      <c r="I259" s="75" t="s">
        <v>1</v>
      </c>
      <c r="J259" s="75" t="s">
        <v>1</v>
      </c>
      <c r="K259" s="75" t="s">
        <v>1</v>
      </c>
      <c r="L259" s="76" t="str">
        <f t="shared" si="41"/>
        <v>Infraestruturais</v>
      </c>
      <c r="M259" s="76" t="str">
        <f t="shared" si="41"/>
        <v>Ferroviários</v>
      </c>
      <c r="N259" s="76" t="str">
        <f t="shared" si="39"/>
        <v>Ferrovias Trilhos</v>
      </c>
      <c r="O259" s="77" t="str">
        <f t="shared" si="40"/>
        <v>Trilho.AMV</v>
      </c>
      <c r="P259" s="92" t="s">
        <v>293</v>
      </c>
      <c r="Q259" s="77" t="s">
        <v>341</v>
      </c>
      <c r="R259" s="77" t="s">
        <v>1</v>
      </c>
      <c r="S259" s="77" t="str">
        <f t="shared" si="37"/>
        <v>Infraestruturais</v>
      </c>
      <c r="T259" s="77" t="str">
        <f t="shared" si="37"/>
        <v>Ferroviários</v>
      </c>
      <c r="U259" s="77" t="str">
        <f t="shared" si="37"/>
        <v>Ferrovias Trilhos</v>
      </c>
      <c r="V259" s="77" t="s">
        <v>1964</v>
      </c>
      <c r="W259" s="78" t="str">
        <f t="shared" si="42"/>
        <v>Key-BRASIL-259</v>
      </c>
      <c r="X259" s="77" t="s">
        <v>1850</v>
      </c>
      <c r="Y259" s="80" t="s">
        <v>1907</v>
      </c>
      <c r="Z259" s="81" t="s">
        <v>1</v>
      </c>
      <c r="AA259" s="77" t="str">
        <f t="shared" si="35"/>
        <v>A section that allows the train to change tracks, such as at crossings or detours.</v>
      </c>
    </row>
    <row r="260" spans="1:27" ht="6.6" customHeight="1" x14ac:dyDescent="0.25">
      <c r="A260" s="72">
        <v>260</v>
      </c>
      <c r="B260" s="73" t="s">
        <v>1968</v>
      </c>
      <c r="C260" s="83" t="s">
        <v>2001</v>
      </c>
      <c r="D260" s="73" t="s">
        <v>1491</v>
      </c>
      <c r="E260" s="73" t="s">
        <v>1417</v>
      </c>
      <c r="F260" s="91" t="s">
        <v>306</v>
      </c>
      <c r="G260" s="75" t="s">
        <v>1</v>
      </c>
      <c r="H260" s="75" t="s">
        <v>1</v>
      </c>
      <c r="I260" s="75" t="s">
        <v>1</v>
      </c>
      <c r="J260" s="75" t="s">
        <v>1</v>
      </c>
      <c r="K260" s="75" t="s">
        <v>1</v>
      </c>
      <c r="L260" s="76" t="str">
        <f t="shared" si="41"/>
        <v>Infraestruturais</v>
      </c>
      <c r="M260" s="76" t="str">
        <f t="shared" si="41"/>
        <v>Ferroviários</v>
      </c>
      <c r="N260" s="76" t="str">
        <f t="shared" si="39"/>
        <v>Ferrovias Trilhos</v>
      </c>
      <c r="O260" s="77" t="str">
        <f t="shared" si="40"/>
        <v>Trilho.Bloqueador</v>
      </c>
      <c r="P260" s="92" t="s">
        <v>294</v>
      </c>
      <c r="Q260" s="77" t="s">
        <v>342</v>
      </c>
      <c r="R260" s="77" t="s">
        <v>1</v>
      </c>
      <c r="S260" s="77" t="str">
        <f t="shared" si="37"/>
        <v>Infraestruturais</v>
      </c>
      <c r="T260" s="77" t="str">
        <f t="shared" si="37"/>
        <v>Ferroviários</v>
      </c>
      <c r="U260" s="77" t="str">
        <f t="shared" si="37"/>
        <v>Ferrovias Trilhos</v>
      </c>
      <c r="V260" s="77" t="s">
        <v>1964</v>
      </c>
      <c r="W260" s="78" t="str">
        <f t="shared" si="42"/>
        <v>Key-BRASIL-260</v>
      </c>
      <c r="X260" s="77" t="s">
        <v>1850</v>
      </c>
      <c r="Y260" s="80" t="s">
        <v>1907</v>
      </c>
      <c r="Z260" s="81" t="s">
        <v>1</v>
      </c>
      <c r="AA260" s="77" t="str">
        <f t="shared" ref="AA260:AA323" si="43">_xlfn.TRANSLATE(P260,"pt","en")</f>
        <v>Equipment that prevents the movement of trains under certain conditions.</v>
      </c>
    </row>
    <row r="261" spans="1:27" ht="6.6" customHeight="1" x14ac:dyDescent="0.25">
      <c r="A261" s="72">
        <v>261</v>
      </c>
      <c r="B261" s="73" t="s">
        <v>1968</v>
      </c>
      <c r="C261" s="83" t="s">
        <v>2001</v>
      </c>
      <c r="D261" s="73" t="s">
        <v>1491</v>
      </c>
      <c r="E261" s="73" t="s">
        <v>1417</v>
      </c>
      <c r="F261" s="91" t="s">
        <v>303</v>
      </c>
      <c r="G261" s="75" t="s">
        <v>1</v>
      </c>
      <c r="H261" s="75" t="s">
        <v>1</v>
      </c>
      <c r="I261" s="75" t="s">
        <v>1</v>
      </c>
      <c r="J261" s="75" t="s">
        <v>1</v>
      </c>
      <c r="K261" s="75" t="s">
        <v>1</v>
      </c>
      <c r="L261" s="76" t="str">
        <f t="shared" si="41"/>
        <v>Infraestruturais</v>
      </c>
      <c r="M261" s="76" t="str">
        <f t="shared" si="41"/>
        <v>Ferroviários</v>
      </c>
      <c r="N261" s="76" t="str">
        <f t="shared" si="39"/>
        <v>Ferrovias Trilhos</v>
      </c>
      <c r="O261" s="77" t="str">
        <f t="shared" si="40"/>
        <v>Trilho.Descarrilador</v>
      </c>
      <c r="P261" s="92" t="s">
        <v>295</v>
      </c>
      <c r="Q261" s="77" t="s">
        <v>343</v>
      </c>
      <c r="R261" s="77" t="s">
        <v>1</v>
      </c>
      <c r="S261" s="77" t="str">
        <f t="shared" si="37"/>
        <v>Infraestruturais</v>
      </c>
      <c r="T261" s="77" t="str">
        <f t="shared" si="37"/>
        <v>Ferroviários</v>
      </c>
      <c r="U261" s="77" t="str">
        <f t="shared" si="37"/>
        <v>Ferrovias Trilhos</v>
      </c>
      <c r="V261" s="77" t="s">
        <v>1964</v>
      </c>
      <c r="W261" s="78" t="str">
        <f t="shared" si="42"/>
        <v>Key-BRASIL-261</v>
      </c>
      <c r="X261" s="77" t="s">
        <v>1850</v>
      </c>
      <c r="Y261" s="80" t="s">
        <v>1907</v>
      </c>
      <c r="Z261" s="81" t="s">
        <v>1</v>
      </c>
      <c r="AA261" s="77" t="str">
        <f t="shared" si="43"/>
        <v>Safety device that forces the train off the tracks in the event of an emergency.</v>
      </c>
    </row>
    <row r="262" spans="1:27" ht="6.6" customHeight="1" x14ac:dyDescent="0.25">
      <c r="A262" s="72">
        <v>262</v>
      </c>
      <c r="B262" s="73" t="s">
        <v>1968</v>
      </c>
      <c r="C262" s="83" t="s">
        <v>2001</v>
      </c>
      <c r="D262" s="73" t="s">
        <v>1491</v>
      </c>
      <c r="E262" s="73" t="s">
        <v>1417</v>
      </c>
      <c r="F262" s="91" t="s">
        <v>305</v>
      </c>
      <c r="G262" s="75" t="s">
        <v>1</v>
      </c>
      <c r="H262" s="75" t="s">
        <v>1</v>
      </c>
      <c r="I262" s="75" t="s">
        <v>1</v>
      </c>
      <c r="J262" s="75" t="s">
        <v>1</v>
      </c>
      <c r="K262" s="75" t="s">
        <v>1</v>
      </c>
      <c r="L262" s="76" t="str">
        <f t="shared" ref="L262:M277" si="44">CONCATENATE("", C262)</f>
        <v>Infraestruturais</v>
      </c>
      <c r="M262" s="76" t="str">
        <f t="shared" si="44"/>
        <v>Ferroviários</v>
      </c>
      <c r="N262" s="76" t="str">
        <f t="shared" si="39"/>
        <v>Ferrovias Trilhos</v>
      </c>
      <c r="O262" s="77" t="str">
        <f t="shared" si="40"/>
        <v>Trilho.Cruz</v>
      </c>
      <c r="P262" s="92" t="s">
        <v>296</v>
      </c>
      <c r="Q262" s="77" t="s">
        <v>344</v>
      </c>
      <c r="R262" s="77" t="s">
        <v>1</v>
      </c>
      <c r="S262" s="77" t="str">
        <f t="shared" si="37"/>
        <v>Infraestruturais</v>
      </c>
      <c r="T262" s="77" t="str">
        <f t="shared" si="37"/>
        <v>Ferroviários</v>
      </c>
      <c r="U262" s="77" t="str">
        <f t="shared" si="37"/>
        <v>Ferrovias Trilhos</v>
      </c>
      <c r="V262" s="77" t="s">
        <v>1964</v>
      </c>
      <c r="W262" s="78" t="str">
        <f t="shared" si="42"/>
        <v>Key-BRASIL-262</v>
      </c>
      <c r="X262" s="77" t="s">
        <v>1850</v>
      </c>
      <c r="Y262" s="80" t="s">
        <v>1907</v>
      </c>
      <c r="Z262" s="81" t="s">
        <v>1</v>
      </c>
      <c r="AA262" s="77" t="str">
        <f t="shared" si="43"/>
        <v>Metal piece where the rails intersect in turnouts.</v>
      </c>
    </row>
    <row r="263" spans="1:27" ht="6.6" customHeight="1" x14ac:dyDescent="0.25">
      <c r="A263" s="72">
        <v>263</v>
      </c>
      <c r="B263" s="73" t="s">
        <v>1968</v>
      </c>
      <c r="C263" s="83" t="s">
        <v>2001</v>
      </c>
      <c r="D263" s="73" t="s">
        <v>1491</v>
      </c>
      <c r="E263" s="73" t="s">
        <v>1417</v>
      </c>
      <c r="F263" s="91" t="s">
        <v>307</v>
      </c>
      <c r="G263" s="75" t="s">
        <v>1</v>
      </c>
      <c r="H263" s="75" t="s">
        <v>1</v>
      </c>
      <c r="I263" s="75" t="s">
        <v>1</v>
      </c>
      <c r="J263" s="75" t="s">
        <v>1</v>
      </c>
      <c r="K263" s="75" t="s">
        <v>1</v>
      </c>
      <c r="L263" s="76" t="str">
        <f t="shared" si="44"/>
        <v>Infraestruturais</v>
      </c>
      <c r="M263" s="76" t="str">
        <f t="shared" si="44"/>
        <v>Ferroviários</v>
      </c>
      <c r="N263" s="76" t="str">
        <f t="shared" si="39"/>
        <v>Ferrovias Trilhos</v>
      </c>
      <c r="O263" s="77" t="str">
        <f t="shared" si="40"/>
        <v>Trilho.Lâmina.Desviadora</v>
      </c>
      <c r="P263" s="92" t="s">
        <v>1341</v>
      </c>
      <c r="Q263" s="77" t="s">
        <v>1342</v>
      </c>
      <c r="R263" s="77" t="s">
        <v>1</v>
      </c>
      <c r="S263" s="77" t="str">
        <f t="shared" si="37"/>
        <v>Infraestruturais</v>
      </c>
      <c r="T263" s="77" t="str">
        <f t="shared" si="37"/>
        <v>Ferroviários</v>
      </c>
      <c r="U263" s="77" t="str">
        <f t="shared" si="37"/>
        <v>Ferrovias Trilhos</v>
      </c>
      <c r="V263" s="77" t="s">
        <v>1964</v>
      </c>
      <c r="W263" s="78" t="str">
        <f t="shared" si="42"/>
        <v>Key-BRASIL-263</v>
      </c>
      <c r="X263" s="77" t="s">
        <v>1850</v>
      </c>
      <c r="Y263" s="80" t="s">
        <v>1907</v>
      </c>
      <c r="Z263" s="81" t="s">
        <v>1</v>
      </c>
      <c r="AA263" s="77" t="str">
        <f t="shared" si="43"/>
        <v>Moving part of a Turnout Device (AMV) that directs the train to different tracks.</v>
      </c>
    </row>
    <row r="264" spans="1:27" ht="6.6" customHeight="1" x14ac:dyDescent="0.25">
      <c r="A264" s="72">
        <v>264</v>
      </c>
      <c r="B264" s="73" t="s">
        <v>1968</v>
      </c>
      <c r="C264" s="83" t="s">
        <v>2001</v>
      </c>
      <c r="D264" s="73" t="s">
        <v>1491</v>
      </c>
      <c r="E264" s="73" t="s">
        <v>1417</v>
      </c>
      <c r="F264" s="91" t="s">
        <v>304</v>
      </c>
      <c r="G264" s="75" t="s">
        <v>1</v>
      </c>
      <c r="H264" s="75" t="s">
        <v>1</v>
      </c>
      <c r="I264" s="75" t="s">
        <v>1</v>
      </c>
      <c r="J264" s="75" t="s">
        <v>1</v>
      </c>
      <c r="K264" s="75" t="s">
        <v>1</v>
      </c>
      <c r="L264" s="76" t="str">
        <f t="shared" si="44"/>
        <v>Infraestruturais</v>
      </c>
      <c r="M264" s="76" t="str">
        <f t="shared" si="44"/>
        <v>Ferroviários</v>
      </c>
      <c r="N264" s="76" t="str">
        <f t="shared" si="39"/>
        <v>Ferrovias Trilhos</v>
      </c>
      <c r="O264" s="77" t="str">
        <f t="shared" si="40"/>
        <v>Trilho.Dormente</v>
      </c>
      <c r="P264" s="92" t="s">
        <v>297</v>
      </c>
      <c r="Q264" s="77" t="s">
        <v>345</v>
      </c>
      <c r="R264" s="77" t="s">
        <v>1</v>
      </c>
      <c r="S264" s="77" t="str">
        <f t="shared" si="37"/>
        <v>Infraestruturais</v>
      </c>
      <c r="T264" s="77" t="str">
        <f t="shared" si="37"/>
        <v>Ferroviários</v>
      </c>
      <c r="U264" s="77" t="str">
        <f t="shared" si="37"/>
        <v>Ferrovias Trilhos</v>
      </c>
      <c r="V264" s="77" t="s">
        <v>1964</v>
      </c>
      <c r="W264" s="78" t="str">
        <f t="shared" si="42"/>
        <v>Key-BRASIL-264</v>
      </c>
      <c r="X264" s="77" t="s">
        <v>1850</v>
      </c>
      <c r="Y264" s="80" t="s">
        <v>1907</v>
      </c>
      <c r="Z264" s="81" t="s">
        <v>1</v>
      </c>
      <c r="AA264" s="77" t="str">
        <f t="shared" si="43"/>
        <v>Transverse piece that supports the rails and distributes the load to the ballast.</v>
      </c>
    </row>
    <row r="265" spans="1:27" s="37" customFormat="1" ht="6.6" customHeight="1" x14ac:dyDescent="0.15">
      <c r="A265" s="72">
        <v>265</v>
      </c>
      <c r="B265" s="73" t="s">
        <v>1968</v>
      </c>
      <c r="C265" s="83" t="s">
        <v>2001</v>
      </c>
      <c r="D265" s="73" t="s">
        <v>1491</v>
      </c>
      <c r="E265" s="73" t="s">
        <v>1417</v>
      </c>
      <c r="F265" s="91" t="s">
        <v>1380</v>
      </c>
      <c r="G265" s="75" t="s">
        <v>1</v>
      </c>
      <c r="H265" s="75" t="s">
        <v>1</v>
      </c>
      <c r="I265" s="75" t="s">
        <v>1</v>
      </c>
      <c r="J265" s="75" t="s">
        <v>1</v>
      </c>
      <c r="K265" s="75" t="s">
        <v>1</v>
      </c>
      <c r="L265" s="76" t="str">
        <f t="shared" si="44"/>
        <v>Infraestruturais</v>
      </c>
      <c r="M265" s="76" t="str">
        <f t="shared" si="44"/>
        <v>Ferroviários</v>
      </c>
      <c r="N265" s="76" t="str">
        <f t="shared" si="39"/>
        <v>Ferrovias Trilhos</v>
      </c>
      <c r="O265" s="77" t="str">
        <f t="shared" si="40"/>
        <v>Trilho.Regulador.de.Velocidade</v>
      </c>
      <c r="P265" s="92" t="s">
        <v>298</v>
      </c>
      <c r="Q265" s="77" t="s">
        <v>346</v>
      </c>
      <c r="R265" s="77" t="s">
        <v>1</v>
      </c>
      <c r="S265" s="77" t="str">
        <f t="shared" si="37"/>
        <v>Infraestruturais</v>
      </c>
      <c r="T265" s="77" t="str">
        <f t="shared" si="37"/>
        <v>Ferroviários</v>
      </c>
      <c r="U265" s="77" t="str">
        <f t="shared" si="37"/>
        <v>Ferrovias Trilhos</v>
      </c>
      <c r="V265" s="77" t="s">
        <v>1964</v>
      </c>
      <c r="W265" s="78" t="str">
        <f t="shared" si="42"/>
        <v>Key-BRASIL-265</v>
      </c>
      <c r="X265" s="77" t="s">
        <v>1850</v>
      </c>
      <c r="Y265" s="80" t="s">
        <v>1907</v>
      </c>
      <c r="Z265" s="81" t="s">
        <v>1</v>
      </c>
      <c r="AA265" s="77" t="str">
        <f t="shared" si="43"/>
        <v>Equipment that controls the speed of trains, usually via signaling.</v>
      </c>
    </row>
    <row r="266" spans="1:27" s="37" customFormat="1" ht="6.6" customHeight="1" x14ac:dyDescent="0.15">
      <c r="A266" s="72">
        <v>266</v>
      </c>
      <c r="B266" s="73" t="s">
        <v>1968</v>
      </c>
      <c r="C266" s="83" t="s">
        <v>2001</v>
      </c>
      <c r="D266" s="73" t="s">
        <v>1491</v>
      </c>
      <c r="E266" s="73" t="s">
        <v>1417</v>
      </c>
      <c r="F266" s="91" t="s">
        <v>357</v>
      </c>
      <c r="G266" s="75" t="s">
        <v>1</v>
      </c>
      <c r="H266" s="75" t="s">
        <v>1</v>
      </c>
      <c r="I266" s="75" t="s">
        <v>1</v>
      </c>
      <c r="J266" s="75" t="s">
        <v>1</v>
      </c>
      <c r="K266" s="75" t="s">
        <v>1</v>
      </c>
      <c r="L266" s="76" t="str">
        <f t="shared" si="44"/>
        <v>Infraestruturais</v>
      </c>
      <c r="M266" s="76" t="str">
        <f t="shared" si="44"/>
        <v>Ferroviários</v>
      </c>
      <c r="N266" s="76" t="str">
        <f t="shared" si="39"/>
        <v>Ferrovias Trilhos</v>
      </c>
      <c r="O266" s="77" t="str">
        <f t="shared" si="40"/>
        <v>Trilho.Batente.Via</v>
      </c>
      <c r="P266" s="92" t="s">
        <v>299</v>
      </c>
      <c r="Q266" s="77" t="s">
        <v>347</v>
      </c>
      <c r="R266" s="77" t="s">
        <v>1</v>
      </c>
      <c r="S266" s="77" t="str">
        <f t="shared" si="37"/>
        <v>Infraestruturais</v>
      </c>
      <c r="T266" s="77" t="str">
        <f t="shared" si="37"/>
        <v>Ferroviários</v>
      </c>
      <c r="U266" s="77" t="str">
        <f t="shared" si="37"/>
        <v>Ferrovias Trilhos</v>
      </c>
      <c r="V266" s="77" t="s">
        <v>1964</v>
      </c>
      <c r="W266" s="78" t="str">
        <f t="shared" si="42"/>
        <v>Key-BRASIL-266</v>
      </c>
      <c r="X266" s="77" t="s">
        <v>1850</v>
      </c>
      <c r="Y266" s="80" t="s">
        <v>1907</v>
      </c>
      <c r="Z266" s="81" t="s">
        <v>1</v>
      </c>
      <c r="AA266" s="77" t="str">
        <f t="shared" si="43"/>
        <v>End point of a railway section, where the route ends.</v>
      </c>
    </row>
    <row r="267" spans="1:27" s="37" customFormat="1" ht="6.6" customHeight="1" x14ac:dyDescent="0.15">
      <c r="A267" s="72">
        <v>267</v>
      </c>
      <c r="B267" s="73" t="s">
        <v>1968</v>
      </c>
      <c r="C267" s="83" t="s">
        <v>2001</v>
      </c>
      <c r="D267" s="73" t="s">
        <v>1491</v>
      </c>
      <c r="E267" s="73" t="s">
        <v>1417</v>
      </c>
      <c r="F267" s="91" t="s">
        <v>356</v>
      </c>
      <c r="G267" s="75" t="s">
        <v>1</v>
      </c>
      <c r="H267" s="75" t="s">
        <v>1</v>
      </c>
      <c r="I267" s="75" t="s">
        <v>1</v>
      </c>
      <c r="J267" s="75" t="s">
        <v>1</v>
      </c>
      <c r="K267" s="75" t="s">
        <v>1</v>
      </c>
      <c r="L267" s="76" t="str">
        <f t="shared" si="44"/>
        <v>Infraestruturais</v>
      </c>
      <c r="M267" s="76" t="str">
        <f t="shared" si="44"/>
        <v>Ferroviários</v>
      </c>
      <c r="N267" s="76" t="str">
        <f t="shared" si="39"/>
        <v>Ferrovias Trilhos</v>
      </c>
      <c r="O267" s="77" t="str">
        <f t="shared" si="40"/>
        <v>Trilho.Batente.Veícular</v>
      </c>
      <c r="P267" s="92" t="s">
        <v>300</v>
      </c>
      <c r="Q267" s="77" t="s">
        <v>348</v>
      </c>
      <c r="R267" s="77" t="s">
        <v>1</v>
      </c>
      <c r="S267" s="77" t="str">
        <f t="shared" si="37"/>
        <v>Infraestruturais</v>
      </c>
      <c r="T267" s="77" t="str">
        <f t="shared" si="37"/>
        <v>Ferroviários</v>
      </c>
      <c r="U267" s="77" t="str">
        <f t="shared" si="37"/>
        <v>Ferrovias Trilhos</v>
      </c>
      <c r="V267" s="77" t="s">
        <v>1964</v>
      </c>
      <c r="W267" s="78" t="str">
        <f t="shared" si="42"/>
        <v>Key-BRASIL-267</v>
      </c>
      <c r="X267" s="77" t="s">
        <v>1850</v>
      </c>
      <c r="Y267" s="80" t="s">
        <v>1908</v>
      </c>
      <c r="Z267" s="81" t="s">
        <v>1</v>
      </c>
      <c r="AA267" s="77" t="str">
        <f t="shared" si="43"/>
        <v>A physical device that prevents movement beyond a safe point.</v>
      </c>
    </row>
    <row r="268" spans="1:27" ht="6.6" customHeight="1" x14ac:dyDescent="0.25">
      <c r="A268" s="72">
        <v>268</v>
      </c>
      <c r="B268" s="73" t="s">
        <v>1968</v>
      </c>
      <c r="C268" s="83" t="s">
        <v>2001</v>
      </c>
      <c r="D268" s="73" t="s">
        <v>1491</v>
      </c>
      <c r="E268" s="73" t="s">
        <v>1418</v>
      </c>
      <c r="F268" s="91" t="s">
        <v>324</v>
      </c>
      <c r="G268" s="75" t="s">
        <v>1</v>
      </c>
      <c r="H268" s="75" t="s">
        <v>1</v>
      </c>
      <c r="I268" s="75" t="s">
        <v>1</v>
      </c>
      <c r="J268" s="75" t="s">
        <v>1</v>
      </c>
      <c r="K268" s="75" t="s">
        <v>1</v>
      </c>
      <c r="L268" s="76" t="str">
        <f t="shared" si="44"/>
        <v>Infraestruturais</v>
      </c>
      <c r="M268" s="76" t="str">
        <f t="shared" si="44"/>
        <v>Ferroviários</v>
      </c>
      <c r="N268" s="76" t="str">
        <f t="shared" si="39"/>
        <v>Ferrovias Partes</v>
      </c>
      <c r="O268" s="77" t="str">
        <f t="shared" si="40"/>
        <v>Ferrovia.Componente</v>
      </c>
      <c r="P268" s="92" t="s">
        <v>292</v>
      </c>
      <c r="Q268" s="77" t="s">
        <v>354</v>
      </c>
      <c r="R268" s="77" t="s">
        <v>1</v>
      </c>
      <c r="S268" s="77" t="str">
        <f t="shared" si="37"/>
        <v>Infraestruturais</v>
      </c>
      <c r="T268" s="77" t="str">
        <f t="shared" si="37"/>
        <v>Ferroviários</v>
      </c>
      <c r="U268" s="77" t="str">
        <f t="shared" si="37"/>
        <v>Ferrovias Partes</v>
      </c>
      <c r="V268" s="77" t="s">
        <v>1964</v>
      </c>
      <c r="W268" s="78" t="str">
        <f t="shared" si="42"/>
        <v>Key-BRASIL-268</v>
      </c>
      <c r="X268" s="77" t="s">
        <v>1850</v>
      </c>
      <c r="Y268" s="80" t="s">
        <v>1908</v>
      </c>
      <c r="Z268" s="81" t="s">
        <v>1</v>
      </c>
      <c r="AA268" s="77" t="str">
        <f t="shared" si="43"/>
        <v>Individual elements that make up the railroad, such as rails and sleepers.</v>
      </c>
    </row>
    <row r="269" spans="1:27" ht="6.6" customHeight="1" x14ac:dyDescent="0.25">
      <c r="A269" s="72">
        <v>269</v>
      </c>
      <c r="B269" s="73" t="s">
        <v>1968</v>
      </c>
      <c r="C269" s="83" t="s">
        <v>2001</v>
      </c>
      <c r="D269" s="73" t="s">
        <v>1491</v>
      </c>
      <c r="E269" s="73" t="s">
        <v>1418</v>
      </c>
      <c r="F269" s="91" t="s">
        <v>1343</v>
      </c>
      <c r="G269" s="75" t="s">
        <v>1</v>
      </c>
      <c r="H269" s="75" t="s">
        <v>1</v>
      </c>
      <c r="I269" s="75" t="s">
        <v>1</v>
      </c>
      <c r="J269" s="75" t="s">
        <v>1</v>
      </c>
      <c r="K269" s="75" t="s">
        <v>1</v>
      </c>
      <c r="L269" s="76" t="str">
        <f t="shared" si="44"/>
        <v>Infraestruturais</v>
      </c>
      <c r="M269" s="76" t="str">
        <f t="shared" si="44"/>
        <v>Ferroviários</v>
      </c>
      <c r="N269" s="76" t="str">
        <f t="shared" si="39"/>
        <v>Ferrovias Partes</v>
      </c>
      <c r="O269" s="77" t="str">
        <f t="shared" si="40"/>
        <v>Ferrovia.Cancela</v>
      </c>
      <c r="P269" s="92" t="s">
        <v>1344</v>
      </c>
      <c r="Q269" s="77" t="s">
        <v>1345</v>
      </c>
      <c r="R269" s="77" t="s">
        <v>1</v>
      </c>
      <c r="S269" s="77" t="str">
        <f t="shared" si="37"/>
        <v>Infraestruturais</v>
      </c>
      <c r="T269" s="77" t="str">
        <f t="shared" si="37"/>
        <v>Ferroviários</v>
      </c>
      <c r="U269" s="77" t="str">
        <f t="shared" si="37"/>
        <v>Ferrovias Partes</v>
      </c>
      <c r="V269" s="77" t="s">
        <v>1964</v>
      </c>
      <c r="W269" s="78" t="str">
        <f t="shared" si="42"/>
        <v>Key-BRASIL-269</v>
      </c>
      <c r="X269" s="77" t="s">
        <v>1850</v>
      </c>
      <c r="Y269" s="80" t="s">
        <v>1908</v>
      </c>
      <c r="Z269" s="81" t="s">
        <v>1</v>
      </c>
      <c r="AA269" s="77" t="str">
        <f t="shared" si="43"/>
        <v>Railway barrier safety device installed at local level crossings where the railway line crosses urban or rural tracks.</v>
      </c>
    </row>
    <row r="270" spans="1:27" ht="6.6" customHeight="1" x14ac:dyDescent="0.25">
      <c r="A270" s="72">
        <v>270</v>
      </c>
      <c r="B270" s="73" t="s">
        <v>1968</v>
      </c>
      <c r="C270" s="83" t="s">
        <v>2001</v>
      </c>
      <c r="D270" s="73" t="s">
        <v>1491</v>
      </c>
      <c r="E270" s="73" t="s">
        <v>1418</v>
      </c>
      <c r="F270" s="91" t="s">
        <v>1338</v>
      </c>
      <c r="G270" s="75" t="s">
        <v>1</v>
      </c>
      <c r="H270" s="75" t="s">
        <v>1</v>
      </c>
      <c r="I270" s="75" t="s">
        <v>1</v>
      </c>
      <c r="J270" s="75" t="s">
        <v>1</v>
      </c>
      <c r="K270" s="75" t="s">
        <v>1</v>
      </c>
      <c r="L270" s="76" t="str">
        <f t="shared" si="44"/>
        <v>Infraestruturais</v>
      </c>
      <c r="M270" s="76" t="str">
        <f t="shared" si="44"/>
        <v>Ferroviários</v>
      </c>
      <c r="N270" s="76" t="str">
        <f t="shared" si="39"/>
        <v>Ferrovias Partes</v>
      </c>
      <c r="O270" s="77" t="str">
        <f t="shared" si="40"/>
        <v>Ferrovia.Berma</v>
      </c>
      <c r="P270" s="92" t="s">
        <v>1339</v>
      </c>
      <c r="Q270" s="77" t="s">
        <v>1340</v>
      </c>
      <c r="R270" s="77" t="s">
        <v>1</v>
      </c>
      <c r="S270" s="77" t="str">
        <f t="shared" si="37"/>
        <v>Infraestruturais</v>
      </c>
      <c r="T270" s="77" t="str">
        <f t="shared" si="37"/>
        <v>Ferroviários</v>
      </c>
      <c r="U270" s="77" t="str">
        <f t="shared" si="37"/>
        <v>Ferrovias Partes</v>
      </c>
      <c r="V270" s="77" t="s">
        <v>1964</v>
      </c>
      <c r="W270" s="78" t="str">
        <f t="shared" si="42"/>
        <v>Key-BRASIL-270</v>
      </c>
      <c r="X270" s="77" t="s">
        <v>1850</v>
      </c>
      <c r="Y270" s="80" t="s">
        <v>1908</v>
      </c>
      <c r="Z270" s="81" t="s">
        <v>1</v>
      </c>
      <c r="AA270" s="77" t="str">
        <f t="shared" si="43"/>
        <v>Area next to the railroad, where equipment, signaling and infrastructure are located. Service range.</v>
      </c>
    </row>
    <row r="271" spans="1:27" ht="6.6" customHeight="1" x14ac:dyDescent="0.25">
      <c r="A271" s="72">
        <v>271</v>
      </c>
      <c r="B271" s="73" t="s">
        <v>1968</v>
      </c>
      <c r="C271" s="83" t="s">
        <v>2001</v>
      </c>
      <c r="D271" s="73" t="s">
        <v>1491</v>
      </c>
      <c r="E271" s="73" t="s">
        <v>1418</v>
      </c>
      <c r="F271" s="91" t="s">
        <v>312</v>
      </c>
      <c r="G271" s="75" t="s">
        <v>1</v>
      </c>
      <c r="H271" s="75" t="s">
        <v>1</v>
      </c>
      <c r="I271" s="75" t="s">
        <v>1</v>
      </c>
      <c r="J271" s="75" t="s">
        <v>1</v>
      </c>
      <c r="K271" s="75" t="s">
        <v>1</v>
      </c>
      <c r="L271" s="76" t="str">
        <f t="shared" si="44"/>
        <v>Infraestruturais</v>
      </c>
      <c r="M271" s="76" t="str">
        <f t="shared" si="44"/>
        <v>Ferroviários</v>
      </c>
      <c r="N271" s="76" t="str">
        <f t="shared" si="39"/>
        <v>Ferrovias Partes</v>
      </c>
      <c r="O271" s="77" t="str">
        <f t="shared" si="40"/>
        <v>Ferrovia.Aerea</v>
      </c>
      <c r="P271" s="92" t="s">
        <v>301</v>
      </c>
      <c r="Q271" s="77" t="s">
        <v>349</v>
      </c>
      <c r="R271" s="77" t="s">
        <v>1</v>
      </c>
      <c r="S271" s="77" t="str">
        <f t="shared" si="37"/>
        <v>Infraestruturais</v>
      </c>
      <c r="T271" s="77" t="str">
        <f t="shared" si="37"/>
        <v>Ferroviários</v>
      </c>
      <c r="U271" s="77" t="str">
        <f t="shared" si="37"/>
        <v>Ferrovias Partes</v>
      </c>
      <c r="V271" s="77" t="s">
        <v>1964</v>
      </c>
      <c r="W271" s="78" t="str">
        <f t="shared" si="42"/>
        <v>Key-BRASIL-271</v>
      </c>
      <c r="X271" s="77" t="s">
        <v>1850</v>
      </c>
      <c r="Y271" s="80" t="s">
        <v>1908</v>
      </c>
      <c r="Z271" s="81" t="s">
        <v>1</v>
      </c>
      <c r="AA271" s="77" t="str">
        <f t="shared" si="43"/>
        <v>Aerial parts of the railway, such as signallers, electrification of railway wires, etc.</v>
      </c>
    </row>
    <row r="272" spans="1:27" ht="6.6" customHeight="1" x14ac:dyDescent="0.25">
      <c r="A272" s="72">
        <v>272</v>
      </c>
      <c r="B272" s="73" t="s">
        <v>1968</v>
      </c>
      <c r="C272" s="83" t="s">
        <v>2001</v>
      </c>
      <c r="D272" s="73" t="s">
        <v>1491</v>
      </c>
      <c r="E272" s="73" t="s">
        <v>1418</v>
      </c>
      <c r="F272" s="91" t="s">
        <v>311</v>
      </c>
      <c r="G272" s="75" t="s">
        <v>1</v>
      </c>
      <c r="H272" s="75" t="s">
        <v>1</v>
      </c>
      <c r="I272" s="75" t="s">
        <v>1</v>
      </c>
      <c r="J272" s="75" t="s">
        <v>1</v>
      </c>
      <c r="K272" s="75" t="s">
        <v>1</v>
      </c>
      <c r="L272" s="76" t="str">
        <f t="shared" si="44"/>
        <v>Infraestruturais</v>
      </c>
      <c r="M272" s="76" t="str">
        <f t="shared" si="44"/>
        <v>Ferroviários</v>
      </c>
      <c r="N272" s="76" t="str">
        <f t="shared" si="39"/>
        <v>Ferrovias Partes</v>
      </c>
      <c r="O272" s="77" t="str">
        <f t="shared" si="40"/>
        <v>Ferrovia.Superestrutura</v>
      </c>
      <c r="P272" s="92" t="s">
        <v>288</v>
      </c>
      <c r="Q272" s="77" t="s">
        <v>350</v>
      </c>
      <c r="R272" s="77" t="s">
        <v>1</v>
      </c>
      <c r="S272" s="77" t="str">
        <f t="shared" si="37"/>
        <v>Infraestruturais</v>
      </c>
      <c r="T272" s="77" t="str">
        <f t="shared" si="37"/>
        <v>Ferroviários</v>
      </c>
      <c r="U272" s="77" t="str">
        <f t="shared" si="37"/>
        <v>Ferrovias Partes</v>
      </c>
      <c r="V272" s="77" t="s">
        <v>1964</v>
      </c>
      <c r="W272" s="78" t="str">
        <f t="shared" si="42"/>
        <v>Key-BRASIL-272</v>
      </c>
      <c r="X272" s="77" t="s">
        <v>1850</v>
      </c>
      <c r="Y272" s="80" t="s">
        <v>1908</v>
      </c>
      <c r="Z272" s="81" t="s">
        <v>1</v>
      </c>
      <c r="AA272" s="77" t="str">
        <f t="shared" si="43"/>
        <v>Elements such as poles, signs, control boxes next to the rails.</v>
      </c>
    </row>
    <row r="273" spans="1:27" ht="6.6" customHeight="1" x14ac:dyDescent="0.25">
      <c r="A273" s="72">
        <v>273</v>
      </c>
      <c r="B273" s="73" t="s">
        <v>1968</v>
      </c>
      <c r="C273" s="83" t="s">
        <v>2001</v>
      </c>
      <c r="D273" s="73" t="s">
        <v>1491</v>
      </c>
      <c r="E273" s="73" t="s">
        <v>1418</v>
      </c>
      <c r="F273" s="91" t="s">
        <v>310</v>
      </c>
      <c r="G273" s="75" t="s">
        <v>1</v>
      </c>
      <c r="H273" s="75" t="s">
        <v>1</v>
      </c>
      <c r="I273" s="75" t="s">
        <v>1</v>
      </c>
      <c r="J273" s="75" t="s">
        <v>1</v>
      </c>
      <c r="K273" s="75" t="s">
        <v>1</v>
      </c>
      <c r="L273" s="76" t="str">
        <f t="shared" si="44"/>
        <v>Infraestruturais</v>
      </c>
      <c r="M273" s="76" t="str">
        <f t="shared" si="44"/>
        <v>Ferroviários</v>
      </c>
      <c r="N273" s="76" t="str">
        <f t="shared" si="39"/>
        <v>Ferrovias Partes</v>
      </c>
      <c r="O273" s="77" t="str">
        <f t="shared" si="40"/>
        <v>Ferrovia.Subestrutura</v>
      </c>
      <c r="P273" s="92" t="s">
        <v>290</v>
      </c>
      <c r="Q273" s="77" t="s">
        <v>351</v>
      </c>
      <c r="R273" s="77" t="s">
        <v>1</v>
      </c>
      <c r="S273" s="77" t="str">
        <f t="shared" si="37"/>
        <v>Infraestruturais</v>
      </c>
      <c r="T273" s="77" t="str">
        <f t="shared" si="37"/>
        <v>Ferroviários</v>
      </c>
      <c r="U273" s="77" t="str">
        <f t="shared" si="37"/>
        <v>Ferrovias Partes</v>
      </c>
      <c r="V273" s="77" t="s">
        <v>1964</v>
      </c>
      <c r="W273" s="78" t="str">
        <f t="shared" si="42"/>
        <v>Key-BRASIL-273</v>
      </c>
      <c r="X273" s="77" t="s">
        <v>1850</v>
      </c>
      <c r="Y273" s="80" t="s">
        <v>1908</v>
      </c>
      <c r="Z273" s="81" t="s">
        <v>1</v>
      </c>
      <c r="AA273" s="77" t="str">
        <f t="shared" si="43"/>
        <v>Railroad base: includes the bed, ballast, and foundations that support the tracks.</v>
      </c>
    </row>
    <row r="274" spans="1:27" ht="6.6" customHeight="1" x14ac:dyDescent="0.25">
      <c r="A274" s="72">
        <v>274</v>
      </c>
      <c r="B274" s="73" t="s">
        <v>1968</v>
      </c>
      <c r="C274" s="83" t="s">
        <v>2001</v>
      </c>
      <c r="D274" s="73" t="s">
        <v>1491</v>
      </c>
      <c r="E274" s="73" t="s">
        <v>1418</v>
      </c>
      <c r="F274" s="91" t="s">
        <v>308</v>
      </c>
      <c r="G274" s="75" t="s">
        <v>1</v>
      </c>
      <c r="H274" s="75" t="s">
        <v>1</v>
      </c>
      <c r="I274" s="75" t="s">
        <v>1</v>
      </c>
      <c r="J274" s="75" t="s">
        <v>1</v>
      </c>
      <c r="K274" s="75" t="s">
        <v>1</v>
      </c>
      <c r="L274" s="76" t="str">
        <f t="shared" si="44"/>
        <v>Infraestruturais</v>
      </c>
      <c r="M274" s="76" t="str">
        <f t="shared" si="44"/>
        <v>Ferroviários</v>
      </c>
      <c r="N274" s="76" t="str">
        <f t="shared" si="39"/>
        <v>Ferrovias Partes</v>
      </c>
      <c r="O274" s="77" t="str">
        <f t="shared" si="40"/>
        <v>Ferrovia.Simples</v>
      </c>
      <c r="P274" s="92" t="s">
        <v>289</v>
      </c>
      <c r="Q274" s="77" t="s">
        <v>352</v>
      </c>
      <c r="R274" s="77" t="s">
        <v>1</v>
      </c>
      <c r="S274" s="77" t="str">
        <f t="shared" si="37"/>
        <v>Infraestruturais</v>
      </c>
      <c r="T274" s="77" t="str">
        <f t="shared" si="37"/>
        <v>Ferroviários</v>
      </c>
      <c r="U274" s="77" t="str">
        <f t="shared" si="37"/>
        <v>Ferrovias Partes</v>
      </c>
      <c r="V274" s="77" t="s">
        <v>1964</v>
      </c>
      <c r="W274" s="78" t="str">
        <f t="shared" si="42"/>
        <v>Key-BRASIL-274</v>
      </c>
      <c r="X274" s="77" t="s">
        <v>1850</v>
      </c>
      <c r="Y274" s="80" t="s">
        <v>1908</v>
      </c>
      <c r="Z274" s="81" t="s">
        <v>1</v>
      </c>
      <c r="AA274" s="77" t="str">
        <f t="shared" si="43"/>
        <v>Straight and continuous stretch of the railroad, without switches and turnouts.</v>
      </c>
    </row>
    <row r="275" spans="1:27" ht="6.6" customHeight="1" x14ac:dyDescent="0.25">
      <c r="A275" s="72">
        <v>275</v>
      </c>
      <c r="B275" s="73" t="s">
        <v>1968</v>
      </c>
      <c r="C275" s="83" t="s">
        <v>2001</v>
      </c>
      <c r="D275" s="73" t="s">
        <v>1491</v>
      </c>
      <c r="E275" s="73" t="s">
        <v>1418</v>
      </c>
      <c r="F275" s="91" t="s">
        <v>309</v>
      </c>
      <c r="G275" s="75" t="s">
        <v>1</v>
      </c>
      <c r="H275" s="75" t="s">
        <v>1</v>
      </c>
      <c r="I275" s="75" t="s">
        <v>1</v>
      </c>
      <c r="J275" s="75" t="s">
        <v>1</v>
      </c>
      <c r="K275" s="75" t="s">
        <v>1</v>
      </c>
      <c r="L275" s="76" t="str">
        <f t="shared" si="44"/>
        <v>Infraestruturais</v>
      </c>
      <c r="M275" s="76" t="str">
        <f t="shared" si="44"/>
        <v>Ferroviários</v>
      </c>
      <c r="N275" s="76" t="str">
        <f t="shared" si="39"/>
        <v>Ferrovias Partes</v>
      </c>
      <c r="O275" s="77" t="str">
        <f t="shared" si="40"/>
        <v>Ferrovia.Completa</v>
      </c>
      <c r="P275" s="92" t="s">
        <v>291</v>
      </c>
      <c r="Q275" s="77" t="s">
        <v>355</v>
      </c>
      <c r="R275" s="77" t="s">
        <v>1</v>
      </c>
      <c r="S275" s="77" t="str">
        <f t="shared" si="37"/>
        <v>Infraestruturais</v>
      </c>
      <c r="T275" s="77" t="str">
        <f t="shared" si="37"/>
        <v>Ferroviários</v>
      </c>
      <c r="U275" s="77" t="str">
        <f t="shared" si="37"/>
        <v>Ferrovias Partes</v>
      </c>
      <c r="V275" s="77" t="s">
        <v>1964</v>
      </c>
      <c r="W275" s="78" t="str">
        <f t="shared" si="42"/>
        <v>Key-BRASIL-275</v>
      </c>
      <c r="X275" s="77" t="s">
        <v>1850</v>
      </c>
      <c r="Y275" s="80" t="s">
        <v>1908</v>
      </c>
      <c r="Z275" s="81" t="s">
        <v>1</v>
      </c>
      <c r="AA275" s="77" t="str">
        <f t="shared" si="43"/>
        <v>Complete set of rails, sleepers, fixings and base.</v>
      </c>
    </row>
    <row r="276" spans="1:27" ht="6.6" customHeight="1" x14ac:dyDescent="0.25">
      <c r="A276" s="72">
        <v>276</v>
      </c>
      <c r="B276" s="73" t="s">
        <v>1968</v>
      </c>
      <c r="C276" s="83" t="s">
        <v>2001</v>
      </c>
      <c r="D276" s="73" t="s">
        <v>1491</v>
      </c>
      <c r="E276" s="73" t="s">
        <v>1418</v>
      </c>
      <c r="F276" s="91" t="s">
        <v>313</v>
      </c>
      <c r="G276" s="75" t="s">
        <v>1</v>
      </c>
      <c r="H276" s="75" t="s">
        <v>1</v>
      </c>
      <c r="I276" s="75" t="s">
        <v>1</v>
      </c>
      <c r="J276" s="75" t="s">
        <v>1</v>
      </c>
      <c r="K276" s="75" t="s">
        <v>1</v>
      </c>
      <c r="L276" s="76" t="str">
        <f t="shared" si="44"/>
        <v>Infraestruturais</v>
      </c>
      <c r="M276" s="76" t="str">
        <f t="shared" si="44"/>
        <v>Ferroviários</v>
      </c>
      <c r="N276" s="76" t="str">
        <f t="shared" si="39"/>
        <v>Ferrovias Partes</v>
      </c>
      <c r="O276" s="77" t="str">
        <f t="shared" si="40"/>
        <v>Ferrovia.Dilatação</v>
      </c>
      <c r="P276" s="92" t="s">
        <v>287</v>
      </c>
      <c r="Q276" s="77" t="s">
        <v>353</v>
      </c>
      <c r="R276" s="77" t="s">
        <v>1</v>
      </c>
      <c r="S276" s="77" t="str">
        <f t="shared" si="37"/>
        <v>Infraestruturais</v>
      </c>
      <c r="T276" s="77" t="str">
        <f t="shared" si="37"/>
        <v>Ferroviários</v>
      </c>
      <c r="U276" s="77" t="str">
        <f t="shared" si="37"/>
        <v>Ferrovias Partes</v>
      </c>
      <c r="V276" s="77" t="s">
        <v>1964</v>
      </c>
      <c r="W276" s="78" t="str">
        <f t="shared" si="42"/>
        <v>Key-BRASIL-276</v>
      </c>
      <c r="X276" s="77" t="s">
        <v>1850</v>
      </c>
      <c r="Y276" s="80" t="s">
        <v>1909</v>
      </c>
      <c r="Z276" s="81" t="s">
        <v>1</v>
      </c>
      <c r="AA276" s="77" t="str">
        <f t="shared" si="43"/>
        <v>Section with special joints to accommodate the thermal expansion of the rails.</v>
      </c>
    </row>
    <row r="277" spans="1:27" ht="6.6" customHeight="1" x14ac:dyDescent="0.25">
      <c r="A277" s="72">
        <v>277</v>
      </c>
      <c r="B277" s="73" t="s">
        <v>1968</v>
      </c>
      <c r="C277" s="83" t="s">
        <v>2001</v>
      </c>
      <c r="D277" s="73" t="s">
        <v>2003</v>
      </c>
      <c r="E277" s="93" t="s">
        <v>1408</v>
      </c>
      <c r="F277" s="94" t="s">
        <v>480</v>
      </c>
      <c r="G277" s="95" t="s">
        <v>1</v>
      </c>
      <c r="H277" s="95" t="s">
        <v>1</v>
      </c>
      <c r="I277" s="95" t="s">
        <v>1</v>
      </c>
      <c r="J277" s="75" t="s">
        <v>1</v>
      </c>
      <c r="K277" s="75" t="s">
        <v>1</v>
      </c>
      <c r="L277" s="86" t="str">
        <f t="shared" ref="L277:L340" si="45">_xlfn.CONCAT(C277)</f>
        <v>Infraestruturais</v>
      </c>
      <c r="M277" s="76" t="str">
        <f t="shared" si="44"/>
        <v>Hidroviários</v>
      </c>
      <c r="N277" s="76" t="str">
        <f t="shared" si="39"/>
        <v>Vias de Navegação</v>
      </c>
      <c r="O277" s="77" t="str">
        <f t="shared" si="40"/>
        <v>Farol</v>
      </c>
      <c r="P277" s="77" t="s">
        <v>481</v>
      </c>
      <c r="Q277" s="86" t="s">
        <v>482</v>
      </c>
      <c r="R277" s="77" t="s">
        <v>1</v>
      </c>
      <c r="S277" s="77" t="str">
        <f t="shared" si="37"/>
        <v>Infraestruturais</v>
      </c>
      <c r="T277" s="77" t="str">
        <f t="shared" si="37"/>
        <v>Hidroviários</v>
      </c>
      <c r="U277" s="77" t="str">
        <f t="shared" si="37"/>
        <v>Vias de Navegação</v>
      </c>
      <c r="V277" s="77" t="s">
        <v>1964</v>
      </c>
      <c r="W277" s="78" t="str">
        <f t="shared" si="42"/>
        <v>Key-BRASIL-277</v>
      </c>
      <c r="X277" s="77" t="s">
        <v>1866</v>
      </c>
      <c r="Y277" s="77" t="s">
        <v>1909</v>
      </c>
      <c r="Z277" s="81" t="s">
        <v>1</v>
      </c>
      <c r="AA277" s="77" t="str">
        <f t="shared" si="43"/>
        <v>Fixed vertical structure that serves as a navigational mark, to show reefs or other hazards, or to provide.</v>
      </c>
    </row>
    <row r="278" spans="1:27" ht="6.6" customHeight="1" x14ac:dyDescent="0.25">
      <c r="A278" s="72">
        <v>278</v>
      </c>
      <c r="B278" s="73" t="s">
        <v>1968</v>
      </c>
      <c r="C278" s="83" t="s">
        <v>2001</v>
      </c>
      <c r="D278" s="73" t="s">
        <v>2003</v>
      </c>
      <c r="E278" s="93" t="s">
        <v>1408</v>
      </c>
      <c r="F278" s="94" t="s">
        <v>483</v>
      </c>
      <c r="G278" s="95" t="s">
        <v>1</v>
      </c>
      <c r="H278" s="95" t="s">
        <v>1</v>
      </c>
      <c r="I278" s="95" t="s">
        <v>1</v>
      </c>
      <c r="J278" s="75" t="s">
        <v>1</v>
      </c>
      <c r="K278" s="75" t="s">
        <v>1</v>
      </c>
      <c r="L278" s="86" t="str">
        <f t="shared" si="45"/>
        <v>Infraestruturais</v>
      </c>
      <c r="M278" s="76" t="str">
        <f t="shared" ref="M278:M341" si="46">CONCATENATE("", D278)</f>
        <v>Hidroviários</v>
      </c>
      <c r="N278" s="76" t="str">
        <f t="shared" si="39"/>
        <v>Vias de Navegação</v>
      </c>
      <c r="O278" s="77" t="str">
        <f t="shared" si="40"/>
        <v>Bóia</v>
      </c>
      <c r="P278" s="77" t="s">
        <v>484</v>
      </c>
      <c r="Q278" s="86" t="s">
        <v>485</v>
      </c>
      <c r="R278" s="77" t="s">
        <v>1</v>
      </c>
      <c r="S278" s="77" t="str">
        <f t="shared" si="37"/>
        <v>Infraestruturais</v>
      </c>
      <c r="T278" s="77" t="str">
        <f t="shared" si="37"/>
        <v>Hidroviários</v>
      </c>
      <c r="U278" s="77" t="str">
        <f t="shared" si="37"/>
        <v>Vias de Navegação</v>
      </c>
      <c r="V278" s="77" t="s">
        <v>1964</v>
      </c>
      <c r="W278" s="78" t="str">
        <f t="shared" si="42"/>
        <v>Key-BRASIL-278</v>
      </c>
      <c r="X278" s="77" t="s">
        <v>1866</v>
      </c>
      <c r="Y278" s="77" t="s">
        <v>1909</v>
      </c>
      <c r="Z278" s="81" t="s">
        <v>1</v>
      </c>
      <c r="AA278" s="77" t="str">
        <f t="shared" si="43"/>
        <v>Anchored floating structure that serves as a navigational mark, to show reefs or other hazards.</v>
      </c>
    </row>
    <row r="279" spans="1:27" ht="6.6" customHeight="1" x14ac:dyDescent="0.25">
      <c r="A279" s="72">
        <v>279</v>
      </c>
      <c r="B279" s="73" t="s">
        <v>1968</v>
      </c>
      <c r="C279" s="83" t="s">
        <v>2001</v>
      </c>
      <c r="D279" s="73" t="s">
        <v>2003</v>
      </c>
      <c r="E279" s="93" t="s">
        <v>1408</v>
      </c>
      <c r="F279" s="96" t="s">
        <v>486</v>
      </c>
      <c r="G279" s="95" t="s">
        <v>1</v>
      </c>
      <c r="H279" s="95" t="s">
        <v>1</v>
      </c>
      <c r="I279" s="95" t="s">
        <v>1</v>
      </c>
      <c r="J279" s="75" t="s">
        <v>1</v>
      </c>
      <c r="K279" s="75" t="s">
        <v>1</v>
      </c>
      <c r="L279" s="86" t="str">
        <f t="shared" si="45"/>
        <v>Infraestruturais</v>
      </c>
      <c r="M279" s="76" t="str">
        <f t="shared" si="46"/>
        <v>Hidroviários</v>
      </c>
      <c r="N279" s="76" t="str">
        <f t="shared" si="39"/>
        <v>Vias de Navegação</v>
      </c>
      <c r="O279" s="77" t="str">
        <f t="shared" si="40"/>
        <v>Bóia.de.Navegação</v>
      </c>
      <c r="P279" s="77" t="s">
        <v>487</v>
      </c>
      <c r="Q279" s="97" t="s">
        <v>488</v>
      </c>
      <c r="R279" s="77" t="s">
        <v>1</v>
      </c>
      <c r="S279" s="77" t="str">
        <f t="shared" si="37"/>
        <v>Infraestruturais</v>
      </c>
      <c r="T279" s="77" t="str">
        <f t="shared" si="37"/>
        <v>Hidroviários</v>
      </c>
      <c r="U279" s="77" t="str">
        <f t="shared" si="37"/>
        <v>Vias de Navegação</v>
      </c>
      <c r="V279" s="77" t="s">
        <v>1964</v>
      </c>
      <c r="W279" s="78" t="str">
        <f t="shared" si="42"/>
        <v>Key-BRASIL-279</v>
      </c>
      <c r="X279" s="77" t="s">
        <v>1866</v>
      </c>
      <c r="Y279" s="77" t="s">
        <v>1909</v>
      </c>
      <c r="Z279" s="81" t="s">
        <v>1</v>
      </c>
      <c r="AA279" s="77" t="str">
        <f t="shared" si="43"/>
        <v>Buoy that assists maritime navigation, used to guide vessels, delimit channels, indicate hazards or special areas. Standardized by the IALA (International Association of Marine Aids to Navigation and Lighthouse Authorities) system.</v>
      </c>
    </row>
    <row r="280" spans="1:27" ht="6.6" customHeight="1" x14ac:dyDescent="0.25">
      <c r="A280" s="72">
        <v>280</v>
      </c>
      <c r="B280" s="73" t="s">
        <v>1968</v>
      </c>
      <c r="C280" s="83" t="s">
        <v>2001</v>
      </c>
      <c r="D280" s="73" t="s">
        <v>2003</v>
      </c>
      <c r="E280" s="93" t="s">
        <v>1408</v>
      </c>
      <c r="F280" s="96" t="s">
        <v>489</v>
      </c>
      <c r="G280" s="95" t="s">
        <v>1</v>
      </c>
      <c r="H280" s="95" t="s">
        <v>1</v>
      </c>
      <c r="I280" s="95" t="s">
        <v>1</v>
      </c>
      <c r="J280" s="75" t="s">
        <v>1</v>
      </c>
      <c r="K280" s="75" t="s">
        <v>1</v>
      </c>
      <c r="L280" s="86" t="str">
        <f t="shared" si="45"/>
        <v>Infraestruturais</v>
      </c>
      <c r="M280" s="76" t="str">
        <f t="shared" si="46"/>
        <v>Hidroviários</v>
      </c>
      <c r="N280" s="76" t="str">
        <f t="shared" si="39"/>
        <v>Vias de Navegação</v>
      </c>
      <c r="O280" s="77" t="str">
        <f t="shared" si="40"/>
        <v>Fundeadouro</v>
      </c>
      <c r="P280" s="77" t="s">
        <v>490</v>
      </c>
      <c r="Q280" s="80" t="s">
        <v>491</v>
      </c>
      <c r="R280" s="77" t="s">
        <v>1</v>
      </c>
      <c r="S280" s="77" t="str">
        <f t="shared" si="37"/>
        <v>Infraestruturais</v>
      </c>
      <c r="T280" s="77" t="str">
        <f t="shared" si="37"/>
        <v>Hidroviários</v>
      </c>
      <c r="U280" s="77" t="str">
        <f t="shared" si="37"/>
        <v>Vias de Navegação</v>
      </c>
      <c r="V280" s="77" t="s">
        <v>1964</v>
      </c>
      <c r="W280" s="78" t="str">
        <f t="shared" si="42"/>
        <v>Key-BRASIL-280</v>
      </c>
      <c r="X280" s="77" t="s">
        <v>1844</v>
      </c>
      <c r="Y280" s="77" t="s">
        <v>1909</v>
      </c>
      <c r="Z280" s="81" t="s">
        <v>1</v>
      </c>
      <c r="AA280" s="77" t="str">
        <f t="shared" si="43"/>
        <v>Spatial part of the region that represents a managed area for the anchorage of vessels waiting for space in the port.</v>
      </c>
    </row>
    <row r="281" spans="1:27" ht="6.6" customHeight="1" x14ac:dyDescent="0.25">
      <c r="A281" s="72">
        <v>281</v>
      </c>
      <c r="B281" s="73" t="s">
        <v>1968</v>
      </c>
      <c r="C281" s="83" t="s">
        <v>2001</v>
      </c>
      <c r="D281" s="73" t="s">
        <v>2003</v>
      </c>
      <c r="E281" s="93" t="s">
        <v>1408</v>
      </c>
      <c r="F281" s="96" t="s">
        <v>492</v>
      </c>
      <c r="G281" s="95" t="s">
        <v>1</v>
      </c>
      <c r="H281" s="95" t="s">
        <v>1</v>
      </c>
      <c r="I281" s="95" t="s">
        <v>1</v>
      </c>
      <c r="J281" s="75" t="s">
        <v>1</v>
      </c>
      <c r="K281" s="75" t="s">
        <v>1</v>
      </c>
      <c r="L281" s="86" t="str">
        <f t="shared" si="45"/>
        <v>Infraestruturais</v>
      </c>
      <c r="M281" s="76" t="str">
        <f t="shared" si="46"/>
        <v>Hidroviários</v>
      </c>
      <c r="N281" s="76" t="str">
        <f t="shared" si="39"/>
        <v>Vias de Navegação</v>
      </c>
      <c r="O281" s="77" t="str">
        <f t="shared" si="40"/>
        <v>Atracadouro</v>
      </c>
      <c r="P281" s="77" t="s">
        <v>493</v>
      </c>
      <c r="Q281" s="80" t="s">
        <v>494</v>
      </c>
      <c r="R281" s="77" t="s">
        <v>1</v>
      </c>
      <c r="S281" s="77" t="str">
        <f t="shared" si="37"/>
        <v>Infraestruturais</v>
      </c>
      <c r="T281" s="77" t="str">
        <f t="shared" si="37"/>
        <v>Hidroviários</v>
      </c>
      <c r="U281" s="77" t="str">
        <f t="shared" si="37"/>
        <v>Vias de Navegação</v>
      </c>
      <c r="V281" s="77" t="s">
        <v>1964</v>
      </c>
      <c r="W281" s="78" t="str">
        <f t="shared" si="42"/>
        <v>Key-BRASIL-281</v>
      </c>
      <c r="X281" s="77" t="s">
        <v>1844</v>
      </c>
      <c r="Y281" s="77" t="s">
        <v>1909</v>
      </c>
      <c r="Z281" s="81" t="s">
        <v>1</v>
      </c>
      <c r="AA281" s="77" t="str">
        <f t="shared" si="43"/>
        <v>Longitudinal spatial part of a waterway or port facility that provides facilities for berthing.</v>
      </c>
    </row>
    <row r="282" spans="1:27" ht="6.6" customHeight="1" x14ac:dyDescent="0.25">
      <c r="A282" s="72">
        <v>282</v>
      </c>
      <c r="B282" s="73" t="s">
        <v>1968</v>
      </c>
      <c r="C282" s="83" t="s">
        <v>2001</v>
      </c>
      <c r="D282" s="73" t="s">
        <v>2003</v>
      </c>
      <c r="E282" s="93" t="s">
        <v>1408</v>
      </c>
      <c r="F282" s="94" t="s">
        <v>495</v>
      </c>
      <c r="G282" s="95" t="s">
        <v>1</v>
      </c>
      <c r="H282" s="95" t="s">
        <v>1</v>
      </c>
      <c r="I282" s="95" t="s">
        <v>1</v>
      </c>
      <c r="J282" s="75" t="s">
        <v>1</v>
      </c>
      <c r="K282" s="75" t="s">
        <v>1</v>
      </c>
      <c r="L282" s="86" t="str">
        <f t="shared" si="45"/>
        <v>Infraestruturais</v>
      </c>
      <c r="M282" s="76" t="str">
        <f t="shared" si="46"/>
        <v>Hidroviários</v>
      </c>
      <c r="N282" s="76" t="str">
        <f t="shared" si="39"/>
        <v>Vias de Navegação</v>
      </c>
      <c r="O282" s="77" t="str">
        <f t="shared" si="40"/>
        <v>Canal</v>
      </c>
      <c r="P282" s="77" t="s">
        <v>496</v>
      </c>
      <c r="Q282" s="80" t="s">
        <v>497</v>
      </c>
      <c r="R282" s="77" t="s">
        <v>1</v>
      </c>
      <c r="S282" s="77" t="str">
        <f t="shared" si="37"/>
        <v>Infraestruturais</v>
      </c>
      <c r="T282" s="77" t="str">
        <f t="shared" si="37"/>
        <v>Hidroviários</v>
      </c>
      <c r="U282" s="77" t="str">
        <f t="shared" si="37"/>
        <v>Vias de Navegação</v>
      </c>
      <c r="V282" s="77" t="s">
        <v>1964</v>
      </c>
      <c r="W282" s="78" t="str">
        <f t="shared" si="42"/>
        <v>Key-BRASIL-282</v>
      </c>
      <c r="X282" s="77" t="s">
        <v>1844</v>
      </c>
      <c r="Y282" s="77" t="s">
        <v>1909</v>
      </c>
      <c r="Z282" s="81" t="s">
        <v>1</v>
      </c>
      <c r="AA282" s="77" t="str">
        <f t="shared" si="43"/>
        <v>Artificial watercourse usually built to join rivers, lakes or seas and often of an appropriate size.</v>
      </c>
    </row>
    <row r="283" spans="1:27" ht="6.6" customHeight="1" x14ac:dyDescent="0.25">
      <c r="A283" s="72">
        <v>283</v>
      </c>
      <c r="B283" s="73" t="s">
        <v>1968</v>
      </c>
      <c r="C283" s="83" t="s">
        <v>2001</v>
      </c>
      <c r="D283" s="73" t="s">
        <v>2003</v>
      </c>
      <c r="E283" s="93" t="s">
        <v>1408</v>
      </c>
      <c r="F283" s="96" t="s">
        <v>498</v>
      </c>
      <c r="G283" s="95" t="s">
        <v>1</v>
      </c>
      <c r="H283" s="95" t="s">
        <v>1</v>
      </c>
      <c r="I283" s="95" t="s">
        <v>1</v>
      </c>
      <c r="J283" s="75" t="s">
        <v>1</v>
      </c>
      <c r="K283" s="75" t="s">
        <v>1</v>
      </c>
      <c r="L283" s="86" t="str">
        <f t="shared" si="45"/>
        <v>Infraestruturais</v>
      </c>
      <c r="M283" s="76" t="str">
        <f t="shared" si="46"/>
        <v>Hidroviários</v>
      </c>
      <c r="N283" s="76" t="str">
        <f t="shared" si="39"/>
        <v>Vias de Navegação</v>
      </c>
      <c r="O283" s="77" t="str">
        <f t="shared" si="40"/>
        <v>Canal.Acesso</v>
      </c>
      <c r="P283" s="77" t="s">
        <v>499</v>
      </c>
      <c r="Q283" s="80" t="s">
        <v>500</v>
      </c>
      <c r="R283" s="77" t="s">
        <v>1</v>
      </c>
      <c r="S283" s="77" t="str">
        <f t="shared" si="37"/>
        <v>Infraestruturais</v>
      </c>
      <c r="T283" s="77" t="str">
        <f t="shared" si="37"/>
        <v>Hidroviários</v>
      </c>
      <c r="U283" s="77" t="str">
        <f t="shared" si="37"/>
        <v>Vias de Navegação</v>
      </c>
      <c r="V283" s="77" t="s">
        <v>1964</v>
      </c>
      <c r="W283" s="78" t="str">
        <f t="shared" si="42"/>
        <v>Key-BRASIL-283</v>
      </c>
      <c r="X283" s="77" t="s">
        <v>1844</v>
      </c>
      <c r="Y283" s="77" t="s">
        <v>1909</v>
      </c>
      <c r="Z283" s="81" t="s">
        <v>1</v>
      </c>
      <c r="AA283" s="77" t="str">
        <f t="shared" si="43"/>
        <v>The longitudinal spatial part of a waterway or port facility covering the approach.</v>
      </c>
    </row>
    <row r="284" spans="1:27" ht="6.6" customHeight="1" x14ac:dyDescent="0.25">
      <c r="A284" s="72">
        <v>284</v>
      </c>
      <c r="B284" s="73" t="s">
        <v>1968</v>
      </c>
      <c r="C284" s="83" t="s">
        <v>2001</v>
      </c>
      <c r="D284" s="73" t="s">
        <v>2003</v>
      </c>
      <c r="E284" s="93" t="s">
        <v>1408</v>
      </c>
      <c r="F284" s="94" t="s">
        <v>501</v>
      </c>
      <c r="G284" s="95" t="s">
        <v>1</v>
      </c>
      <c r="H284" s="95" t="s">
        <v>1</v>
      </c>
      <c r="I284" s="95" t="s">
        <v>1</v>
      </c>
      <c r="J284" s="75" t="s">
        <v>1</v>
      </c>
      <c r="K284" s="75" t="s">
        <v>1</v>
      </c>
      <c r="L284" s="86" t="str">
        <f t="shared" si="45"/>
        <v>Infraestruturais</v>
      </c>
      <c r="M284" s="76" t="str">
        <f t="shared" si="46"/>
        <v>Hidroviários</v>
      </c>
      <c r="N284" s="76" t="str">
        <f t="shared" si="39"/>
        <v>Vias de Navegação</v>
      </c>
      <c r="O284" s="77" t="str">
        <f t="shared" si="40"/>
        <v>Canal.Navegável</v>
      </c>
      <c r="P284" s="77" t="s">
        <v>502</v>
      </c>
      <c r="Q284" s="80" t="s">
        <v>503</v>
      </c>
      <c r="R284" s="77" t="s">
        <v>1</v>
      </c>
      <c r="S284" s="77" t="str">
        <f t="shared" si="37"/>
        <v>Infraestruturais</v>
      </c>
      <c r="T284" s="77" t="str">
        <f t="shared" si="37"/>
        <v>Hidroviários</v>
      </c>
      <c r="U284" s="77" t="str">
        <f t="shared" si="37"/>
        <v>Vias de Navegação</v>
      </c>
      <c r="V284" s="77" t="s">
        <v>1964</v>
      </c>
      <c r="W284" s="78" t="str">
        <f t="shared" si="42"/>
        <v>Key-BRASIL-284</v>
      </c>
      <c r="X284" s="77" t="s">
        <v>1844</v>
      </c>
      <c r="Y284" s="77" t="s">
        <v>1909</v>
      </c>
      <c r="Z284" s="81" t="s">
        <v>1</v>
      </c>
      <c r="AA284" s="77" t="str">
        <f t="shared" si="43"/>
        <v>Natural navigable watercourse (such as a river) that needs to be managed or have improvements applied.</v>
      </c>
    </row>
    <row r="285" spans="1:27" ht="6.6" customHeight="1" x14ac:dyDescent="0.25">
      <c r="A285" s="72">
        <v>285</v>
      </c>
      <c r="B285" s="73" t="s">
        <v>1968</v>
      </c>
      <c r="C285" s="83" t="s">
        <v>2001</v>
      </c>
      <c r="D285" s="73" t="s">
        <v>2003</v>
      </c>
      <c r="E285" s="93" t="s">
        <v>1408</v>
      </c>
      <c r="F285" s="94" t="s">
        <v>504</v>
      </c>
      <c r="G285" s="95" t="s">
        <v>1</v>
      </c>
      <c r="H285" s="95" t="s">
        <v>1</v>
      </c>
      <c r="I285" s="95" t="s">
        <v>1</v>
      </c>
      <c r="J285" s="75" t="s">
        <v>1</v>
      </c>
      <c r="K285" s="75" t="s">
        <v>1</v>
      </c>
      <c r="L285" s="86" t="str">
        <f t="shared" si="45"/>
        <v>Infraestruturais</v>
      </c>
      <c r="M285" s="76" t="str">
        <f t="shared" si="46"/>
        <v>Hidroviários</v>
      </c>
      <c r="N285" s="76" t="str">
        <f t="shared" si="39"/>
        <v>Vias de Navegação</v>
      </c>
      <c r="O285" s="77" t="str">
        <f t="shared" si="40"/>
        <v>Via.Navegável</v>
      </c>
      <c r="P285" s="77" t="s">
        <v>505</v>
      </c>
      <c r="Q285" s="80" t="s">
        <v>506</v>
      </c>
      <c r="R285" s="77" t="s">
        <v>1</v>
      </c>
      <c r="S285" s="77" t="str">
        <f t="shared" si="37"/>
        <v>Infraestruturais</v>
      </c>
      <c r="T285" s="77" t="str">
        <f t="shared" si="37"/>
        <v>Hidroviários</v>
      </c>
      <c r="U285" s="77" t="str">
        <f t="shared" si="37"/>
        <v>Vias de Navegação</v>
      </c>
      <c r="V285" s="77" t="s">
        <v>1964</v>
      </c>
      <c r="W285" s="78" t="str">
        <f t="shared" si="42"/>
        <v>Key-BRASIL-285</v>
      </c>
      <c r="X285" s="77" t="s">
        <v>1844</v>
      </c>
      <c r="Y285" s="77" t="s">
        <v>1909</v>
      </c>
      <c r="Z285" s="81" t="s">
        <v>1</v>
      </c>
      <c r="AA285" s="77" t="str">
        <f t="shared" si="43"/>
        <v>Subset of facilities that have the primary function of providing a navigable area of water.</v>
      </c>
    </row>
    <row r="286" spans="1:27" ht="6.6" customHeight="1" x14ac:dyDescent="0.25">
      <c r="A286" s="72">
        <v>286</v>
      </c>
      <c r="B286" s="73" t="s">
        <v>1968</v>
      </c>
      <c r="C286" s="83" t="s">
        <v>2001</v>
      </c>
      <c r="D286" s="73" t="s">
        <v>2003</v>
      </c>
      <c r="E286" s="93" t="s">
        <v>1408</v>
      </c>
      <c r="F286" s="94" t="s">
        <v>477</v>
      </c>
      <c r="G286" s="95" t="s">
        <v>1</v>
      </c>
      <c r="H286" s="95" t="s">
        <v>1</v>
      </c>
      <c r="I286" s="95" t="s">
        <v>1</v>
      </c>
      <c r="J286" s="75" t="s">
        <v>1</v>
      </c>
      <c r="K286" s="75" t="s">
        <v>1</v>
      </c>
      <c r="L286" s="86" t="str">
        <f t="shared" si="45"/>
        <v>Infraestruturais</v>
      </c>
      <c r="M286" s="76" t="str">
        <f t="shared" si="46"/>
        <v>Hidroviários</v>
      </c>
      <c r="N286" s="76" t="str">
        <f t="shared" si="39"/>
        <v>Vias de Navegação</v>
      </c>
      <c r="O286" s="77" t="str">
        <f t="shared" si="40"/>
        <v>Elemento.de.Navegação</v>
      </c>
      <c r="P286" s="77" t="s">
        <v>478</v>
      </c>
      <c r="Q286" s="86" t="s">
        <v>479</v>
      </c>
      <c r="R286" s="77" t="s">
        <v>1</v>
      </c>
      <c r="S286" s="77" t="str">
        <f t="shared" si="37"/>
        <v>Infraestruturais</v>
      </c>
      <c r="T286" s="77" t="str">
        <f t="shared" si="37"/>
        <v>Hidroviários</v>
      </c>
      <c r="U286" s="77" t="str">
        <f t="shared" si="37"/>
        <v>Vias de Navegação</v>
      </c>
      <c r="V286" s="77" t="s">
        <v>1964</v>
      </c>
      <c r="W286" s="78" t="str">
        <f t="shared" si="42"/>
        <v>Key-BRASIL-286</v>
      </c>
      <c r="X286" s="77" t="s">
        <v>1844</v>
      </c>
      <c r="Y286" s="77" t="s">
        <v>1909</v>
      </c>
      <c r="Z286" s="81" t="s">
        <v>1</v>
      </c>
      <c r="AA286" s="77" t="str">
        <f t="shared" si="43"/>
        <v>A navigation element is an active or passive constructed element whose primary function is to provide navigation.</v>
      </c>
    </row>
    <row r="287" spans="1:27" ht="6.6" customHeight="1" x14ac:dyDescent="0.25">
      <c r="A287" s="72">
        <v>287</v>
      </c>
      <c r="B287" s="73" t="s">
        <v>1968</v>
      </c>
      <c r="C287" s="83" t="s">
        <v>2001</v>
      </c>
      <c r="D287" s="73" t="s">
        <v>2003</v>
      </c>
      <c r="E287" s="73" t="s">
        <v>1411</v>
      </c>
      <c r="F287" s="74" t="s">
        <v>1381</v>
      </c>
      <c r="G287" s="75" t="s">
        <v>1</v>
      </c>
      <c r="H287" s="75" t="s">
        <v>1</v>
      </c>
      <c r="I287" s="75" t="s">
        <v>1</v>
      </c>
      <c r="J287" s="75" t="s">
        <v>1</v>
      </c>
      <c r="K287" s="75" t="s">
        <v>1</v>
      </c>
      <c r="L287" s="80" t="str">
        <f t="shared" si="45"/>
        <v>Infraestruturais</v>
      </c>
      <c r="M287" s="76" t="str">
        <f t="shared" si="46"/>
        <v>Hidroviários</v>
      </c>
      <c r="N287" s="76" t="str">
        <f t="shared" si="39"/>
        <v>Amarrações</v>
      </c>
      <c r="O287" s="77" t="str">
        <f t="shared" si="40"/>
        <v>Dispositivo.de.Amarração</v>
      </c>
      <c r="P287" s="77" t="s">
        <v>455</v>
      </c>
      <c r="Q287" s="80" t="s">
        <v>456</v>
      </c>
      <c r="R287" s="77" t="s">
        <v>1</v>
      </c>
      <c r="S287" s="77" t="str">
        <f t="shared" si="37"/>
        <v>Infraestruturais</v>
      </c>
      <c r="T287" s="77" t="str">
        <f t="shared" si="37"/>
        <v>Hidroviários</v>
      </c>
      <c r="U287" s="77" t="str">
        <f t="shared" si="37"/>
        <v>Amarrações</v>
      </c>
      <c r="V287" s="77" t="s">
        <v>1964</v>
      </c>
      <c r="W287" s="78" t="str">
        <f t="shared" si="42"/>
        <v>Key-BRASIL-287</v>
      </c>
      <c r="X287" s="77" t="s">
        <v>1844</v>
      </c>
      <c r="Y287" s="77" t="s">
        <v>1909</v>
      </c>
      <c r="Z287" s="81" t="s">
        <v>1</v>
      </c>
      <c r="AA287" s="77" t="str">
        <f t="shared" si="43"/>
        <v>A lashing device is an active or passive constructed element whose primary function is to participate in the lashing.</v>
      </c>
    </row>
    <row r="288" spans="1:27" ht="6.6" customHeight="1" x14ac:dyDescent="0.25">
      <c r="A288" s="72">
        <v>288</v>
      </c>
      <c r="B288" s="73" t="s">
        <v>1968</v>
      </c>
      <c r="C288" s="83" t="s">
        <v>2001</v>
      </c>
      <c r="D288" s="73" t="s">
        <v>2003</v>
      </c>
      <c r="E288" s="73" t="s">
        <v>1411</v>
      </c>
      <c r="F288" s="94" t="s">
        <v>1382</v>
      </c>
      <c r="G288" s="95" t="s">
        <v>1</v>
      </c>
      <c r="H288" s="95" t="s">
        <v>1</v>
      </c>
      <c r="I288" s="95" t="s">
        <v>1</v>
      </c>
      <c r="J288" s="75" t="s">
        <v>1</v>
      </c>
      <c r="K288" s="75" t="s">
        <v>1</v>
      </c>
      <c r="L288" s="86" t="str">
        <f t="shared" si="45"/>
        <v>Infraestruturais</v>
      </c>
      <c r="M288" s="76" t="str">
        <f t="shared" si="46"/>
        <v>Hidroviários</v>
      </c>
      <c r="N288" s="76" t="str">
        <f t="shared" si="39"/>
        <v>Amarrações</v>
      </c>
      <c r="O288" s="77" t="str">
        <f t="shared" si="40"/>
        <v>Guincho.de.Amarração</v>
      </c>
      <c r="P288" s="77" t="s">
        <v>457</v>
      </c>
      <c r="Q288" s="86" t="s">
        <v>458</v>
      </c>
      <c r="R288" s="77" t="s">
        <v>1</v>
      </c>
      <c r="S288" s="77" t="str">
        <f t="shared" si="37"/>
        <v>Infraestruturais</v>
      </c>
      <c r="T288" s="77" t="str">
        <f t="shared" si="37"/>
        <v>Hidroviários</v>
      </c>
      <c r="U288" s="77" t="str">
        <f t="shared" si="37"/>
        <v>Amarrações</v>
      </c>
      <c r="V288" s="77" t="s">
        <v>1964</v>
      </c>
      <c r="W288" s="78" t="str">
        <f t="shared" si="42"/>
        <v>Key-BRASIL-288</v>
      </c>
      <c r="X288" s="77" t="s">
        <v>1844</v>
      </c>
      <c r="Y288" s="77" t="s">
        <v>1909</v>
      </c>
      <c r="Z288" s="81" t="s">
        <v>1</v>
      </c>
      <c r="AA288" s="77" t="str">
        <f t="shared" si="43"/>
        <v>Quick release mooring hooks – an active device used to secure a vessel and provide automated release.</v>
      </c>
    </row>
    <row r="289" spans="1:27" ht="6.6" customHeight="1" x14ac:dyDescent="0.25">
      <c r="A289" s="72">
        <v>289</v>
      </c>
      <c r="B289" s="73" t="s">
        <v>1968</v>
      </c>
      <c r="C289" s="83" t="s">
        <v>2001</v>
      </c>
      <c r="D289" s="73" t="s">
        <v>2003</v>
      </c>
      <c r="E289" s="73" t="s">
        <v>1411</v>
      </c>
      <c r="F289" s="94" t="s">
        <v>1383</v>
      </c>
      <c r="G289" s="95" t="s">
        <v>1</v>
      </c>
      <c r="H289" s="95" t="s">
        <v>1</v>
      </c>
      <c r="I289" s="95" t="s">
        <v>1</v>
      </c>
      <c r="J289" s="75" t="s">
        <v>1</v>
      </c>
      <c r="K289" s="75" t="s">
        <v>1</v>
      </c>
      <c r="L289" s="86" t="str">
        <f t="shared" si="45"/>
        <v>Infraestruturais</v>
      </c>
      <c r="M289" s="76" t="str">
        <f t="shared" si="46"/>
        <v>Hidroviários</v>
      </c>
      <c r="N289" s="76" t="str">
        <f t="shared" si="39"/>
        <v>Amarrações</v>
      </c>
      <c r="O289" s="77" t="str">
        <f t="shared" si="40"/>
        <v>Cabeço.de.Amarração</v>
      </c>
      <c r="P289" s="77" t="s">
        <v>459</v>
      </c>
      <c r="Q289" s="86" t="s">
        <v>460</v>
      </c>
      <c r="R289" s="77" t="s">
        <v>1</v>
      </c>
      <c r="S289" s="77" t="str">
        <f t="shared" si="37"/>
        <v>Infraestruturais</v>
      </c>
      <c r="T289" s="77" t="str">
        <f t="shared" si="37"/>
        <v>Hidroviários</v>
      </c>
      <c r="U289" s="77" t="str">
        <f t="shared" si="37"/>
        <v>Amarrações</v>
      </c>
      <c r="V289" s="77" t="s">
        <v>1964</v>
      </c>
      <c r="W289" s="78" t="str">
        <f t="shared" si="42"/>
        <v>Key-BRASIL-289</v>
      </c>
      <c r="X289" s="77" t="s">
        <v>1844</v>
      </c>
      <c r="Y289" s="77" t="s">
        <v>1909</v>
      </c>
      <c r="Z289" s="81" t="s">
        <v>1</v>
      </c>
      <c r="AA289" s="77" t="str">
        <f t="shared" si="43"/>
        <v>Short, thick post on a ship's deck or quayside, to which the ship's rope can be attached to keep the vessel safe and stable during berthing. The distance between them can vary from 5 to 10 meters.</v>
      </c>
    </row>
    <row r="290" spans="1:27" ht="6.6" customHeight="1" x14ac:dyDescent="0.25">
      <c r="A290" s="72">
        <v>290</v>
      </c>
      <c r="B290" s="73" t="s">
        <v>1968</v>
      </c>
      <c r="C290" s="83" t="s">
        <v>2001</v>
      </c>
      <c r="D290" s="73" t="s">
        <v>2003</v>
      </c>
      <c r="E290" s="73" t="s">
        <v>1411</v>
      </c>
      <c r="F290" s="94" t="s">
        <v>461</v>
      </c>
      <c r="G290" s="95" t="s">
        <v>1</v>
      </c>
      <c r="H290" s="95" t="s">
        <v>1</v>
      </c>
      <c r="I290" s="95" t="s">
        <v>1</v>
      </c>
      <c r="J290" s="75" t="s">
        <v>1</v>
      </c>
      <c r="K290" s="75" t="s">
        <v>1</v>
      </c>
      <c r="L290" s="86" t="str">
        <f t="shared" si="45"/>
        <v>Infraestruturais</v>
      </c>
      <c r="M290" s="76" t="str">
        <f t="shared" si="46"/>
        <v>Hidroviários</v>
      </c>
      <c r="N290" s="76" t="str">
        <f t="shared" si="39"/>
        <v>Amarrações</v>
      </c>
      <c r="O290" s="77" t="str">
        <f t="shared" si="40"/>
        <v>Cabrestante</v>
      </c>
      <c r="P290" s="97" t="s">
        <v>462</v>
      </c>
      <c r="Q290" s="86" t="s">
        <v>463</v>
      </c>
      <c r="R290" s="77" t="s">
        <v>1</v>
      </c>
      <c r="S290" s="77" t="str">
        <f t="shared" si="37"/>
        <v>Infraestruturais</v>
      </c>
      <c r="T290" s="77" t="str">
        <f t="shared" si="37"/>
        <v>Hidroviários</v>
      </c>
      <c r="U290" s="77" t="str">
        <f t="shared" si="37"/>
        <v>Amarrações</v>
      </c>
      <c r="V290" s="77" t="s">
        <v>1964</v>
      </c>
      <c r="W290" s="78" t="str">
        <f t="shared" si="42"/>
        <v>Key-BRASIL-290</v>
      </c>
      <c r="X290" s="77" t="s">
        <v>1844</v>
      </c>
      <c r="Y290" s="77" t="s">
        <v>1909</v>
      </c>
      <c r="Z290" s="81" t="s">
        <v>1</v>
      </c>
      <c r="AA290" s="77" t="str">
        <f t="shared" si="43"/>
        <v>A motorized mechanical device used to apply a tensioning load to mooring lines to improve the stability of the vessel.</v>
      </c>
    </row>
    <row r="291" spans="1:27" ht="6.6" customHeight="1" x14ac:dyDescent="0.25">
      <c r="A291" s="72">
        <v>291</v>
      </c>
      <c r="B291" s="73" t="s">
        <v>1968</v>
      </c>
      <c r="C291" s="83" t="s">
        <v>2001</v>
      </c>
      <c r="D291" s="73" t="s">
        <v>2003</v>
      </c>
      <c r="E291" s="73" t="s">
        <v>1411</v>
      </c>
      <c r="F291" s="94" t="s">
        <v>464</v>
      </c>
      <c r="G291" s="95" t="s">
        <v>1</v>
      </c>
      <c r="H291" s="95" t="s">
        <v>1</v>
      </c>
      <c r="I291" s="95" t="s">
        <v>1</v>
      </c>
      <c r="J291" s="75" t="s">
        <v>1</v>
      </c>
      <c r="K291" s="75" t="s">
        <v>1</v>
      </c>
      <c r="L291" s="86" t="str">
        <f t="shared" si="45"/>
        <v>Infraestruturais</v>
      </c>
      <c r="M291" s="76" t="str">
        <f t="shared" si="46"/>
        <v>Hidroviários</v>
      </c>
      <c r="N291" s="76" t="str">
        <f t="shared" si="39"/>
        <v>Amarrações</v>
      </c>
      <c r="O291" s="77" t="str">
        <f t="shared" si="40"/>
        <v>Esticador</v>
      </c>
      <c r="P291" s="97" t="s">
        <v>465</v>
      </c>
      <c r="Q291" s="86" t="s">
        <v>466</v>
      </c>
      <c r="R291" s="77" t="s">
        <v>1</v>
      </c>
      <c r="S291" s="77" t="str">
        <f t="shared" si="37"/>
        <v>Infraestruturais</v>
      </c>
      <c r="T291" s="77" t="str">
        <f t="shared" si="37"/>
        <v>Hidroviários</v>
      </c>
      <c r="U291" s="77" t="str">
        <f t="shared" si="37"/>
        <v>Amarrações</v>
      </c>
      <c r="V291" s="77" t="s">
        <v>1964</v>
      </c>
      <c r="W291" s="78" t="str">
        <f t="shared" si="42"/>
        <v>Key-BRASIL-291</v>
      </c>
      <c r="X291" s="77" t="s">
        <v>1844</v>
      </c>
      <c r="Y291" s="77" t="s">
        <v>1909</v>
      </c>
      <c r="Z291" s="81" t="s">
        <v>1</v>
      </c>
      <c r="AA291" s="77" t="str">
        <f t="shared" si="43"/>
        <v>A mechanical device used to apply a tensioning load to mooring lines to improve the stability of the vessel.</v>
      </c>
    </row>
    <row r="292" spans="1:27" ht="6.6" customHeight="1" x14ac:dyDescent="0.25">
      <c r="A292" s="72">
        <v>292</v>
      </c>
      <c r="B292" s="73" t="s">
        <v>1968</v>
      </c>
      <c r="C292" s="83" t="s">
        <v>2001</v>
      </c>
      <c r="D292" s="73" t="s">
        <v>2003</v>
      </c>
      <c r="E292" s="73" t="s">
        <v>1411</v>
      </c>
      <c r="F292" s="94" t="s">
        <v>1384</v>
      </c>
      <c r="G292" s="95" t="s">
        <v>1</v>
      </c>
      <c r="H292" s="95" t="s">
        <v>1</v>
      </c>
      <c r="I292" s="95" t="s">
        <v>1</v>
      </c>
      <c r="J292" s="75" t="s">
        <v>1</v>
      </c>
      <c r="K292" s="75" t="s">
        <v>1</v>
      </c>
      <c r="L292" s="86" t="str">
        <f t="shared" si="45"/>
        <v>Infraestruturais</v>
      </c>
      <c r="M292" s="76" t="str">
        <f t="shared" si="46"/>
        <v>Hidroviários</v>
      </c>
      <c r="N292" s="76" t="str">
        <f t="shared" si="39"/>
        <v>Amarrações</v>
      </c>
      <c r="O292" s="77" t="str">
        <f t="shared" si="40"/>
        <v>Amarra.de.Vácuo</v>
      </c>
      <c r="P292" s="77" t="s">
        <v>467</v>
      </c>
      <c r="Q292" s="86" t="s">
        <v>468</v>
      </c>
      <c r="R292" s="77" t="s">
        <v>1</v>
      </c>
      <c r="S292" s="77" t="str">
        <f t="shared" ref="S292:U336" si="47">SUBSTITUTE(C292, ".", " ")</f>
        <v>Infraestruturais</v>
      </c>
      <c r="T292" s="77" t="str">
        <f t="shared" si="47"/>
        <v>Hidroviários</v>
      </c>
      <c r="U292" s="77" t="str">
        <f t="shared" si="47"/>
        <v>Amarrações</v>
      </c>
      <c r="V292" s="77" t="s">
        <v>1964</v>
      </c>
      <c r="W292" s="78" t="str">
        <f t="shared" si="42"/>
        <v>Key-BRASIL-292</v>
      </c>
      <c r="X292" s="77" t="s">
        <v>1844</v>
      </c>
      <c r="Y292" s="77" t="s">
        <v>1909</v>
      </c>
      <c r="Z292" s="81" t="s">
        <v>1</v>
      </c>
      <c r="AA292" s="77" t="str">
        <f t="shared" si="43"/>
        <v>Mooring device that uses vacuum suction as the primary method of securing the vessel.</v>
      </c>
    </row>
    <row r="293" spans="1:27" ht="6.6" customHeight="1" x14ac:dyDescent="0.25">
      <c r="A293" s="72">
        <v>293</v>
      </c>
      <c r="B293" s="73" t="s">
        <v>1968</v>
      </c>
      <c r="C293" s="83" t="s">
        <v>2001</v>
      </c>
      <c r="D293" s="73" t="s">
        <v>2003</v>
      </c>
      <c r="E293" s="73" t="s">
        <v>1411</v>
      </c>
      <c r="F293" s="94" t="s">
        <v>469</v>
      </c>
      <c r="G293" s="95" t="s">
        <v>1</v>
      </c>
      <c r="H293" s="95" t="s">
        <v>1</v>
      </c>
      <c r="I293" s="95" t="s">
        <v>1</v>
      </c>
      <c r="J293" s="75" t="s">
        <v>1</v>
      </c>
      <c r="K293" s="75" t="s">
        <v>1</v>
      </c>
      <c r="L293" s="86" t="str">
        <f t="shared" si="45"/>
        <v>Infraestruturais</v>
      </c>
      <c r="M293" s="76" t="str">
        <f t="shared" si="46"/>
        <v>Hidroviários</v>
      </c>
      <c r="N293" s="76" t="str">
        <f t="shared" ref="N293:N347" si="48">(SUBSTITUTE(SUBSTITUTE(CONCATENATE("",E293),"."," ")," De "," de "))</f>
        <v>Amarrações</v>
      </c>
      <c r="O293" s="77" t="str">
        <f t="shared" ref="O293:O347" si="49">F293</f>
        <v>Amarra.Magnética</v>
      </c>
      <c r="P293" s="97" t="s">
        <v>470</v>
      </c>
      <c r="Q293" s="86" t="s">
        <v>471</v>
      </c>
      <c r="R293" s="77" t="s">
        <v>1</v>
      </c>
      <c r="S293" s="77" t="str">
        <f t="shared" si="47"/>
        <v>Infraestruturais</v>
      </c>
      <c r="T293" s="77" t="str">
        <f t="shared" si="47"/>
        <v>Hidroviários</v>
      </c>
      <c r="U293" s="77" t="str">
        <f t="shared" si="47"/>
        <v>Amarrações</v>
      </c>
      <c r="V293" s="77" t="s">
        <v>1964</v>
      </c>
      <c r="W293" s="78" t="str">
        <f t="shared" si="42"/>
        <v>Key-BRASIL-293</v>
      </c>
      <c r="X293" s="77" t="s">
        <v>1844</v>
      </c>
      <c r="Y293" s="77" t="s">
        <v>1909</v>
      </c>
      <c r="Z293" s="81" t="s">
        <v>1</v>
      </c>
      <c r="AA293" s="77" t="str">
        <f t="shared" si="43"/>
        <v>A mooring device that uses magnets as the primary method of securing the vessel.</v>
      </c>
    </row>
    <row r="294" spans="1:27" ht="6.6" customHeight="1" x14ac:dyDescent="0.25">
      <c r="A294" s="72">
        <v>294</v>
      </c>
      <c r="B294" s="73" t="s">
        <v>1968</v>
      </c>
      <c r="C294" s="83" t="s">
        <v>2001</v>
      </c>
      <c r="D294" s="73" t="s">
        <v>2003</v>
      </c>
      <c r="E294" s="73" t="s">
        <v>1411</v>
      </c>
      <c r="F294" s="94" t="s">
        <v>472</v>
      </c>
      <c r="G294" s="95" t="s">
        <v>1</v>
      </c>
      <c r="H294" s="95" t="s">
        <v>1</v>
      </c>
      <c r="I294" s="95" t="s">
        <v>1</v>
      </c>
      <c r="J294" s="75" t="s">
        <v>1</v>
      </c>
      <c r="K294" s="75" t="s">
        <v>1</v>
      </c>
      <c r="L294" s="86" t="str">
        <f t="shared" si="45"/>
        <v>Infraestruturais</v>
      </c>
      <c r="M294" s="76" t="str">
        <f t="shared" si="46"/>
        <v>Hidroviários</v>
      </c>
      <c r="N294" s="76" t="str">
        <f t="shared" si="48"/>
        <v>Amarrações</v>
      </c>
      <c r="O294" s="77" t="str">
        <f t="shared" si="49"/>
        <v>Ligação.SafeCom</v>
      </c>
      <c r="P294" s="77" t="s">
        <v>473</v>
      </c>
      <c r="Q294" s="86" t="s">
        <v>474</v>
      </c>
      <c r="R294" s="77" t="s">
        <v>1</v>
      </c>
      <c r="S294" s="77" t="str">
        <f t="shared" si="47"/>
        <v>Infraestruturais</v>
      </c>
      <c r="T294" s="77" t="str">
        <f t="shared" si="47"/>
        <v>Hidroviários</v>
      </c>
      <c r="U294" s="77" t="str">
        <f t="shared" si="47"/>
        <v>Amarrações</v>
      </c>
      <c r="V294" s="77" t="s">
        <v>1964</v>
      </c>
      <c r="W294" s="78" t="str">
        <f t="shared" si="42"/>
        <v>Key-BRASIL-294</v>
      </c>
      <c r="X294" s="77" t="s">
        <v>1844</v>
      </c>
      <c r="Y294" s="77" t="s">
        <v>1910</v>
      </c>
      <c r="Z294" s="81" t="s">
        <v>1</v>
      </c>
      <c r="AA294" s="77" t="str">
        <f t="shared" si="43"/>
        <v>SafeCom Ship-to-Shore (SSL) Connection System is a security communication system used for the transfer of hazardous liquids and gases.</v>
      </c>
    </row>
    <row r="295" spans="1:27" ht="6.6" customHeight="1" x14ac:dyDescent="0.25">
      <c r="A295" s="72">
        <v>295</v>
      </c>
      <c r="B295" s="73" t="s">
        <v>1968</v>
      </c>
      <c r="C295" s="83" t="s">
        <v>2001</v>
      </c>
      <c r="D295" s="73" t="s">
        <v>2003</v>
      </c>
      <c r="E295" s="73" t="s">
        <v>1581</v>
      </c>
      <c r="F295" s="91" t="s">
        <v>507</v>
      </c>
      <c r="G295" s="75" t="s">
        <v>1</v>
      </c>
      <c r="H295" s="75" t="s">
        <v>1</v>
      </c>
      <c r="I295" s="75" t="s">
        <v>1</v>
      </c>
      <c r="J295" s="75" t="s">
        <v>1</v>
      </c>
      <c r="K295" s="75" t="s">
        <v>1</v>
      </c>
      <c r="L295" s="86" t="str">
        <f t="shared" si="45"/>
        <v>Infraestruturais</v>
      </c>
      <c r="M295" s="76" t="str">
        <f t="shared" si="46"/>
        <v>Hidroviários</v>
      </c>
      <c r="N295" s="76" t="str">
        <f t="shared" si="48"/>
        <v>Níveis Portuários</v>
      </c>
      <c r="O295" s="77" t="str">
        <f t="shared" si="49"/>
        <v>Maré.Alta</v>
      </c>
      <c r="P295" s="77" t="s">
        <v>508</v>
      </c>
      <c r="Q295" s="86" t="s">
        <v>509</v>
      </c>
      <c r="R295" s="77" t="s">
        <v>1</v>
      </c>
      <c r="S295" s="77" t="str">
        <f t="shared" si="47"/>
        <v>Infraestruturais</v>
      </c>
      <c r="T295" s="77" t="str">
        <f t="shared" si="47"/>
        <v>Hidroviários</v>
      </c>
      <c r="U295" s="77" t="str">
        <f t="shared" si="47"/>
        <v>Níveis Portuários</v>
      </c>
      <c r="V295" s="77" t="s">
        <v>1964</v>
      </c>
      <c r="W295" s="78" t="str">
        <f t="shared" si="42"/>
        <v>Key-BRASIL-295</v>
      </c>
      <c r="X295" s="77" t="s">
        <v>1867</v>
      </c>
      <c r="Y295" s="77" t="s">
        <v>1910</v>
      </c>
      <c r="Z295" s="81" t="s">
        <v>1</v>
      </c>
      <c r="AA295" s="77" t="str">
        <f t="shared" si="43"/>
        <v>Level that represents the elevation of the waterline at high tide.</v>
      </c>
    </row>
    <row r="296" spans="1:27" ht="6.6" customHeight="1" x14ac:dyDescent="0.25">
      <c r="A296" s="72">
        <v>296</v>
      </c>
      <c r="B296" s="73" t="s">
        <v>1968</v>
      </c>
      <c r="C296" s="83" t="s">
        <v>2001</v>
      </c>
      <c r="D296" s="73" t="s">
        <v>2003</v>
      </c>
      <c r="E296" s="73" t="s">
        <v>1581</v>
      </c>
      <c r="F296" s="91" t="s">
        <v>510</v>
      </c>
      <c r="G296" s="75" t="s">
        <v>1</v>
      </c>
      <c r="H296" s="75" t="s">
        <v>1</v>
      </c>
      <c r="I296" s="75" t="s">
        <v>1</v>
      </c>
      <c r="J296" s="75" t="s">
        <v>1</v>
      </c>
      <c r="K296" s="75" t="s">
        <v>1</v>
      </c>
      <c r="L296" s="86" t="str">
        <f t="shared" si="45"/>
        <v>Infraestruturais</v>
      </c>
      <c r="M296" s="76" t="str">
        <f t="shared" si="46"/>
        <v>Hidroviários</v>
      </c>
      <c r="N296" s="76" t="str">
        <f t="shared" si="48"/>
        <v>Níveis Portuários</v>
      </c>
      <c r="O296" s="77" t="str">
        <f t="shared" si="49"/>
        <v>Maré.Baixa</v>
      </c>
      <c r="P296" s="77" t="s">
        <v>511</v>
      </c>
      <c r="Q296" s="86" t="s">
        <v>512</v>
      </c>
      <c r="R296" s="77" t="s">
        <v>1</v>
      </c>
      <c r="S296" s="77" t="str">
        <f t="shared" si="47"/>
        <v>Infraestruturais</v>
      </c>
      <c r="T296" s="77" t="str">
        <f t="shared" si="47"/>
        <v>Hidroviários</v>
      </c>
      <c r="U296" s="77" t="str">
        <f t="shared" si="47"/>
        <v>Níveis Portuários</v>
      </c>
      <c r="V296" s="77" t="s">
        <v>1964</v>
      </c>
      <c r="W296" s="78" t="str">
        <f t="shared" si="42"/>
        <v>Key-BRASIL-296</v>
      </c>
      <c r="X296" s="77" t="s">
        <v>1867</v>
      </c>
      <c r="Y296" s="77" t="s">
        <v>1910</v>
      </c>
      <c r="Z296" s="81" t="s">
        <v>1</v>
      </c>
      <c r="AA296" s="77" t="str">
        <f t="shared" si="43"/>
        <v>Level that represents the elevation of the waterline at low tide.</v>
      </c>
    </row>
    <row r="297" spans="1:27" ht="6.6" customHeight="1" x14ac:dyDescent="0.25">
      <c r="A297" s="72">
        <v>297</v>
      </c>
      <c r="B297" s="73" t="s">
        <v>1968</v>
      </c>
      <c r="C297" s="83" t="s">
        <v>2001</v>
      </c>
      <c r="D297" s="73" t="s">
        <v>2003</v>
      </c>
      <c r="E297" s="73" t="s">
        <v>1581</v>
      </c>
      <c r="F297" s="91" t="s">
        <v>513</v>
      </c>
      <c r="G297" s="75" t="s">
        <v>1</v>
      </c>
      <c r="H297" s="75" t="s">
        <v>1</v>
      </c>
      <c r="I297" s="75" t="s">
        <v>1</v>
      </c>
      <c r="J297" s="75" t="s">
        <v>1</v>
      </c>
      <c r="K297" s="75" t="s">
        <v>1</v>
      </c>
      <c r="L297" s="86" t="str">
        <f t="shared" si="45"/>
        <v>Infraestruturais</v>
      </c>
      <c r="M297" s="76" t="str">
        <f t="shared" si="46"/>
        <v>Hidroviários</v>
      </c>
      <c r="N297" s="76" t="str">
        <f t="shared" si="48"/>
        <v>Níveis Portuários</v>
      </c>
      <c r="O297" s="77" t="str">
        <f t="shared" si="49"/>
        <v>Flotação.Superior</v>
      </c>
      <c r="P297" s="77" t="s">
        <v>514</v>
      </c>
      <c r="Q297" s="86" t="s">
        <v>515</v>
      </c>
      <c r="R297" s="77" t="s">
        <v>1</v>
      </c>
      <c r="S297" s="77" t="str">
        <f t="shared" si="47"/>
        <v>Infraestruturais</v>
      </c>
      <c r="T297" s="77" t="str">
        <f t="shared" si="47"/>
        <v>Hidroviários</v>
      </c>
      <c r="U297" s="77" t="str">
        <f t="shared" si="47"/>
        <v>Níveis Portuários</v>
      </c>
      <c r="V297" s="77" t="s">
        <v>1964</v>
      </c>
      <c r="W297" s="78" t="str">
        <f t="shared" si="42"/>
        <v>Key-BRASIL-297</v>
      </c>
      <c r="X297" s="77" t="s">
        <v>1867</v>
      </c>
      <c r="Y297" s="77" t="s">
        <v>1910</v>
      </c>
      <c r="Z297" s="81" t="s">
        <v>1</v>
      </c>
      <c r="AA297" s="77" t="str">
        <f t="shared" si="43"/>
        <v>Level that represents the part above the average waterline defined within the site area.</v>
      </c>
    </row>
    <row r="298" spans="1:27" ht="6.6" customHeight="1" x14ac:dyDescent="0.25">
      <c r="A298" s="72">
        <v>298</v>
      </c>
      <c r="B298" s="73" t="s">
        <v>1968</v>
      </c>
      <c r="C298" s="83" t="s">
        <v>2001</v>
      </c>
      <c r="D298" s="73" t="s">
        <v>2003</v>
      </c>
      <c r="E298" s="73" t="s">
        <v>1581</v>
      </c>
      <c r="F298" s="91" t="s">
        <v>516</v>
      </c>
      <c r="G298" s="75" t="s">
        <v>1</v>
      </c>
      <c r="H298" s="75" t="s">
        <v>1</v>
      </c>
      <c r="I298" s="75" t="s">
        <v>1</v>
      </c>
      <c r="J298" s="75" t="s">
        <v>1</v>
      </c>
      <c r="K298" s="75" t="s">
        <v>1</v>
      </c>
      <c r="L298" s="86" t="str">
        <f t="shared" si="45"/>
        <v>Infraestruturais</v>
      </c>
      <c r="M298" s="76" t="str">
        <f t="shared" si="46"/>
        <v>Hidroviários</v>
      </c>
      <c r="N298" s="76" t="str">
        <f t="shared" si="48"/>
        <v>Níveis Portuários</v>
      </c>
      <c r="O298" s="77" t="str">
        <f t="shared" si="49"/>
        <v>Flotação.Inferior</v>
      </c>
      <c r="P298" s="77" t="s">
        <v>517</v>
      </c>
      <c r="Q298" s="86" t="s">
        <v>518</v>
      </c>
      <c r="R298" s="77" t="s">
        <v>1</v>
      </c>
      <c r="S298" s="77" t="str">
        <f t="shared" si="47"/>
        <v>Infraestruturais</v>
      </c>
      <c r="T298" s="77" t="str">
        <f t="shared" si="47"/>
        <v>Hidroviários</v>
      </c>
      <c r="U298" s="77" t="str">
        <f t="shared" si="47"/>
        <v>Níveis Portuários</v>
      </c>
      <c r="V298" s="77" t="s">
        <v>1964</v>
      </c>
      <c r="W298" s="78" t="str">
        <f t="shared" si="42"/>
        <v>Key-BRASIL-298</v>
      </c>
      <c r="X298" s="77" t="s">
        <v>1867</v>
      </c>
      <c r="Y298" s="77" t="s">
        <v>1910</v>
      </c>
      <c r="Z298" s="81" t="s">
        <v>1</v>
      </c>
      <c r="AA298" s="77" t="str">
        <f t="shared" si="43"/>
        <v>Level that represents the part below the average waterline defined within the site area.</v>
      </c>
    </row>
    <row r="299" spans="1:27" ht="6.6" customHeight="1" x14ac:dyDescent="0.25">
      <c r="A299" s="72">
        <v>299</v>
      </c>
      <c r="B299" s="73" t="s">
        <v>1968</v>
      </c>
      <c r="C299" s="83" t="s">
        <v>2001</v>
      </c>
      <c r="D299" s="73" t="s">
        <v>2003</v>
      </c>
      <c r="E299" s="73" t="s">
        <v>1581</v>
      </c>
      <c r="F299" s="91" t="s">
        <v>519</v>
      </c>
      <c r="G299" s="75" t="s">
        <v>1</v>
      </c>
      <c r="H299" s="75" t="s">
        <v>1</v>
      </c>
      <c r="I299" s="75" t="s">
        <v>1</v>
      </c>
      <c r="J299" s="75" t="s">
        <v>1</v>
      </c>
      <c r="K299" s="75" t="s">
        <v>1</v>
      </c>
      <c r="L299" s="86" t="str">
        <f t="shared" si="45"/>
        <v>Infraestruturais</v>
      </c>
      <c r="M299" s="76" t="str">
        <f t="shared" si="46"/>
        <v>Hidroviários</v>
      </c>
      <c r="N299" s="76" t="str">
        <f t="shared" si="48"/>
        <v>Níveis Portuários</v>
      </c>
      <c r="O299" s="77" t="str">
        <f t="shared" si="49"/>
        <v>Nível.Operacional</v>
      </c>
      <c r="P299" s="77" t="s">
        <v>520</v>
      </c>
      <c r="Q299" s="86" t="s">
        <v>521</v>
      </c>
      <c r="R299" s="77" t="s">
        <v>1</v>
      </c>
      <c r="S299" s="77" t="str">
        <f t="shared" si="47"/>
        <v>Infraestruturais</v>
      </c>
      <c r="T299" s="77" t="str">
        <f t="shared" si="47"/>
        <v>Hidroviários</v>
      </c>
      <c r="U299" s="77" t="str">
        <f t="shared" si="47"/>
        <v>Níveis Portuários</v>
      </c>
      <c r="V299" s="77" t="s">
        <v>1964</v>
      </c>
      <c r="W299" s="78" t="str">
        <f t="shared" si="42"/>
        <v>Key-BRASIL-299</v>
      </c>
      <c r="X299" s="77" t="s">
        <v>1867</v>
      </c>
      <c r="Y299" s="77" t="s">
        <v>1910</v>
      </c>
      <c r="Z299" s="81" t="s">
        <v>1</v>
      </c>
      <c r="AA299" s="77" t="str">
        <f t="shared" si="43"/>
        <v>Level that represents the minimum operating depth.</v>
      </c>
    </row>
    <row r="300" spans="1:27" ht="6.6" customHeight="1" x14ac:dyDescent="0.25">
      <c r="A300" s="72">
        <v>300</v>
      </c>
      <c r="B300" s="73" t="s">
        <v>1968</v>
      </c>
      <c r="C300" s="83" t="s">
        <v>2001</v>
      </c>
      <c r="D300" s="73" t="s">
        <v>2003</v>
      </c>
      <c r="E300" s="73" t="s">
        <v>1581</v>
      </c>
      <c r="F300" s="91" t="s">
        <v>1580</v>
      </c>
      <c r="G300" s="75" t="s">
        <v>1</v>
      </c>
      <c r="H300" s="75" t="s">
        <v>1</v>
      </c>
      <c r="I300" s="75" t="s">
        <v>1</v>
      </c>
      <c r="J300" s="75" t="s">
        <v>1</v>
      </c>
      <c r="K300" s="75" t="s">
        <v>1</v>
      </c>
      <c r="L300" s="86" t="str">
        <f t="shared" si="45"/>
        <v>Infraestruturais</v>
      </c>
      <c r="M300" s="76" t="str">
        <f t="shared" si="46"/>
        <v>Hidroviários</v>
      </c>
      <c r="N300" s="76" t="str">
        <f t="shared" si="48"/>
        <v>Níveis Portuários</v>
      </c>
      <c r="O300" s="77" t="str">
        <f t="shared" si="49"/>
        <v>Nível.de.Piso</v>
      </c>
      <c r="P300" s="77" t="s">
        <v>522</v>
      </c>
      <c r="Q300" s="86" t="s">
        <v>1585</v>
      </c>
      <c r="R300" s="77" t="s">
        <v>1</v>
      </c>
      <c r="S300" s="77" t="str">
        <f t="shared" si="47"/>
        <v>Infraestruturais</v>
      </c>
      <c r="T300" s="77" t="str">
        <f t="shared" si="47"/>
        <v>Hidroviários</v>
      </c>
      <c r="U300" s="77" t="str">
        <f t="shared" si="47"/>
        <v>Níveis Portuários</v>
      </c>
      <c r="V300" s="77" t="s">
        <v>1964</v>
      </c>
      <c r="W300" s="78" t="str">
        <f t="shared" si="42"/>
        <v>Key-BRASIL-300</v>
      </c>
      <c r="X300" s="77" t="s">
        <v>1867</v>
      </c>
      <c r="Y300" s="77" t="s">
        <v>1910</v>
      </c>
      <c r="Z300" s="81" t="s">
        <v>1</v>
      </c>
      <c r="AA300" s="77" t="str">
        <f t="shared" si="43"/>
        <v>Level that represents the working floor of the pier, where the crane rails and the people working are located.</v>
      </c>
    </row>
    <row r="301" spans="1:27" ht="6.6" customHeight="1" x14ac:dyDescent="0.25">
      <c r="A301" s="72">
        <v>301</v>
      </c>
      <c r="B301" s="73" t="s">
        <v>1968</v>
      </c>
      <c r="C301" s="83" t="s">
        <v>2001</v>
      </c>
      <c r="D301" s="73" t="s">
        <v>2003</v>
      </c>
      <c r="E301" s="73" t="s">
        <v>1581</v>
      </c>
      <c r="F301" s="91" t="s">
        <v>523</v>
      </c>
      <c r="G301" s="75" t="s">
        <v>1</v>
      </c>
      <c r="H301" s="75" t="s">
        <v>1</v>
      </c>
      <c r="I301" s="75" t="s">
        <v>1</v>
      </c>
      <c r="J301" s="75" t="s">
        <v>1</v>
      </c>
      <c r="K301" s="75" t="s">
        <v>1</v>
      </c>
      <c r="L301" s="86" t="str">
        <f t="shared" si="45"/>
        <v>Infraestruturais</v>
      </c>
      <c r="M301" s="76" t="str">
        <f t="shared" si="46"/>
        <v>Hidroviários</v>
      </c>
      <c r="N301" s="76" t="str">
        <f t="shared" si="48"/>
        <v>Níveis Portuários</v>
      </c>
      <c r="O301" s="77" t="str">
        <f t="shared" si="49"/>
        <v>Nível.Hidrográfico</v>
      </c>
      <c r="P301" s="77" t="s">
        <v>524</v>
      </c>
      <c r="Q301" s="77" t="s">
        <v>525</v>
      </c>
      <c r="R301" s="77" t="s">
        <v>1</v>
      </c>
      <c r="S301" s="77" t="str">
        <f t="shared" si="47"/>
        <v>Infraestruturais</v>
      </c>
      <c r="T301" s="77" t="str">
        <f t="shared" si="47"/>
        <v>Hidroviários</v>
      </c>
      <c r="U301" s="77" t="str">
        <f t="shared" si="47"/>
        <v>Níveis Portuários</v>
      </c>
      <c r="V301" s="77" t="s">
        <v>1964</v>
      </c>
      <c r="W301" s="78" t="str">
        <f t="shared" si="42"/>
        <v>Key-BRASIL-301</v>
      </c>
      <c r="X301" s="77" t="s">
        <v>1867</v>
      </c>
      <c r="Y301" s="77" t="s">
        <v>1887</v>
      </c>
      <c r="Z301" s="81" t="s">
        <v>1</v>
      </c>
      <c r="AA301" s="77" t="str">
        <f t="shared" si="43"/>
        <v>Reference level provided by hydrographic survey of the port.</v>
      </c>
    </row>
    <row r="302" spans="1:27" ht="6.6" customHeight="1" x14ac:dyDescent="0.25">
      <c r="A302" s="72">
        <v>302</v>
      </c>
      <c r="B302" s="73" t="s">
        <v>1968</v>
      </c>
      <c r="C302" s="83" t="s">
        <v>2001</v>
      </c>
      <c r="D302" s="73" t="s">
        <v>2003</v>
      </c>
      <c r="E302" s="73" t="s">
        <v>1412</v>
      </c>
      <c r="F302" s="74" t="s">
        <v>1582</v>
      </c>
      <c r="G302" s="75" t="s">
        <v>1</v>
      </c>
      <c r="H302" s="75" t="s">
        <v>1</v>
      </c>
      <c r="I302" s="75" t="s">
        <v>1</v>
      </c>
      <c r="J302" s="75" t="s">
        <v>1</v>
      </c>
      <c r="K302" s="75" t="s">
        <v>1</v>
      </c>
      <c r="L302" s="86" t="str">
        <f t="shared" si="45"/>
        <v>Infraestruturais</v>
      </c>
      <c r="M302" s="76" t="str">
        <f t="shared" si="46"/>
        <v>Hidroviários</v>
      </c>
      <c r="N302" s="76" t="str">
        <f t="shared" si="48"/>
        <v>Portos</v>
      </c>
      <c r="O302" s="77" t="str">
        <f t="shared" si="49"/>
        <v>Porto.de.Aguas.Profundas</v>
      </c>
      <c r="P302" s="77" t="s">
        <v>1583</v>
      </c>
      <c r="Q302" s="86" t="s">
        <v>554</v>
      </c>
      <c r="R302" s="77" t="s">
        <v>1</v>
      </c>
      <c r="S302" s="77" t="str">
        <f t="shared" si="47"/>
        <v>Infraestruturais</v>
      </c>
      <c r="T302" s="77" t="str">
        <f t="shared" si="47"/>
        <v>Hidroviários</v>
      </c>
      <c r="U302" s="77" t="str">
        <f t="shared" si="47"/>
        <v>Portos</v>
      </c>
      <c r="V302" s="77" t="s">
        <v>1964</v>
      </c>
      <c r="W302" s="78" t="str">
        <f t="shared" si="42"/>
        <v>Key-BRASIL-302</v>
      </c>
      <c r="X302" s="77" t="s">
        <v>1843</v>
      </c>
      <c r="Y302" s="81" t="s">
        <v>1887</v>
      </c>
      <c r="Z302" s="81" t="s">
        <v>1</v>
      </c>
      <c r="AA302" s="77" t="str">
        <f t="shared" si="43"/>
        <v>Complex/facility to receive ships with a large draft. Built in a coastal area with direct access to the ocean, without the need for artificial channels or frequent dredging.</v>
      </c>
    </row>
    <row r="303" spans="1:27" ht="6.6" customHeight="1" x14ac:dyDescent="0.25">
      <c r="A303" s="72">
        <v>303</v>
      </c>
      <c r="B303" s="73" t="s">
        <v>1968</v>
      </c>
      <c r="C303" s="83" t="s">
        <v>2001</v>
      </c>
      <c r="D303" s="73" t="s">
        <v>2003</v>
      </c>
      <c r="E303" s="73" t="s">
        <v>1412</v>
      </c>
      <c r="F303" s="74" t="s">
        <v>553</v>
      </c>
      <c r="G303" s="75" t="s">
        <v>1</v>
      </c>
      <c r="H303" s="75" t="s">
        <v>1</v>
      </c>
      <c r="I303" s="75" t="s">
        <v>1</v>
      </c>
      <c r="J303" s="75" t="s">
        <v>1</v>
      </c>
      <c r="K303" s="75" t="s">
        <v>1</v>
      </c>
      <c r="L303" s="86" t="str">
        <f t="shared" si="45"/>
        <v>Infraestruturais</v>
      </c>
      <c r="M303" s="76" t="str">
        <f t="shared" si="46"/>
        <v>Hidroviários</v>
      </c>
      <c r="N303" s="76" t="str">
        <f t="shared" si="48"/>
        <v>Portos</v>
      </c>
      <c r="O303" s="77" t="str">
        <f t="shared" si="49"/>
        <v>Porto.Marítimo</v>
      </c>
      <c r="P303" s="77" t="s">
        <v>1584</v>
      </c>
      <c r="Q303" s="86" t="s">
        <v>554</v>
      </c>
      <c r="R303" s="77" t="s">
        <v>1</v>
      </c>
      <c r="S303" s="77" t="str">
        <f t="shared" si="47"/>
        <v>Infraestruturais</v>
      </c>
      <c r="T303" s="77" t="str">
        <f t="shared" si="47"/>
        <v>Hidroviários</v>
      </c>
      <c r="U303" s="77" t="str">
        <f t="shared" si="47"/>
        <v>Portos</v>
      </c>
      <c r="V303" s="77" t="s">
        <v>1964</v>
      </c>
      <c r="W303" s="78" t="str">
        <f t="shared" si="42"/>
        <v>Key-BRASIL-303</v>
      </c>
      <c r="X303" s="77" t="s">
        <v>1843</v>
      </c>
      <c r="Y303" s="81" t="s">
        <v>1887</v>
      </c>
      <c r="Z303" s="81" t="s">
        <v>1</v>
      </c>
      <c r="AA303" s="77" t="str">
        <f t="shared" si="43"/>
        <v>Complex/facility for maritime activities, which includes cargo, people and storage.</v>
      </c>
    </row>
    <row r="304" spans="1:27" ht="6.6" customHeight="1" x14ac:dyDescent="0.25">
      <c r="A304" s="72">
        <v>304</v>
      </c>
      <c r="B304" s="73" t="s">
        <v>1968</v>
      </c>
      <c r="C304" s="83" t="s">
        <v>2001</v>
      </c>
      <c r="D304" s="73" t="s">
        <v>2003</v>
      </c>
      <c r="E304" s="73" t="s">
        <v>1412</v>
      </c>
      <c r="F304" s="74" t="s">
        <v>1685</v>
      </c>
      <c r="G304" s="75" t="s">
        <v>1</v>
      </c>
      <c r="H304" s="75" t="s">
        <v>1</v>
      </c>
      <c r="I304" s="75" t="s">
        <v>1</v>
      </c>
      <c r="J304" s="75" t="s">
        <v>1</v>
      </c>
      <c r="K304" s="75" t="s">
        <v>1</v>
      </c>
      <c r="L304" s="86" t="str">
        <f t="shared" si="45"/>
        <v>Infraestruturais</v>
      </c>
      <c r="M304" s="76" t="str">
        <f t="shared" si="46"/>
        <v>Hidroviários</v>
      </c>
      <c r="N304" s="76" t="str">
        <f t="shared" si="48"/>
        <v>Portos</v>
      </c>
      <c r="O304" s="77" t="str">
        <f t="shared" si="49"/>
        <v>Base.Naval</v>
      </c>
      <c r="P304" s="77" t="s">
        <v>1584</v>
      </c>
      <c r="Q304" s="86" t="s">
        <v>1686</v>
      </c>
      <c r="R304" s="77" t="s">
        <v>1</v>
      </c>
      <c r="S304" s="77" t="str">
        <f t="shared" si="47"/>
        <v>Infraestruturais</v>
      </c>
      <c r="T304" s="77" t="str">
        <f t="shared" si="47"/>
        <v>Hidroviários</v>
      </c>
      <c r="U304" s="77" t="str">
        <f t="shared" si="47"/>
        <v>Portos</v>
      </c>
      <c r="V304" s="77" t="s">
        <v>1964</v>
      </c>
      <c r="W304" s="78" t="str">
        <f t="shared" si="42"/>
        <v>Key-BRASIL-304</v>
      </c>
      <c r="X304" s="77" t="s">
        <v>1843</v>
      </c>
      <c r="Y304" s="81" t="s">
        <v>1887</v>
      </c>
      <c r="Z304" s="81" t="s">
        <v>1</v>
      </c>
      <c r="AA304" s="77" t="str">
        <f t="shared" si="43"/>
        <v>Complex/facility for maritime activities, which includes cargo, people and storage.</v>
      </c>
    </row>
    <row r="305" spans="1:27" ht="6.6" customHeight="1" x14ac:dyDescent="0.25">
      <c r="A305" s="72">
        <v>305</v>
      </c>
      <c r="B305" s="73" t="s">
        <v>1968</v>
      </c>
      <c r="C305" s="83" t="s">
        <v>2001</v>
      </c>
      <c r="D305" s="73" t="s">
        <v>2003</v>
      </c>
      <c r="E305" s="73" t="s">
        <v>1412</v>
      </c>
      <c r="F305" s="74" t="s">
        <v>555</v>
      </c>
      <c r="G305" s="75" t="s">
        <v>1</v>
      </c>
      <c r="H305" s="75" t="s">
        <v>1</v>
      </c>
      <c r="I305" s="75" t="s">
        <v>1</v>
      </c>
      <c r="J305" s="75" t="s">
        <v>1</v>
      </c>
      <c r="K305" s="75" t="s">
        <v>1</v>
      </c>
      <c r="L305" s="86" t="str">
        <f t="shared" si="45"/>
        <v>Infraestruturais</v>
      </c>
      <c r="M305" s="76" t="str">
        <f t="shared" si="46"/>
        <v>Hidroviários</v>
      </c>
      <c r="N305" s="76" t="str">
        <f t="shared" si="48"/>
        <v>Portos</v>
      </c>
      <c r="O305" s="77" t="str">
        <f t="shared" si="49"/>
        <v>Porto.Fluvial</v>
      </c>
      <c r="P305" s="77" t="s">
        <v>556</v>
      </c>
      <c r="Q305" s="86" t="s">
        <v>557</v>
      </c>
      <c r="R305" s="77" t="s">
        <v>1</v>
      </c>
      <c r="S305" s="77" t="str">
        <f t="shared" si="47"/>
        <v>Infraestruturais</v>
      </c>
      <c r="T305" s="77" t="str">
        <f t="shared" si="47"/>
        <v>Hidroviários</v>
      </c>
      <c r="U305" s="77" t="str">
        <f t="shared" si="47"/>
        <v>Portos</v>
      </c>
      <c r="V305" s="77" t="s">
        <v>1964</v>
      </c>
      <c r="W305" s="78" t="str">
        <f t="shared" si="42"/>
        <v>Key-BRASIL-305</v>
      </c>
      <c r="X305" s="77" t="s">
        <v>1843</v>
      </c>
      <c r="Y305" s="81" t="s">
        <v>1909</v>
      </c>
      <c r="Z305" s="81" t="s">
        <v>1</v>
      </c>
      <c r="AA305" s="77" t="str">
        <f t="shared" si="43"/>
        <v>Complex/facility for river activities, which includes cargo, people and storage.</v>
      </c>
    </row>
    <row r="306" spans="1:27" ht="6.6" customHeight="1" x14ac:dyDescent="0.25">
      <c r="A306" s="72">
        <v>306</v>
      </c>
      <c r="B306" s="73" t="s">
        <v>1968</v>
      </c>
      <c r="C306" s="83" t="s">
        <v>2001</v>
      </c>
      <c r="D306" s="73" t="s">
        <v>2003</v>
      </c>
      <c r="E306" s="73" t="s">
        <v>1413</v>
      </c>
      <c r="F306" s="74" t="s">
        <v>526</v>
      </c>
      <c r="G306" s="75" t="s">
        <v>1</v>
      </c>
      <c r="H306" s="75" t="s">
        <v>1</v>
      </c>
      <c r="I306" s="75" t="s">
        <v>1</v>
      </c>
      <c r="J306" s="75" t="s">
        <v>1</v>
      </c>
      <c r="K306" s="75" t="s">
        <v>1</v>
      </c>
      <c r="L306" s="86" t="str">
        <f t="shared" si="45"/>
        <v>Infraestruturais</v>
      </c>
      <c r="M306" s="76" t="str">
        <f t="shared" si="46"/>
        <v>Hidroviários</v>
      </c>
      <c r="N306" s="76" t="str">
        <f t="shared" si="48"/>
        <v>Portos Defesas</v>
      </c>
      <c r="O306" s="77" t="str">
        <f t="shared" si="49"/>
        <v>Quebra.Ondas</v>
      </c>
      <c r="P306" s="77" t="s">
        <v>527</v>
      </c>
      <c r="Q306" s="86" t="s">
        <v>528</v>
      </c>
      <c r="R306" s="77" t="s">
        <v>1</v>
      </c>
      <c r="S306" s="77" t="str">
        <f t="shared" si="47"/>
        <v>Infraestruturais</v>
      </c>
      <c r="T306" s="77" t="str">
        <f t="shared" si="47"/>
        <v>Hidroviários</v>
      </c>
      <c r="U306" s="77" t="str">
        <f t="shared" si="47"/>
        <v>Portos Defesas</v>
      </c>
      <c r="V306" s="77" t="s">
        <v>1964</v>
      </c>
      <c r="W306" s="78" t="str">
        <f t="shared" si="42"/>
        <v>Key-BRASIL-306</v>
      </c>
      <c r="X306" s="77" t="s">
        <v>1844</v>
      </c>
      <c r="Y306" s="77" t="s">
        <v>1909</v>
      </c>
      <c r="Z306" s="81" t="s">
        <v>1</v>
      </c>
      <c r="AA306" s="77" t="str">
        <f t="shared" si="43"/>
        <v>Line where there is a decrease in the energy of the sea waves.</v>
      </c>
    </row>
    <row r="307" spans="1:27" ht="6.6" customHeight="1" x14ac:dyDescent="0.25">
      <c r="A307" s="72">
        <v>307</v>
      </c>
      <c r="B307" s="73" t="s">
        <v>1968</v>
      </c>
      <c r="C307" s="83" t="s">
        <v>2001</v>
      </c>
      <c r="D307" s="73" t="s">
        <v>2003</v>
      </c>
      <c r="E307" s="73" t="s">
        <v>1413</v>
      </c>
      <c r="F307" s="74" t="s">
        <v>529</v>
      </c>
      <c r="G307" s="75" t="s">
        <v>1</v>
      </c>
      <c r="H307" s="75" t="s">
        <v>1</v>
      </c>
      <c r="I307" s="75" t="s">
        <v>1</v>
      </c>
      <c r="J307" s="75" t="s">
        <v>1</v>
      </c>
      <c r="K307" s="75" t="s">
        <v>1</v>
      </c>
      <c r="L307" s="86" t="str">
        <f t="shared" si="45"/>
        <v>Infraestruturais</v>
      </c>
      <c r="M307" s="76" t="str">
        <f t="shared" si="46"/>
        <v>Hidroviários</v>
      </c>
      <c r="N307" s="76" t="str">
        <f t="shared" si="48"/>
        <v>Portos Defesas</v>
      </c>
      <c r="O307" s="77" t="str">
        <f t="shared" si="49"/>
        <v>Quebra.Mar</v>
      </c>
      <c r="P307" s="77" t="s">
        <v>530</v>
      </c>
      <c r="Q307" s="86" t="s">
        <v>531</v>
      </c>
      <c r="R307" s="77" t="s">
        <v>1</v>
      </c>
      <c r="S307" s="77" t="str">
        <f t="shared" si="47"/>
        <v>Infraestruturais</v>
      </c>
      <c r="T307" s="77" t="str">
        <f t="shared" si="47"/>
        <v>Hidroviários</v>
      </c>
      <c r="U307" s="77" t="str">
        <f t="shared" si="47"/>
        <v>Portos Defesas</v>
      </c>
      <c r="V307" s="77" t="s">
        <v>1964</v>
      </c>
      <c r="W307" s="78" t="str">
        <f t="shared" si="42"/>
        <v>Key-BRASIL-307</v>
      </c>
      <c r="X307" s="77" t="s">
        <v>1844</v>
      </c>
      <c r="Y307" s="77" t="s">
        <v>1909</v>
      </c>
      <c r="Z307" s="81" t="s">
        <v>1</v>
      </c>
      <c r="AA307" s="77" t="str">
        <f t="shared" si="43"/>
        <v>A structure built to protect the coast, ports or urban areas from the force of waves and sea currents, it can be parallel or perpendicular to the coast.</v>
      </c>
    </row>
    <row r="308" spans="1:27" ht="6.6" customHeight="1" x14ac:dyDescent="0.25">
      <c r="A308" s="72">
        <v>308</v>
      </c>
      <c r="B308" s="73" t="s">
        <v>1968</v>
      </c>
      <c r="C308" s="83" t="s">
        <v>2001</v>
      </c>
      <c r="D308" s="73" t="s">
        <v>2003</v>
      </c>
      <c r="E308" s="73" t="s">
        <v>1413</v>
      </c>
      <c r="F308" s="74" t="s">
        <v>532</v>
      </c>
      <c r="G308" s="75" t="s">
        <v>1</v>
      </c>
      <c r="H308" s="75" t="s">
        <v>1</v>
      </c>
      <c r="I308" s="75" t="s">
        <v>1</v>
      </c>
      <c r="J308" s="75" t="s">
        <v>1</v>
      </c>
      <c r="K308" s="75" t="s">
        <v>1</v>
      </c>
      <c r="L308" s="86" t="str">
        <f t="shared" si="45"/>
        <v>Infraestruturais</v>
      </c>
      <c r="M308" s="76" t="str">
        <f t="shared" si="46"/>
        <v>Hidroviários</v>
      </c>
      <c r="N308" s="76" t="str">
        <f t="shared" si="48"/>
        <v>Portos Defesas</v>
      </c>
      <c r="O308" s="77" t="str">
        <f t="shared" si="49"/>
        <v>Costa.Defesa</v>
      </c>
      <c r="P308" s="77" t="s">
        <v>533</v>
      </c>
      <c r="Q308" s="77" t="s">
        <v>534</v>
      </c>
      <c r="R308" s="77" t="s">
        <v>1</v>
      </c>
      <c r="S308" s="77" t="str">
        <f t="shared" si="47"/>
        <v>Infraestruturais</v>
      </c>
      <c r="T308" s="77" t="str">
        <f t="shared" si="47"/>
        <v>Hidroviários</v>
      </c>
      <c r="U308" s="77" t="str">
        <f t="shared" si="47"/>
        <v>Portos Defesas</v>
      </c>
      <c r="V308" s="77" t="s">
        <v>1964</v>
      </c>
      <c r="W308" s="78" t="str">
        <f t="shared" si="42"/>
        <v>Key-BRASIL-308</v>
      </c>
      <c r="X308" s="77" t="s">
        <v>1844</v>
      </c>
      <c r="Y308" s="77" t="s">
        <v>1909</v>
      </c>
      <c r="Z308" s="81" t="s">
        <v>1</v>
      </c>
      <c r="AA308" s="77" t="str">
        <f t="shared" si="43"/>
        <v>Protection device that absorbs the impact between the ship and the quay.</v>
      </c>
    </row>
    <row r="309" spans="1:27" ht="6.6" customHeight="1" x14ac:dyDescent="0.25">
      <c r="A309" s="72">
        <v>309</v>
      </c>
      <c r="B309" s="73" t="s">
        <v>1968</v>
      </c>
      <c r="C309" s="83" t="s">
        <v>2001</v>
      </c>
      <c r="D309" s="73" t="s">
        <v>2003</v>
      </c>
      <c r="E309" s="73" t="s">
        <v>1413</v>
      </c>
      <c r="F309" s="74" t="s">
        <v>535</v>
      </c>
      <c r="G309" s="75" t="s">
        <v>1</v>
      </c>
      <c r="H309" s="75" t="s">
        <v>1</v>
      </c>
      <c r="I309" s="75" t="s">
        <v>1</v>
      </c>
      <c r="J309" s="75" t="s">
        <v>1</v>
      </c>
      <c r="K309" s="75" t="s">
        <v>1</v>
      </c>
      <c r="L309" s="86" t="str">
        <f t="shared" si="45"/>
        <v>Infraestruturais</v>
      </c>
      <c r="M309" s="76" t="str">
        <f t="shared" si="46"/>
        <v>Hidroviários</v>
      </c>
      <c r="N309" s="76" t="str">
        <f t="shared" si="48"/>
        <v>Portos Defesas</v>
      </c>
      <c r="O309" s="77" t="str">
        <f t="shared" si="49"/>
        <v>Costa.Contenção</v>
      </c>
      <c r="P309" s="77" t="s">
        <v>536</v>
      </c>
      <c r="Q309" s="86" t="s">
        <v>537</v>
      </c>
      <c r="R309" s="77" t="s">
        <v>1</v>
      </c>
      <c r="S309" s="77" t="str">
        <f t="shared" si="47"/>
        <v>Infraestruturais</v>
      </c>
      <c r="T309" s="77" t="str">
        <f t="shared" si="47"/>
        <v>Hidroviários</v>
      </c>
      <c r="U309" s="77" t="str">
        <f t="shared" si="47"/>
        <v>Portos Defesas</v>
      </c>
      <c r="V309" s="77" t="s">
        <v>1964</v>
      </c>
      <c r="W309" s="78" t="str">
        <f t="shared" si="42"/>
        <v>Key-BRASIL-309</v>
      </c>
      <c r="X309" s="77" t="s">
        <v>1844</v>
      </c>
      <c r="Y309" s="77" t="s">
        <v>1909</v>
      </c>
      <c r="Z309" s="81" t="s">
        <v>1</v>
      </c>
      <c r="AA309" s="77" t="str">
        <f t="shared" si="43"/>
        <v>Marine defensive structure made of earthworks, masonry and rocks.</v>
      </c>
    </row>
    <row r="310" spans="1:27" ht="6.6" customHeight="1" x14ac:dyDescent="0.25">
      <c r="A310" s="72">
        <v>310</v>
      </c>
      <c r="B310" s="73" t="s">
        <v>1968</v>
      </c>
      <c r="C310" s="83" t="s">
        <v>2001</v>
      </c>
      <c r="D310" s="73" t="s">
        <v>2003</v>
      </c>
      <c r="E310" s="73" t="s">
        <v>1414</v>
      </c>
      <c r="F310" s="74" t="s">
        <v>538</v>
      </c>
      <c r="G310" s="75" t="s">
        <v>1</v>
      </c>
      <c r="H310" s="75" t="s">
        <v>1</v>
      </c>
      <c r="I310" s="75" t="s">
        <v>1</v>
      </c>
      <c r="J310" s="75" t="s">
        <v>1</v>
      </c>
      <c r="K310" s="75" t="s">
        <v>1</v>
      </c>
      <c r="L310" s="86" t="str">
        <f t="shared" si="45"/>
        <v>Infraestruturais</v>
      </c>
      <c r="M310" s="76" t="str">
        <f t="shared" si="46"/>
        <v>Hidroviários</v>
      </c>
      <c r="N310" s="76" t="str">
        <f t="shared" si="48"/>
        <v>Portos Docas</v>
      </c>
      <c r="O310" s="77" t="str">
        <f t="shared" si="49"/>
        <v>Dique.Seco</v>
      </c>
      <c r="P310" s="77" t="s">
        <v>539</v>
      </c>
      <c r="Q310" s="86" t="s">
        <v>540</v>
      </c>
      <c r="R310" s="77" t="s">
        <v>1</v>
      </c>
      <c r="S310" s="77" t="str">
        <f t="shared" si="47"/>
        <v>Infraestruturais</v>
      </c>
      <c r="T310" s="77" t="str">
        <f t="shared" si="47"/>
        <v>Hidroviários</v>
      </c>
      <c r="U310" s="77" t="str">
        <f t="shared" si="47"/>
        <v>Portos Docas</v>
      </c>
      <c r="V310" s="77" t="s">
        <v>1964</v>
      </c>
      <c r="W310" s="78" t="str">
        <f t="shared" si="42"/>
        <v>Key-BRASIL-310</v>
      </c>
      <c r="X310" s="77" t="s">
        <v>1844</v>
      </c>
      <c r="Y310" s="77" t="s">
        <v>1909</v>
      </c>
      <c r="Z310" s="81" t="s">
        <v>1</v>
      </c>
      <c r="AA310" s="77" t="str">
        <f t="shared" si="43"/>
        <v>The dry dock is a closed chamber (by gate) that allows the drainage of water into the building.</v>
      </c>
    </row>
    <row r="311" spans="1:27" ht="6.6" customHeight="1" x14ac:dyDescent="0.25">
      <c r="A311" s="72">
        <v>311</v>
      </c>
      <c r="B311" s="73" t="s">
        <v>1968</v>
      </c>
      <c r="C311" s="83" t="s">
        <v>2001</v>
      </c>
      <c r="D311" s="73" t="s">
        <v>2003</v>
      </c>
      <c r="E311" s="73" t="s">
        <v>1414</v>
      </c>
      <c r="F311" s="74" t="s">
        <v>541</v>
      </c>
      <c r="G311" s="75" t="s">
        <v>1</v>
      </c>
      <c r="H311" s="75" t="s">
        <v>1</v>
      </c>
      <c r="I311" s="75" t="s">
        <v>1</v>
      </c>
      <c r="J311" s="75" t="s">
        <v>1</v>
      </c>
      <c r="K311" s="75" t="s">
        <v>1</v>
      </c>
      <c r="L311" s="86" t="str">
        <f t="shared" si="45"/>
        <v>Infraestruturais</v>
      </c>
      <c r="M311" s="76" t="str">
        <f t="shared" si="46"/>
        <v>Hidroviários</v>
      </c>
      <c r="N311" s="76" t="str">
        <f t="shared" si="48"/>
        <v>Portos Docas</v>
      </c>
      <c r="O311" s="77" t="str">
        <f t="shared" si="49"/>
        <v>Doca.Flutuante</v>
      </c>
      <c r="P311" s="77" t="s">
        <v>542</v>
      </c>
      <c r="Q311" s="86" t="s">
        <v>543</v>
      </c>
      <c r="R311" s="77" t="s">
        <v>1</v>
      </c>
      <c r="S311" s="77" t="str">
        <f t="shared" si="47"/>
        <v>Infraestruturais</v>
      </c>
      <c r="T311" s="77" t="str">
        <f t="shared" si="47"/>
        <v>Hidroviários</v>
      </c>
      <c r="U311" s="77" t="str">
        <f t="shared" si="47"/>
        <v>Portos Docas</v>
      </c>
      <c r="V311" s="77" t="s">
        <v>1964</v>
      </c>
      <c r="W311" s="78" t="str">
        <f t="shared" si="42"/>
        <v>Key-BRASIL-311</v>
      </c>
      <c r="X311" s="77" t="s">
        <v>1844</v>
      </c>
      <c r="Y311" s="77" t="s">
        <v>1909</v>
      </c>
      <c r="Z311" s="81" t="s">
        <v>1</v>
      </c>
      <c r="AA311" s="77" t="str">
        <f t="shared" si="43"/>
        <v>Space element that encompasses a floating dry dock and lateral support quay auxiliaries.</v>
      </c>
    </row>
    <row r="312" spans="1:27" ht="6.6" customHeight="1" x14ac:dyDescent="0.25">
      <c r="A312" s="72">
        <v>312</v>
      </c>
      <c r="B312" s="73" t="s">
        <v>1968</v>
      </c>
      <c r="C312" s="83" t="s">
        <v>2001</v>
      </c>
      <c r="D312" s="73" t="s">
        <v>2003</v>
      </c>
      <c r="E312" s="73" t="s">
        <v>1415</v>
      </c>
      <c r="F312" s="74" t="s">
        <v>544</v>
      </c>
      <c r="G312" s="75" t="s">
        <v>1</v>
      </c>
      <c r="H312" s="75" t="s">
        <v>1</v>
      </c>
      <c r="I312" s="75" t="s">
        <v>1</v>
      </c>
      <c r="J312" s="75" t="s">
        <v>1</v>
      </c>
      <c r="K312" s="75" t="s">
        <v>1</v>
      </c>
      <c r="L312" s="86" t="str">
        <f t="shared" si="45"/>
        <v>Infraestruturais</v>
      </c>
      <c r="M312" s="76" t="str">
        <f t="shared" si="46"/>
        <v>Hidroviários</v>
      </c>
      <c r="N312" s="76" t="str">
        <f t="shared" si="48"/>
        <v>Portos Partes</v>
      </c>
      <c r="O312" s="77" t="str">
        <f t="shared" si="49"/>
        <v>Infra.Portuária</v>
      </c>
      <c r="P312" s="77" t="s">
        <v>545</v>
      </c>
      <c r="Q312" s="86" t="s">
        <v>546</v>
      </c>
      <c r="R312" s="77" t="s">
        <v>1</v>
      </c>
      <c r="S312" s="77" t="str">
        <f t="shared" si="47"/>
        <v>Infraestruturais</v>
      </c>
      <c r="T312" s="77" t="str">
        <f t="shared" si="47"/>
        <v>Hidroviários</v>
      </c>
      <c r="U312" s="77" t="str">
        <f t="shared" si="47"/>
        <v>Portos Partes</v>
      </c>
      <c r="V312" s="77" t="s">
        <v>1964</v>
      </c>
      <c r="W312" s="78" t="str">
        <f t="shared" si="42"/>
        <v>Key-BRASIL-312</v>
      </c>
      <c r="X312" s="77" t="s">
        <v>1844</v>
      </c>
      <c r="Y312" s="77" t="s">
        <v>1909</v>
      </c>
      <c r="Z312" s="81" t="s">
        <v>1</v>
      </c>
      <c r="AA312" s="77" t="str">
        <f t="shared" si="43"/>
        <v>Marine facility represents any major structure or entity that is specific to ports and waters.</v>
      </c>
    </row>
    <row r="313" spans="1:27" ht="6.6" customHeight="1" x14ac:dyDescent="0.25">
      <c r="A313" s="72">
        <v>313</v>
      </c>
      <c r="B313" s="73" t="s">
        <v>1968</v>
      </c>
      <c r="C313" s="83" t="s">
        <v>2001</v>
      </c>
      <c r="D313" s="73" t="s">
        <v>2003</v>
      </c>
      <c r="E313" s="73" t="s">
        <v>1415</v>
      </c>
      <c r="F313" s="74" t="s">
        <v>547</v>
      </c>
      <c r="G313" s="75" t="s">
        <v>1</v>
      </c>
      <c r="H313" s="75" t="s">
        <v>1</v>
      </c>
      <c r="I313" s="75" t="s">
        <v>1</v>
      </c>
      <c r="J313" s="75" t="s">
        <v>1</v>
      </c>
      <c r="K313" s="75" t="s">
        <v>1</v>
      </c>
      <c r="L313" s="86" t="str">
        <f t="shared" si="45"/>
        <v>Infraestruturais</v>
      </c>
      <c r="M313" s="76" t="str">
        <f t="shared" si="46"/>
        <v>Hidroviários</v>
      </c>
      <c r="N313" s="76" t="str">
        <f t="shared" si="48"/>
        <v>Portos Partes</v>
      </c>
      <c r="O313" s="77" t="str">
        <f t="shared" si="49"/>
        <v>Praia</v>
      </c>
      <c r="P313" s="77" t="s">
        <v>548</v>
      </c>
      <c r="Q313" s="86" t="s">
        <v>549</v>
      </c>
      <c r="R313" s="77" t="s">
        <v>1</v>
      </c>
      <c r="S313" s="77" t="str">
        <f t="shared" si="47"/>
        <v>Infraestruturais</v>
      </c>
      <c r="T313" s="77" t="str">
        <f t="shared" si="47"/>
        <v>Hidroviários</v>
      </c>
      <c r="U313" s="77" t="str">
        <f t="shared" si="47"/>
        <v>Portos Partes</v>
      </c>
      <c r="V313" s="77" t="s">
        <v>1964</v>
      </c>
      <c r="W313" s="78" t="str">
        <f t="shared" si="42"/>
        <v>Key-BRASIL-313</v>
      </c>
      <c r="X313" s="77" t="s">
        <v>1844</v>
      </c>
      <c r="Y313" s="77" t="s">
        <v>1909</v>
      </c>
      <c r="Z313" s="81" t="s">
        <v>1</v>
      </c>
      <c r="AA313" s="77" t="str">
        <f t="shared" si="43"/>
        <v>A mountain range of sand that rises slightly above the surface of the sea and runs roughly parallel to the coast.</v>
      </c>
    </row>
    <row r="314" spans="1:27" ht="6.6" customHeight="1" x14ac:dyDescent="0.25">
      <c r="A314" s="72">
        <v>314</v>
      </c>
      <c r="B314" s="73" t="s">
        <v>1968</v>
      </c>
      <c r="C314" s="83" t="s">
        <v>2001</v>
      </c>
      <c r="D314" s="73" t="s">
        <v>2003</v>
      </c>
      <c r="E314" s="73" t="s">
        <v>1415</v>
      </c>
      <c r="F314" s="74" t="s">
        <v>550</v>
      </c>
      <c r="G314" s="75" t="s">
        <v>1</v>
      </c>
      <c r="H314" s="75" t="s">
        <v>1</v>
      </c>
      <c r="I314" s="75" t="s">
        <v>1</v>
      </c>
      <c r="J314" s="75" t="s">
        <v>1</v>
      </c>
      <c r="K314" s="75" t="s">
        <v>1</v>
      </c>
      <c r="L314" s="86" t="str">
        <f t="shared" si="45"/>
        <v>Infraestruturais</v>
      </c>
      <c r="M314" s="76" t="str">
        <f t="shared" si="46"/>
        <v>Hidroviários</v>
      </c>
      <c r="N314" s="76" t="str">
        <f t="shared" si="48"/>
        <v>Portos Partes</v>
      </c>
      <c r="O314" s="77" t="str">
        <f t="shared" si="49"/>
        <v>Hidroelevador</v>
      </c>
      <c r="P314" s="77" t="s">
        <v>551</v>
      </c>
      <c r="Q314" s="86" t="s">
        <v>552</v>
      </c>
      <c r="R314" s="77" t="s">
        <v>1</v>
      </c>
      <c r="S314" s="77" t="str">
        <f t="shared" si="47"/>
        <v>Infraestruturais</v>
      </c>
      <c r="T314" s="77" t="str">
        <f t="shared" si="47"/>
        <v>Hidroviários</v>
      </c>
      <c r="U314" s="77" t="str">
        <f t="shared" si="47"/>
        <v>Portos Partes</v>
      </c>
      <c r="V314" s="77" t="s">
        <v>1964</v>
      </c>
      <c r="W314" s="78" t="str">
        <f t="shared" si="42"/>
        <v>Key-BRASIL-314</v>
      </c>
      <c r="X314" s="77" t="s">
        <v>1844</v>
      </c>
      <c r="Y314" s="77" t="s">
        <v>1909</v>
      </c>
      <c r="Z314" s="81" t="s">
        <v>1</v>
      </c>
      <c r="AA314" s="77" t="str">
        <f t="shared" si="43"/>
        <v>A type of vessel launch recovery facility, also known as a hydraulic lifting dock, where ships are lifted.</v>
      </c>
    </row>
    <row r="315" spans="1:27" ht="6.6" customHeight="1" x14ac:dyDescent="0.25">
      <c r="A315" s="72">
        <v>315</v>
      </c>
      <c r="B315" s="73" t="s">
        <v>1968</v>
      </c>
      <c r="C315" s="83" t="s">
        <v>2001</v>
      </c>
      <c r="D315" s="73" t="s">
        <v>2003</v>
      </c>
      <c r="E315" s="73" t="s">
        <v>1415</v>
      </c>
      <c r="F315" s="74" t="s">
        <v>558</v>
      </c>
      <c r="G315" s="75" t="s">
        <v>1</v>
      </c>
      <c r="H315" s="75" t="s">
        <v>1</v>
      </c>
      <c r="I315" s="75" t="s">
        <v>1</v>
      </c>
      <c r="J315" s="75" t="s">
        <v>1</v>
      </c>
      <c r="K315" s="75" t="s">
        <v>1</v>
      </c>
      <c r="L315" s="86" t="str">
        <f t="shared" si="45"/>
        <v>Infraestruturais</v>
      </c>
      <c r="M315" s="76" t="str">
        <f t="shared" si="46"/>
        <v>Hidroviários</v>
      </c>
      <c r="N315" s="76" t="str">
        <f t="shared" si="48"/>
        <v>Portos Partes</v>
      </c>
      <c r="O315" s="77" t="str">
        <f t="shared" si="49"/>
        <v>Dolfin</v>
      </c>
      <c r="P315" s="77" t="s">
        <v>559</v>
      </c>
      <c r="Q315" s="86" t="s">
        <v>560</v>
      </c>
      <c r="R315" s="77" t="s">
        <v>1</v>
      </c>
      <c r="S315" s="77" t="str">
        <f t="shared" si="47"/>
        <v>Infraestruturais</v>
      </c>
      <c r="T315" s="77" t="str">
        <f t="shared" si="47"/>
        <v>Hidroviários</v>
      </c>
      <c r="U315" s="77" t="str">
        <f t="shared" si="47"/>
        <v>Portos Partes</v>
      </c>
      <c r="V315" s="77" t="s">
        <v>1964</v>
      </c>
      <c r="W315" s="78" t="str">
        <f t="shared" si="42"/>
        <v>Key-BRASIL-315</v>
      </c>
      <c r="X315" s="77" t="s">
        <v>1844</v>
      </c>
      <c r="Y315" s="77" t="s">
        <v>1909</v>
      </c>
      <c r="Z315" s="81" t="s">
        <v>1</v>
      </c>
      <c r="AA315" s="77" t="str">
        <f t="shared" si="43"/>
        <v>Place for mooring vessels without contact with the shore of the coast.</v>
      </c>
    </row>
    <row r="316" spans="1:27" ht="6.6" customHeight="1" x14ac:dyDescent="0.25">
      <c r="A316" s="72">
        <v>316</v>
      </c>
      <c r="B316" s="73" t="s">
        <v>1968</v>
      </c>
      <c r="C316" s="83" t="s">
        <v>2001</v>
      </c>
      <c r="D316" s="73" t="s">
        <v>2003</v>
      </c>
      <c r="E316" s="73" t="s">
        <v>1415</v>
      </c>
      <c r="F316" s="74" t="s">
        <v>561</v>
      </c>
      <c r="G316" s="75" t="s">
        <v>1</v>
      </c>
      <c r="H316" s="75" t="s">
        <v>1</v>
      </c>
      <c r="I316" s="75" t="s">
        <v>1</v>
      </c>
      <c r="J316" s="75" t="s">
        <v>1</v>
      </c>
      <c r="K316" s="75" t="s">
        <v>1</v>
      </c>
      <c r="L316" s="86" t="str">
        <f t="shared" si="45"/>
        <v>Infraestruturais</v>
      </c>
      <c r="M316" s="76" t="str">
        <f t="shared" si="46"/>
        <v>Hidroviários</v>
      </c>
      <c r="N316" s="76" t="str">
        <f t="shared" si="48"/>
        <v>Portos Partes</v>
      </c>
      <c r="O316" s="77" t="str">
        <f t="shared" si="49"/>
        <v>Pier</v>
      </c>
      <c r="P316" s="77" t="s">
        <v>562</v>
      </c>
      <c r="Q316" s="86" t="s">
        <v>563</v>
      </c>
      <c r="R316" s="77" t="s">
        <v>1</v>
      </c>
      <c r="S316" s="77" t="str">
        <f t="shared" si="47"/>
        <v>Infraestruturais</v>
      </c>
      <c r="T316" s="77" t="str">
        <f t="shared" si="47"/>
        <v>Hidroviários</v>
      </c>
      <c r="U316" s="77" t="str">
        <f t="shared" si="47"/>
        <v>Portos Partes</v>
      </c>
      <c r="V316" s="77" t="s">
        <v>1964</v>
      </c>
      <c r="W316" s="78" t="str">
        <f t="shared" si="42"/>
        <v>Key-BRASIL-316</v>
      </c>
      <c r="X316" s="77" t="s">
        <v>1844</v>
      </c>
      <c r="Y316" s="77" t="s">
        <v>1909</v>
      </c>
      <c r="Z316" s="81" t="s">
        <v>1</v>
      </c>
      <c r="AA316" s="77" t="str">
        <f t="shared" si="43"/>
        <v>Place for the mooring of vessels accompanied by elements for loading and unloading products or people positioned perpendicular to the coast.</v>
      </c>
    </row>
    <row r="317" spans="1:27" ht="6.6" customHeight="1" x14ac:dyDescent="0.25">
      <c r="A317" s="72">
        <v>317</v>
      </c>
      <c r="B317" s="73" t="s">
        <v>1968</v>
      </c>
      <c r="C317" s="83" t="s">
        <v>2001</v>
      </c>
      <c r="D317" s="73" t="s">
        <v>2003</v>
      </c>
      <c r="E317" s="73" t="s">
        <v>1415</v>
      </c>
      <c r="F317" s="74" t="s">
        <v>564</v>
      </c>
      <c r="G317" s="75" t="s">
        <v>1</v>
      </c>
      <c r="H317" s="75" t="s">
        <v>1</v>
      </c>
      <c r="I317" s="75" t="s">
        <v>1</v>
      </c>
      <c r="J317" s="75" t="s">
        <v>1</v>
      </c>
      <c r="K317" s="75" t="s">
        <v>1</v>
      </c>
      <c r="L317" s="86" t="str">
        <f t="shared" si="45"/>
        <v>Infraestruturais</v>
      </c>
      <c r="M317" s="76" t="str">
        <f t="shared" si="46"/>
        <v>Hidroviários</v>
      </c>
      <c r="N317" s="76" t="str">
        <f t="shared" si="48"/>
        <v>Portos Partes</v>
      </c>
      <c r="O317" s="77" t="str">
        <f t="shared" si="49"/>
        <v>Cais</v>
      </c>
      <c r="P317" s="77" t="s">
        <v>565</v>
      </c>
      <c r="Q317" s="86" t="s">
        <v>566</v>
      </c>
      <c r="R317" s="77" t="s">
        <v>1</v>
      </c>
      <c r="S317" s="77" t="str">
        <f t="shared" si="47"/>
        <v>Infraestruturais</v>
      </c>
      <c r="T317" s="77" t="str">
        <f t="shared" si="47"/>
        <v>Hidroviários</v>
      </c>
      <c r="U317" s="77" t="str">
        <f t="shared" si="47"/>
        <v>Portos Partes</v>
      </c>
      <c r="V317" s="77" t="s">
        <v>1964</v>
      </c>
      <c r="W317" s="78" t="str">
        <f t="shared" si="42"/>
        <v>Key-BRASIL-317</v>
      </c>
      <c r="X317" s="77" t="s">
        <v>1844</v>
      </c>
      <c r="Y317" s="77" t="s">
        <v>1909</v>
      </c>
      <c r="Z317" s="81" t="s">
        <v>1</v>
      </c>
      <c r="AA317" s="77" t="str">
        <f t="shared" si="43"/>
        <v>Place for the mooring of vessels accompanied by elements for loading and unloading products or people positioned parallel to the coast.</v>
      </c>
    </row>
    <row r="318" spans="1:27" ht="6.6" customHeight="1" x14ac:dyDescent="0.25">
      <c r="A318" s="72">
        <v>318</v>
      </c>
      <c r="B318" s="73" t="s">
        <v>1968</v>
      </c>
      <c r="C318" s="83" t="s">
        <v>2001</v>
      </c>
      <c r="D318" s="73" t="s">
        <v>2003</v>
      </c>
      <c r="E318" s="73" t="s">
        <v>1415</v>
      </c>
      <c r="F318" s="91" t="s">
        <v>567</v>
      </c>
      <c r="G318" s="75" t="s">
        <v>1</v>
      </c>
      <c r="H318" s="75" t="s">
        <v>1</v>
      </c>
      <c r="I318" s="75" t="s">
        <v>1</v>
      </c>
      <c r="J318" s="75" t="s">
        <v>1</v>
      </c>
      <c r="K318" s="75" t="s">
        <v>1</v>
      </c>
      <c r="L318" s="86" t="str">
        <f t="shared" si="45"/>
        <v>Infraestruturais</v>
      </c>
      <c r="M318" s="76" t="str">
        <f t="shared" si="46"/>
        <v>Hidroviários</v>
      </c>
      <c r="N318" s="76" t="str">
        <f t="shared" si="48"/>
        <v>Portos Partes</v>
      </c>
      <c r="O318" s="77" t="str">
        <f t="shared" si="49"/>
        <v>Cais.Berço</v>
      </c>
      <c r="P318" s="77" t="s">
        <v>568</v>
      </c>
      <c r="Q318" s="86" t="s">
        <v>569</v>
      </c>
      <c r="R318" s="77" t="s">
        <v>1</v>
      </c>
      <c r="S318" s="77" t="str">
        <f t="shared" si="47"/>
        <v>Infraestruturais</v>
      </c>
      <c r="T318" s="77" t="str">
        <f t="shared" si="47"/>
        <v>Hidroviários</v>
      </c>
      <c r="U318" s="77" t="str">
        <f t="shared" si="47"/>
        <v>Portos Partes</v>
      </c>
      <c r="V318" s="77" t="s">
        <v>1964</v>
      </c>
      <c r="W318" s="78" t="str">
        <f t="shared" si="42"/>
        <v>Key-BRASIL-318</v>
      </c>
      <c r="X318" s="77" t="s">
        <v>1844</v>
      </c>
      <c r="Y318" s="77" t="s">
        <v>1909</v>
      </c>
      <c r="Z318" s="81" t="s">
        <v>1</v>
      </c>
      <c r="AA318" s="77" t="str">
        <f t="shared" si="43"/>
        <v>Water space that the ship occupies when it docks at the pier. The submerged wall and bed should be designed to minimize erosion and sedimentation processes.</v>
      </c>
    </row>
    <row r="319" spans="1:27" ht="6.6" customHeight="1" x14ac:dyDescent="0.25">
      <c r="A319" s="72">
        <v>319</v>
      </c>
      <c r="B319" s="73" t="s">
        <v>1968</v>
      </c>
      <c r="C319" s="83" t="s">
        <v>2001</v>
      </c>
      <c r="D319" s="73" t="s">
        <v>2003</v>
      </c>
      <c r="E319" s="73" t="s">
        <v>1415</v>
      </c>
      <c r="F319" s="74" t="s">
        <v>570</v>
      </c>
      <c r="G319" s="75" t="s">
        <v>1</v>
      </c>
      <c r="H319" s="75" t="s">
        <v>1</v>
      </c>
      <c r="I319" s="75" t="s">
        <v>1</v>
      </c>
      <c r="J319" s="75" t="s">
        <v>1</v>
      </c>
      <c r="K319" s="75" t="s">
        <v>1</v>
      </c>
      <c r="L319" s="86" t="str">
        <f t="shared" si="45"/>
        <v>Infraestruturais</v>
      </c>
      <c r="M319" s="76" t="str">
        <f t="shared" si="46"/>
        <v>Hidroviários</v>
      </c>
      <c r="N319" s="76" t="str">
        <f t="shared" si="48"/>
        <v>Portos Partes</v>
      </c>
      <c r="O319" s="77" t="str">
        <f t="shared" si="49"/>
        <v>Elevador.de.Navio</v>
      </c>
      <c r="P319" s="77" t="s">
        <v>571</v>
      </c>
      <c r="Q319" s="86" t="s">
        <v>572</v>
      </c>
      <c r="R319" s="77" t="s">
        <v>1</v>
      </c>
      <c r="S319" s="77" t="str">
        <f t="shared" si="47"/>
        <v>Infraestruturais</v>
      </c>
      <c r="T319" s="77" t="str">
        <f t="shared" si="47"/>
        <v>Hidroviários</v>
      </c>
      <c r="U319" s="77" t="str">
        <f t="shared" si="47"/>
        <v>Portos Partes</v>
      </c>
      <c r="V319" s="77" t="s">
        <v>1964</v>
      </c>
      <c r="W319" s="78" t="str">
        <f t="shared" si="42"/>
        <v>Key-BRASIL-319</v>
      </c>
      <c r="X319" s="77" t="s">
        <v>1844</v>
      </c>
      <c r="Y319" s="77" t="s">
        <v>1909</v>
      </c>
      <c r="Z319" s="81" t="s">
        <v>1</v>
      </c>
      <c r="AA319" s="77" t="str">
        <f t="shared" si="43"/>
        <v>A type of vessel launch recovery facility, where ships are lifted vertically out of the water.</v>
      </c>
    </row>
    <row r="320" spans="1:27" ht="6.6" customHeight="1" x14ac:dyDescent="0.25">
      <c r="A320" s="72">
        <v>320</v>
      </c>
      <c r="B320" s="73" t="s">
        <v>1968</v>
      </c>
      <c r="C320" s="83" t="s">
        <v>2001</v>
      </c>
      <c r="D320" s="73" t="s">
        <v>2003</v>
      </c>
      <c r="E320" s="73" t="s">
        <v>1415</v>
      </c>
      <c r="F320" s="74" t="s">
        <v>573</v>
      </c>
      <c r="G320" s="75" t="s">
        <v>1</v>
      </c>
      <c r="H320" s="75" t="s">
        <v>1</v>
      </c>
      <c r="I320" s="75" t="s">
        <v>1</v>
      </c>
      <c r="J320" s="75" t="s">
        <v>1</v>
      </c>
      <c r="K320" s="75" t="s">
        <v>1</v>
      </c>
      <c r="L320" s="86" t="str">
        <f t="shared" si="45"/>
        <v>Infraestruturais</v>
      </c>
      <c r="M320" s="76" t="str">
        <f t="shared" si="46"/>
        <v>Hidroviários</v>
      </c>
      <c r="N320" s="76" t="str">
        <f t="shared" si="48"/>
        <v>Portos Partes</v>
      </c>
      <c r="O320" s="77" t="str">
        <f t="shared" si="49"/>
        <v>Eclusa.de.Navio</v>
      </c>
      <c r="P320" s="77" t="s">
        <v>475</v>
      </c>
      <c r="Q320" s="86" t="s">
        <v>476</v>
      </c>
      <c r="R320" s="77" t="s">
        <v>1</v>
      </c>
      <c r="S320" s="77" t="str">
        <f t="shared" si="47"/>
        <v>Infraestruturais</v>
      </c>
      <c r="T320" s="77" t="str">
        <f t="shared" si="47"/>
        <v>Hidroviários</v>
      </c>
      <c r="U320" s="77" t="str">
        <f t="shared" si="47"/>
        <v>Portos Partes</v>
      </c>
      <c r="V320" s="77" t="s">
        <v>1964</v>
      </c>
      <c r="W320" s="78" t="str">
        <f t="shared" ref="W320:W383" si="50">CONCATENATE("Key-BRASIL-",A320)</f>
        <v>Key-BRASIL-320</v>
      </c>
      <c r="X320" s="77" t="s">
        <v>1844</v>
      </c>
      <c r="Y320" s="77" t="s">
        <v>1909</v>
      </c>
      <c r="Z320" s="81" t="s">
        <v>1</v>
      </c>
      <c r="AA320" s="77" t="str">
        <f t="shared" si="43"/>
        <v>Facility used to raise and lower boats, ships, and other vessels between stretches of water.</v>
      </c>
    </row>
    <row r="321" spans="1:27" ht="6.6" customHeight="1" x14ac:dyDescent="0.25">
      <c r="A321" s="72">
        <v>321</v>
      </c>
      <c r="B321" s="73" t="s">
        <v>1968</v>
      </c>
      <c r="C321" s="83" t="s">
        <v>2001</v>
      </c>
      <c r="D321" s="73" t="s">
        <v>2003</v>
      </c>
      <c r="E321" s="73" t="s">
        <v>1415</v>
      </c>
      <c r="F321" s="74" t="s">
        <v>574</v>
      </c>
      <c r="G321" s="75" t="s">
        <v>1</v>
      </c>
      <c r="H321" s="75" t="s">
        <v>1</v>
      </c>
      <c r="I321" s="75" t="s">
        <v>1</v>
      </c>
      <c r="J321" s="75" t="s">
        <v>1</v>
      </c>
      <c r="K321" s="75" t="s">
        <v>1</v>
      </c>
      <c r="L321" s="86" t="str">
        <f t="shared" si="45"/>
        <v>Infraestruturais</v>
      </c>
      <c r="M321" s="76" t="str">
        <f t="shared" si="46"/>
        <v>Hidroviários</v>
      </c>
      <c r="N321" s="76" t="str">
        <f t="shared" si="48"/>
        <v>Portos Partes</v>
      </c>
      <c r="O321" s="77" t="str">
        <f t="shared" si="49"/>
        <v>Estaleiro</v>
      </c>
      <c r="P321" s="77" t="s">
        <v>575</v>
      </c>
      <c r="Q321" s="86" t="s">
        <v>576</v>
      </c>
      <c r="R321" s="77" t="s">
        <v>1</v>
      </c>
      <c r="S321" s="77" t="str">
        <f t="shared" si="47"/>
        <v>Infraestruturais</v>
      </c>
      <c r="T321" s="77" t="str">
        <f t="shared" si="47"/>
        <v>Hidroviários</v>
      </c>
      <c r="U321" s="77" t="str">
        <f t="shared" si="47"/>
        <v>Portos Partes</v>
      </c>
      <c r="V321" s="77" t="s">
        <v>1964</v>
      </c>
      <c r="W321" s="78" t="str">
        <f t="shared" si="50"/>
        <v>Key-BRASIL-321</v>
      </c>
      <c r="X321" s="77" t="s">
        <v>1844</v>
      </c>
      <c r="Y321" s="77" t="s">
        <v>1909</v>
      </c>
      <c r="Z321" s="81" t="s">
        <v>1</v>
      </c>
      <c r="AA321" s="77" t="str">
        <f t="shared" si="43"/>
        <v>Coastal/waterfront facility where ships are built and repaired.</v>
      </c>
    </row>
    <row r="322" spans="1:27" ht="6.6" customHeight="1" x14ac:dyDescent="0.25">
      <c r="A322" s="72">
        <v>322</v>
      </c>
      <c r="B322" s="73" t="s">
        <v>1968</v>
      </c>
      <c r="C322" s="83" t="s">
        <v>2001</v>
      </c>
      <c r="D322" s="73" t="s">
        <v>2003</v>
      </c>
      <c r="E322" s="73" t="s">
        <v>1415</v>
      </c>
      <c r="F322" s="74" t="s">
        <v>577</v>
      </c>
      <c r="G322" s="75" t="s">
        <v>1</v>
      </c>
      <c r="H322" s="75" t="s">
        <v>1</v>
      </c>
      <c r="I322" s="75" t="s">
        <v>1</v>
      </c>
      <c r="J322" s="75" t="s">
        <v>1</v>
      </c>
      <c r="K322" s="75" t="s">
        <v>1</v>
      </c>
      <c r="L322" s="86" t="str">
        <f t="shared" si="45"/>
        <v>Infraestruturais</v>
      </c>
      <c r="M322" s="76" t="str">
        <f t="shared" si="46"/>
        <v>Hidroviários</v>
      </c>
      <c r="N322" s="76" t="str">
        <f t="shared" si="48"/>
        <v>Portos Partes</v>
      </c>
      <c r="O322" s="77" t="str">
        <f t="shared" si="49"/>
        <v>Lançamento.Rampa</v>
      </c>
      <c r="P322" s="77" t="s">
        <v>578</v>
      </c>
      <c r="Q322" s="80" t="s">
        <v>579</v>
      </c>
      <c r="R322" s="77" t="s">
        <v>1</v>
      </c>
      <c r="S322" s="77" t="str">
        <f t="shared" si="47"/>
        <v>Infraestruturais</v>
      </c>
      <c r="T322" s="77" t="str">
        <f t="shared" si="47"/>
        <v>Hidroviários</v>
      </c>
      <c r="U322" s="77" t="str">
        <f t="shared" si="47"/>
        <v>Portos Partes</v>
      </c>
      <c r="V322" s="77" t="s">
        <v>1964</v>
      </c>
      <c r="W322" s="78" t="str">
        <f t="shared" si="50"/>
        <v>Key-BRASIL-322</v>
      </c>
      <c r="X322" s="77" t="s">
        <v>1844</v>
      </c>
      <c r="Y322" s="77" t="s">
        <v>1909</v>
      </c>
      <c r="Z322" s="81" t="s">
        <v>1</v>
      </c>
      <c r="AA322" s="77" t="str">
        <f t="shared" si="43"/>
        <v>Installation for the dynamic launch or recovery of a vessel using an inclined ramp and gravitation.</v>
      </c>
    </row>
    <row r="323" spans="1:27" ht="6.6" customHeight="1" x14ac:dyDescent="0.25">
      <c r="A323" s="72">
        <v>323</v>
      </c>
      <c r="B323" s="73" t="s">
        <v>1968</v>
      </c>
      <c r="C323" s="83" t="s">
        <v>2001</v>
      </c>
      <c r="D323" s="73" t="s">
        <v>2003</v>
      </c>
      <c r="E323" s="73" t="s">
        <v>1415</v>
      </c>
      <c r="F323" s="74" t="s">
        <v>580</v>
      </c>
      <c r="G323" s="75" t="s">
        <v>1</v>
      </c>
      <c r="H323" s="75" t="s">
        <v>1</v>
      </c>
      <c r="I323" s="75" t="s">
        <v>1</v>
      </c>
      <c r="J323" s="75" t="s">
        <v>1</v>
      </c>
      <c r="K323" s="75" t="s">
        <v>1</v>
      </c>
      <c r="L323" s="86" t="str">
        <f t="shared" si="45"/>
        <v>Infraestruturais</v>
      </c>
      <c r="M323" s="76" t="str">
        <f t="shared" si="46"/>
        <v>Hidroviários</v>
      </c>
      <c r="N323" s="76" t="str">
        <f t="shared" si="48"/>
        <v>Portos Partes</v>
      </c>
      <c r="O323" s="77" t="str">
        <f t="shared" si="49"/>
        <v>Lançamento.Recuperação</v>
      </c>
      <c r="P323" s="77" t="s">
        <v>581</v>
      </c>
      <c r="Q323" s="86" t="s">
        <v>582</v>
      </c>
      <c r="R323" s="77" t="s">
        <v>1</v>
      </c>
      <c r="S323" s="77" t="str">
        <f t="shared" si="47"/>
        <v>Infraestruturais</v>
      </c>
      <c r="T323" s="77" t="str">
        <f t="shared" si="47"/>
        <v>Hidroviários</v>
      </c>
      <c r="U323" s="77" t="str">
        <f t="shared" si="47"/>
        <v>Portos Partes</v>
      </c>
      <c r="V323" s="77" t="s">
        <v>1964</v>
      </c>
      <c r="W323" s="78" t="str">
        <f t="shared" si="50"/>
        <v>Key-BRASIL-323</v>
      </c>
      <c r="X323" s="77" t="s">
        <v>1844</v>
      </c>
      <c r="Y323" s="77" t="s">
        <v>1909</v>
      </c>
      <c r="Z323" s="81" t="s">
        <v>1</v>
      </c>
      <c r="AA323" s="77" t="str">
        <f t="shared" si="43"/>
        <v>Subset of facilities for the ship launching or recovery function.</v>
      </c>
    </row>
    <row r="324" spans="1:27" ht="6.6" customHeight="1" x14ac:dyDescent="0.25">
      <c r="A324" s="72">
        <v>324</v>
      </c>
      <c r="B324" s="73" t="s">
        <v>1968</v>
      </c>
      <c r="C324" s="83" t="s">
        <v>2001</v>
      </c>
      <c r="D324" s="73" t="s">
        <v>2003</v>
      </c>
      <c r="E324" s="73" t="s">
        <v>1415</v>
      </c>
      <c r="F324" s="91" t="s">
        <v>583</v>
      </c>
      <c r="G324" s="75" t="s">
        <v>1</v>
      </c>
      <c r="H324" s="75" t="s">
        <v>1</v>
      </c>
      <c r="I324" s="75" t="s">
        <v>1</v>
      </c>
      <c r="J324" s="75" t="s">
        <v>1</v>
      </c>
      <c r="K324" s="75" t="s">
        <v>1</v>
      </c>
      <c r="L324" s="86" t="str">
        <f t="shared" si="45"/>
        <v>Infraestruturais</v>
      </c>
      <c r="M324" s="76" t="str">
        <f t="shared" si="46"/>
        <v>Hidroviários</v>
      </c>
      <c r="N324" s="76" t="str">
        <f t="shared" si="48"/>
        <v>Portos Partes</v>
      </c>
      <c r="O324" s="77" t="str">
        <f t="shared" si="49"/>
        <v>Câmara</v>
      </c>
      <c r="P324" s="77" t="s">
        <v>584</v>
      </c>
      <c r="Q324" s="86" t="s">
        <v>585</v>
      </c>
      <c r="R324" s="77" t="s">
        <v>1</v>
      </c>
      <c r="S324" s="77" t="str">
        <f t="shared" si="47"/>
        <v>Infraestruturais</v>
      </c>
      <c r="T324" s="77" t="str">
        <f t="shared" si="47"/>
        <v>Hidroviários</v>
      </c>
      <c r="U324" s="77" t="str">
        <f t="shared" si="47"/>
        <v>Portos Partes</v>
      </c>
      <c r="V324" s="77" t="s">
        <v>1964</v>
      </c>
      <c r="W324" s="78" t="str">
        <f t="shared" si="50"/>
        <v>Key-BRASIL-324</v>
      </c>
      <c r="X324" s="77" t="s">
        <v>1844</v>
      </c>
      <c r="Y324" s="77" t="s">
        <v>1909</v>
      </c>
      <c r="Z324" s="81" t="s">
        <v>1</v>
      </c>
      <c r="AA324" s="77" t="str">
        <f t="shared" ref="AA324:AA387" si="51">_xlfn.TRANSLATE(P324,"pt","en")</f>
        <v>The longitudinal spatial part of a waterway or port facility that forms the dammed chamber.</v>
      </c>
    </row>
    <row r="325" spans="1:27" ht="6.6" customHeight="1" x14ac:dyDescent="0.25">
      <c r="A325" s="72">
        <v>325</v>
      </c>
      <c r="B325" s="73" t="s">
        <v>1968</v>
      </c>
      <c r="C325" s="83" t="s">
        <v>2001</v>
      </c>
      <c r="D325" s="73" t="s">
        <v>2003</v>
      </c>
      <c r="E325" s="73" t="s">
        <v>1415</v>
      </c>
      <c r="F325" s="91" t="s">
        <v>586</v>
      </c>
      <c r="G325" s="75" t="s">
        <v>1</v>
      </c>
      <c r="H325" s="75" t="s">
        <v>1</v>
      </c>
      <c r="I325" s="75" t="s">
        <v>1</v>
      </c>
      <c r="J325" s="75" t="s">
        <v>1</v>
      </c>
      <c r="K325" s="75" t="s">
        <v>1</v>
      </c>
      <c r="L325" s="86" t="str">
        <f t="shared" si="45"/>
        <v>Infraestruturais</v>
      </c>
      <c r="M325" s="76" t="str">
        <f t="shared" si="46"/>
        <v>Hidroviários</v>
      </c>
      <c r="N325" s="76" t="str">
        <f t="shared" si="48"/>
        <v>Portos Partes</v>
      </c>
      <c r="O325" s="77" t="str">
        <f t="shared" si="49"/>
        <v>Núcleo</v>
      </c>
      <c r="P325" s="77" t="s">
        <v>587</v>
      </c>
      <c r="Q325" s="86" t="s">
        <v>588</v>
      </c>
      <c r="R325" s="77" t="s">
        <v>1</v>
      </c>
      <c r="S325" s="77" t="str">
        <f t="shared" si="47"/>
        <v>Infraestruturais</v>
      </c>
      <c r="T325" s="77" t="str">
        <f t="shared" si="47"/>
        <v>Hidroviários</v>
      </c>
      <c r="U325" s="77" t="str">
        <f t="shared" si="47"/>
        <v>Portos Partes</v>
      </c>
      <c r="V325" s="77" t="s">
        <v>1964</v>
      </c>
      <c r="W325" s="78" t="str">
        <f t="shared" si="50"/>
        <v>Key-BRASIL-325</v>
      </c>
      <c r="X325" s="77" t="s">
        <v>1844</v>
      </c>
      <c r="Y325" s="77" t="s">
        <v>1909</v>
      </c>
      <c r="Z325" s="81" t="s">
        <v>1</v>
      </c>
      <c r="AA325" s="77" t="str">
        <f t="shared" si="51"/>
        <v>A lateral spatial part that subdivides the central structure of a facility, such as a breakwater.</v>
      </c>
    </row>
    <row r="326" spans="1:27" ht="6.6" customHeight="1" x14ac:dyDescent="0.25">
      <c r="A326" s="72">
        <v>326</v>
      </c>
      <c r="B326" s="73" t="s">
        <v>1968</v>
      </c>
      <c r="C326" s="83" t="s">
        <v>2001</v>
      </c>
      <c r="D326" s="73" t="s">
        <v>2003</v>
      </c>
      <c r="E326" s="73" t="s">
        <v>1415</v>
      </c>
      <c r="F326" s="91" t="s">
        <v>589</v>
      </c>
      <c r="G326" s="75" t="s">
        <v>1</v>
      </c>
      <c r="H326" s="75" t="s">
        <v>1</v>
      </c>
      <c r="I326" s="75" t="s">
        <v>1</v>
      </c>
      <c r="J326" s="75" t="s">
        <v>1</v>
      </c>
      <c r="K326" s="75" t="s">
        <v>1</v>
      </c>
      <c r="L326" s="86" t="str">
        <f t="shared" si="45"/>
        <v>Infraestruturais</v>
      </c>
      <c r="M326" s="76" t="str">
        <f t="shared" si="46"/>
        <v>Hidroviários</v>
      </c>
      <c r="N326" s="76" t="str">
        <f t="shared" si="48"/>
        <v>Portos Partes</v>
      </c>
      <c r="O326" s="77" t="str">
        <f t="shared" si="49"/>
        <v>Crista</v>
      </c>
      <c r="P326" s="77" t="s">
        <v>590</v>
      </c>
      <c r="Q326" s="86" t="s">
        <v>591</v>
      </c>
      <c r="R326" s="77" t="s">
        <v>1</v>
      </c>
      <c r="S326" s="77" t="str">
        <f t="shared" si="47"/>
        <v>Infraestruturais</v>
      </c>
      <c r="T326" s="77" t="str">
        <f t="shared" si="47"/>
        <v>Hidroviários</v>
      </c>
      <c r="U326" s="77" t="str">
        <f t="shared" si="47"/>
        <v>Portos Partes</v>
      </c>
      <c r="V326" s="77" t="s">
        <v>1964</v>
      </c>
      <c r="W326" s="78" t="str">
        <f t="shared" si="50"/>
        <v>Key-BRASIL-326</v>
      </c>
      <c r="X326" s="77" t="s">
        <v>1844</v>
      </c>
      <c r="Y326" s="77" t="s">
        <v>1909</v>
      </c>
      <c r="Z326" s="81" t="s">
        <v>1</v>
      </c>
      <c r="AA326" s="77" t="str">
        <f t="shared" si="51"/>
        <v>Lateral spatial part that forms the area of the ridge of the breakwater or embankment where additional structures.</v>
      </c>
    </row>
    <row r="327" spans="1:27" ht="6.6" customHeight="1" x14ac:dyDescent="0.25">
      <c r="A327" s="72">
        <v>327</v>
      </c>
      <c r="B327" s="73" t="s">
        <v>1968</v>
      </c>
      <c r="C327" s="83" t="s">
        <v>2001</v>
      </c>
      <c r="D327" s="73" t="s">
        <v>2003</v>
      </c>
      <c r="E327" s="73" t="s">
        <v>1415</v>
      </c>
      <c r="F327" s="91" t="s">
        <v>592</v>
      </c>
      <c r="G327" s="75" t="s">
        <v>1</v>
      </c>
      <c r="H327" s="75" t="s">
        <v>1</v>
      </c>
      <c r="I327" s="75" t="s">
        <v>1</v>
      </c>
      <c r="J327" s="75" t="s">
        <v>1</v>
      </c>
      <c r="K327" s="75" t="s">
        <v>1</v>
      </c>
      <c r="L327" s="86" t="str">
        <f t="shared" si="45"/>
        <v>Infraestruturais</v>
      </c>
      <c r="M327" s="76" t="str">
        <f t="shared" si="46"/>
        <v>Hidroviários</v>
      </c>
      <c r="N327" s="76" t="str">
        <f t="shared" si="48"/>
        <v>Portos Partes</v>
      </c>
      <c r="O327" s="77" t="str">
        <f t="shared" si="49"/>
        <v>Comporta</v>
      </c>
      <c r="P327" s="77" t="s">
        <v>593</v>
      </c>
      <c r="Q327" s="86" t="s">
        <v>594</v>
      </c>
      <c r="R327" s="77" t="s">
        <v>1</v>
      </c>
      <c r="S327" s="77" t="str">
        <f t="shared" si="47"/>
        <v>Infraestruturais</v>
      </c>
      <c r="T327" s="77" t="str">
        <f t="shared" si="47"/>
        <v>Hidroviários</v>
      </c>
      <c r="U327" s="77" t="str">
        <f t="shared" si="47"/>
        <v>Portos Partes</v>
      </c>
      <c r="V327" s="77" t="s">
        <v>1964</v>
      </c>
      <c r="W327" s="78" t="str">
        <f t="shared" si="50"/>
        <v>Key-BRASIL-327</v>
      </c>
      <c r="X327" s="77" t="s">
        <v>1844</v>
      </c>
      <c r="Y327" s="77" t="s">
        <v>1909</v>
      </c>
      <c r="Z327" s="81" t="s">
        <v>1</v>
      </c>
      <c r="AA327" s="77" t="str">
        <f t="shared" si="51"/>
        <v>The longitudinal spatial part of a waterway or port facility that forms the gate, the supporting structure.</v>
      </c>
    </row>
    <row r="328" spans="1:27" ht="6.6" customHeight="1" x14ac:dyDescent="0.25">
      <c r="A328" s="72">
        <v>328</v>
      </c>
      <c r="B328" s="73" t="s">
        <v>1968</v>
      </c>
      <c r="C328" s="83" t="s">
        <v>2001</v>
      </c>
      <c r="D328" s="73" t="s">
        <v>2003</v>
      </c>
      <c r="E328" s="73" t="s">
        <v>1415</v>
      </c>
      <c r="F328" s="88" t="s">
        <v>1595</v>
      </c>
      <c r="G328" s="89" t="s">
        <v>1</v>
      </c>
      <c r="H328" s="89" t="s">
        <v>1</v>
      </c>
      <c r="I328" s="89" t="s">
        <v>1</v>
      </c>
      <c r="J328" s="85" t="s">
        <v>1</v>
      </c>
      <c r="K328" s="85" t="s">
        <v>1</v>
      </c>
      <c r="L328" s="86" t="str">
        <f t="shared" si="45"/>
        <v>Infraestruturais</v>
      </c>
      <c r="M328" s="76" t="str">
        <f t="shared" si="46"/>
        <v>Hidroviários</v>
      </c>
      <c r="N328" s="76" t="str">
        <f t="shared" si="48"/>
        <v>Portos Partes</v>
      </c>
      <c r="O328" s="77" t="str">
        <f t="shared" si="49"/>
        <v>Contenedor.de.Carga</v>
      </c>
      <c r="P328" s="80" t="s">
        <v>453</v>
      </c>
      <c r="Q328" s="86" t="s">
        <v>454</v>
      </c>
      <c r="R328" s="77" t="s">
        <v>1</v>
      </c>
      <c r="S328" s="77" t="str">
        <f t="shared" si="47"/>
        <v>Infraestruturais</v>
      </c>
      <c r="T328" s="77" t="str">
        <f t="shared" si="47"/>
        <v>Hidroviários</v>
      </c>
      <c r="U328" s="77" t="str">
        <f t="shared" si="47"/>
        <v>Portos Partes</v>
      </c>
      <c r="V328" s="77" t="s">
        <v>1964</v>
      </c>
      <c r="W328" s="78" t="str">
        <f t="shared" si="50"/>
        <v>Key-BRASIL-328</v>
      </c>
      <c r="X328" s="77" t="s">
        <v>1844</v>
      </c>
      <c r="Y328" s="77" t="s">
        <v>1909</v>
      </c>
      <c r="Z328" s="81" t="s">
        <v>1</v>
      </c>
      <c r="AA328" s="77" t="str">
        <f t="shared" si="51"/>
        <v>Standardized metal rectangular structure mainly used for the transportation of goods.</v>
      </c>
    </row>
    <row r="329" spans="1:27" ht="6.6" customHeight="1" x14ac:dyDescent="0.25">
      <c r="A329" s="72">
        <v>329</v>
      </c>
      <c r="B329" s="73" t="s">
        <v>1968</v>
      </c>
      <c r="C329" s="83" t="s">
        <v>2001</v>
      </c>
      <c r="D329" s="73" t="s">
        <v>2003</v>
      </c>
      <c r="E329" s="73" t="s">
        <v>1416</v>
      </c>
      <c r="F329" s="91" t="s">
        <v>595</v>
      </c>
      <c r="G329" s="75" t="s">
        <v>1</v>
      </c>
      <c r="H329" s="75" t="s">
        <v>1</v>
      </c>
      <c r="I329" s="75" t="s">
        <v>1</v>
      </c>
      <c r="J329" s="75" t="s">
        <v>1</v>
      </c>
      <c r="K329" s="75" t="s">
        <v>1</v>
      </c>
      <c r="L329" s="86" t="str">
        <f t="shared" si="45"/>
        <v>Infraestruturais</v>
      </c>
      <c r="M329" s="76" t="str">
        <f t="shared" si="46"/>
        <v>Hidroviários</v>
      </c>
      <c r="N329" s="76" t="str">
        <f t="shared" si="48"/>
        <v>Portos Zonas</v>
      </c>
      <c r="O329" s="77" t="str">
        <f t="shared" si="49"/>
        <v>Barlavento</v>
      </c>
      <c r="P329" s="77" t="s">
        <v>596</v>
      </c>
      <c r="Q329" s="97" t="s">
        <v>597</v>
      </c>
      <c r="R329" s="77" t="s">
        <v>1</v>
      </c>
      <c r="S329" s="77" t="str">
        <f t="shared" si="47"/>
        <v>Infraestruturais</v>
      </c>
      <c r="T329" s="77" t="str">
        <f t="shared" si="47"/>
        <v>Hidroviários</v>
      </c>
      <c r="U329" s="77" t="str">
        <f t="shared" si="47"/>
        <v>Portos Zonas</v>
      </c>
      <c r="V329" s="77" t="s">
        <v>1964</v>
      </c>
      <c r="W329" s="78" t="str">
        <f t="shared" si="50"/>
        <v>Key-BRASIL-329</v>
      </c>
      <c r="X329" s="77" t="s">
        <v>1844</v>
      </c>
      <c r="Y329" s="77" t="s">
        <v>1909</v>
      </c>
      <c r="Z329" s="81" t="s">
        <v>1</v>
      </c>
      <c r="AA329" s="77" t="str">
        <f t="shared" si="51"/>
        <v>Spatial part of the structure that is on the side exposed to the prevailing wind.</v>
      </c>
    </row>
    <row r="330" spans="1:27" ht="6.6" customHeight="1" x14ac:dyDescent="0.25">
      <c r="A330" s="72">
        <v>330</v>
      </c>
      <c r="B330" s="73" t="s">
        <v>1968</v>
      </c>
      <c r="C330" s="83" t="s">
        <v>2001</v>
      </c>
      <c r="D330" s="73" t="s">
        <v>2003</v>
      </c>
      <c r="E330" s="73" t="s">
        <v>1416</v>
      </c>
      <c r="F330" s="91" t="s">
        <v>598</v>
      </c>
      <c r="G330" s="75" t="s">
        <v>1</v>
      </c>
      <c r="H330" s="75" t="s">
        <v>1</v>
      </c>
      <c r="I330" s="75" t="s">
        <v>1</v>
      </c>
      <c r="J330" s="75" t="s">
        <v>1</v>
      </c>
      <c r="K330" s="75" t="s">
        <v>1</v>
      </c>
      <c r="L330" s="86" t="str">
        <f t="shared" si="45"/>
        <v>Infraestruturais</v>
      </c>
      <c r="M330" s="76" t="str">
        <f t="shared" si="46"/>
        <v>Hidroviários</v>
      </c>
      <c r="N330" s="76" t="str">
        <f t="shared" si="48"/>
        <v>Portos Zonas</v>
      </c>
      <c r="O330" s="77" t="str">
        <f t="shared" si="49"/>
        <v>Sotavento</v>
      </c>
      <c r="P330" s="77" t="s">
        <v>599</v>
      </c>
      <c r="Q330" s="86" t="s">
        <v>600</v>
      </c>
      <c r="R330" s="77" t="s">
        <v>1</v>
      </c>
      <c r="S330" s="77" t="str">
        <f t="shared" si="47"/>
        <v>Infraestruturais</v>
      </c>
      <c r="T330" s="77" t="str">
        <f t="shared" si="47"/>
        <v>Hidroviários</v>
      </c>
      <c r="U330" s="77" t="str">
        <f t="shared" si="47"/>
        <v>Portos Zonas</v>
      </c>
      <c r="V330" s="77" t="s">
        <v>1964</v>
      </c>
      <c r="W330" s="78" t="str">
        <f t="shared" si="50"/>
        <v>Key-BRASIL-330</v>
      </c>
      <c r="X330" s="77" t="s">
        <v>1844</v>
      </c>
      <c r="Y330" s="77" t="s">
        <v>1911</v>
      </c>
      <c r="Z330" s="81" t="s">
        <v>1</v>
      </c>
      <c r="AA330" s="77" t="str">
        <f t="shared" si="51"/>
        <v>Spatial part of the structure that is protected from the prevailing wind.</v>
      </c>
    </row>
    <row r="331" spans="1:27" ht="6.6" customHeight="1" x14ac:dyDescent="0.25">
      <c r="A331" s="72">
        <v>331</v>
      </c>
      <c r="B331" s="73" t="s">
        <v>1968</v>
      </c>
      <c r="C331" s="83" t="s">
        <v>2001</v>
      </c>
      <c r="D331" s="73" t="s">
        <v>2003</v>
      </c>
      <c r="E331" s="73" t="s">
        <v>1416</v>
      </c>
      <c r="F331" s="91" t="s">
        <v>601</v>
      </c>
      <c r="G331" s="75" t="s">
        <v>1</v>
      </c>
      <c r="H331" s="75" t="s">
        <v>1</v>
      </c>
      <c r="I331" s="75" t="s">
        <v>1</v>
      </c>
      <c r="J331" s="75" t="s">
        <v>1</v>
      </c>
      <c r="K331" s="75" t="s">
        <v>1</v>
      </c>
      <c r="L331" s="86" t="str">
        <f t="shared" si="45"/>
        <v>Infraestruturais</v>
      </c>
      <c r="M331" s="76" t="str">
        <f t="shared" si="46"/>
        <v>Hidroviários</v>
      </c>
      <c r="N331" s="76" t="str">
        <f t="shared" si="48"/>
        <v>Portos Zonas</v>
      </c>
      <c r="O331" s="77" t="str">
        <f t="shared" si="49"/>
        <v>Zona.Aquática</v>
      </c>
      <c r="P331" s="77" t="s">
        <v>602</v>
      </c>
      <c r="Q331" s="86" t="s">
        <v>603</v>
      </c>
      <c r="R331" s="77" t="s">
        <v>1</v>
      </c>
      <c r="S331" s="77" t="str">
        <f t="shared" si="47"/>
        <v>Infraestruturais</v>
      </c>
      <c r="T331" s="77" t="str">
        <f t="shared" si="47"/>
        <v>Hidroviários</v>
      </c>
      <c r="U331" s="77" t="str">
        <f t="shared" si="47"/>
        <v>Portos Zonas</v>
      </c>
      <c r="V331" s="77" t="s">
        <v>1964</v>
      </c>
      <c r="W331" s="78" t="str">
        <f t="shared" si="50"/>
        <v>Key-BRASIL-331</v>
      </c>
      <c r="X331" s="77" t="s">
        <v>1868</v>
      </c>
      <c r="Y331" s="77" t="s">
        <v>1911</v>
      </c>
      <c r="Z331" s="81" t="s">
        <v>1</v>
      </c>
      <c r="AA331" s="77" t="str">
        <f t="shared" si="51"/>
        <v>Region that covers the water field of a port. It includes navigable and non-navigable canals.</v>
      </c>
    </row>
    <row r="332" spans="1:27" ht="6.6" customHeight="1" x14ac:dyDescent="0.25">
      <c r="A332" s="72">
        <v>332</v>
      </c>
      <c r="B332" s="73" t="s">
        <v>1968</v>
      </c>
      <c r="C332" s="83" t="s">
        <v>2001</v>
      </c>
      <c r="D332" s="73" t="s">
        <v>2003</v>
      </c>
      <c r="E332" s="73" t="s">
        <v>1416</v>
      </c>
      <c r="F332" s="91" t="s">
        <v>604</v>
      </c>
      <c r="G332" s="75" t="s">
        <v>1</v>
      </c>
      <c r="H332" s="75" t="s">
        <v>1</v>
      </c>
      <c r="I332" s="75" t="s">
        <v>1</v>
      </c>
      <c r="J332" s="75" t="s">
        <v>1</v>
      </c>
      <c r="K332" s="75" t="s">
        <v>1</v>
      </c>
      <c r="L332" s="86" t="str">
        <f t="shared" si="45"/>
        <v>Infraestruturais</v>
      </c>
      <c r="M332" s="76" t="str">
        <f t="shared" si="46"/>
        <v>Hidroviários</v>
      </c>
      <c r="N332" s="76" t="str">
        <f t="shared" si="48"/>
        <v>Portos Zonas</v>
      </c>
      <c r="O332" s="77" t="str">
        <f t="shared" si="49"/>
        <v>Zona.Terrestre</v>
      </c>
      <c r="P332" s="77" t="s">
        <v>605</v>
      </c>
      <c r="Q332" s="80" t="s">
        <v>606</v>
      </c>
      <c r="R332" s="77" t="s">
        <v>1</v>
      </c>
      <c r="S332" s="77" t="str">
        <f t="shared" si="47"/>
        <v>Infraestruturais</v>
      </c>
      <c r="T332" s="77" t="str">
        <f t="shared" si="47"/>
        <v>Hidroviários</v>
      </c>
      <c r="U332" s="77" t="str">
        <f t="shared" si="47"/>
        <v>Portos Zonas</v>
      </c>
      <c r="V332" s="77" t="s">
        <v>1964</v>
      </c>
      <c r="W332" s="78" t="str">
        <f t="shared" si="50"/>
        <v>Key-BRASIL-332</v>
      </c>
      <c r="X332" s="77" t="s">
        <v>1868</v>
      </c>
      <c r="Y332" s="77" t="s">
        <v>1911</v>
      </c>
      <c r="Z332" s="81" t="s">
        <v>1</v>
      </c>
      <c r="AA332" s="77" t="str">
        <f t="shared" si="51"/>
        <v>Region or side part of the facility that covers the onshore field of seaside installation, such as a wharf.</v>
      </c>
    </row>
    <row r="333" spans="1:27" ht="6.6" customHeight="1" x14ac:dyDescent="0.25">
      <c r="A333" s="72">
        <v>333</v>
      </c>
      <c r="B333" s="73" t="s">
        <v>1968</v>
      </c>
      <c r="C333" s="83" t="s">
        <v>2001</v>
      </c>
      <c r="D333" s="73" t="s">
        <v>2003</v>
      </c>
      <c r="E333" s="73" t="s">
        <v>1416</v>
      </c>
      <c r="F333" s="91" t="s">
        <v>607</v>
      </c>
      <c r="G333" s="75" t="s">
        <v>1</v>
      </c>
      <c r="H333" s="75" t="s">
        <v>1</v>
      </c>
      <c r="I333" s="75" t="s">
        <v>1</v>
      </c>
      <c r="J333" s="75" t="s">
        <v>1</v>
      </c>
      <c r="K333" s="75" t="s">
        <v>1</v>
      </c>
      <c r="L333" s="86" t="str">
        <f t="shared" si="45"/>
        <v>Infraestruturais</v>
      </c>
      <c r="M333" s="76" t="str">
        <f t="shared" si="46"/>
        <v>Hidroviários</v>
      </c>
      <c r="N333" s="76" t="str">
        <f t="shared" si="48"/>
        <v>Portos Zonas</v>
      </c>
      <c r="O333" s="77" t="str">
        <f t="shared" si="49"/>
        <v>Zona.Navegável</v>
      </c>
      <c r="P333" s="77" t="s">
        <v>608</v>
      </c>
      <c r="Q333" s="86" t="s">
        <v>609</v>
      </c>
      <c r="R333" s="77" t="s">
        <v>1</v>
      </c>
      <c r="S333" s="77" t="str">
        <f t="shared" si="47"/>
        <v>Infraestruturais</v>
      </c>
      <c r="T333" s="77" t="str">
        <f t="shared" si="47"/>
        <v>Hidroviários</v>
      </c>
      <c r="U333" s="77" t="str">
        <f t="shared" si="47"/>
        <v>Portos Zonas</v>
      </c>
      <c r="V333" s="77" t="s">
        <v>1964</v>
      </c>
      <c r="W333" s="78" t="str">
        <f t="shared" si="50"/>
        <v>Key-BRASIL-333</v>
      </c>
      <c r="X333" s="77" t="s">
        <v>1868</v>
      </c>
      <c r="Y333" s="77" t="s">
        <v>1911</v>
      </c>
      <c r="Z333" s="81" t="s">
        <v>1</v>
      </c>
      <c r="AA333" s="77" t="str">
        <f t="shared" si="51"/>
        <v>Region that covers the water field of the harbor's navigable canals.</v>
      </c>
    </row>
    <row r="334" spans="1:27" ht="6.6" customHeight="1" x14ac:dyDescent="0.25">
      <c r="A334" s="72">
        <v>334</v>
      </c>
      <c r="B334" s="73" t="s">
        <v>1968</v>
      </c>
      <c r="C334" s="83" t="s">
        <v>2001</v>
      </c>
      <c r="D334" s="73" t="s">
        <v>2003</v>
      </c>
      <c r="E334" s="73" t="s">
        <v>1416</v>
      </c>
      <c r="F334" s="91" t="s">
        <v>1486</v>
      </c>
      <c r="G334" s="75" t="s">
        <v>1</v>
      </c>
      <c r="H334" s="75" t="s">
        <v>1</v>
      </c>
      <c r="I334" s="75" t="s">
        <v>1</v>
      </c>
      <c r="J334" s="75" t="s">
        <v>1</v>
      </c>
      <c r="K334" s="75" t="s">
        <v>1</v>
      </c>
      <c r="L334" s="86" t="str">
        <f t="shared" si="45"/>
        <v>Infraestruturais</v>
      </c>
      <c r="M334" s="76" t="str">
        <f t="shared" si="46"/>
        <v>Hidroviários</v>
      </c>
      <c r="N334" s="76" t="str">
        <f t="shared" si="48"/>
        <v>Portos Zonas</v>
      </c>
      <c r="O334" s="77" t="str">
        <f t="shared" si="49"/>
        <v>Zona.de.Estocagem</v>
      </c>
      <c r="P334" s="77" t="s">
        <v>610</v>
      </c>
      <c r="Q334" s="77" t="s">
        <v>611</v>
      </c>
      <c r="R334" s="77" t="s">
        <v>1</v>
      </c>
      <c r="S334" s="77" t="str">
        <f t="shared" si="47"/>
        <v>Infraestruturais</v>
      </c>
      <c r="T334" s="77" t="str">
        <f t="shared" si="47"/>
        <v>Hidroviários</v>
      </c>
      <c r="U334" s="77" t="str">
        <f t="shared" si="47"/>
        <v>Portos Zonas</v>
      </c>
      <c r="V334" s="77" t="s">
        <v>1964</v>
      </c>
      <c r="W334" s="78" t="str">
        <f t="shared" si="50"/>
        <v>Key-BRASIL-334</v>
      </c>
      <c r="X334" s="77" t="s">
        <v>1868</v>
      </c>
      <c r="Y334" s="77" t="s">
        <v>1911</v>
      </c>
      <c r="Z334" s="81" t="s">
        <v>1</v>
      </c>
      <c r="AA334" s="77" t="str">
        <f t="shared" si="51"/>
        <v>Covered space such as shed or storage for cargo storage.</v>
      </c>
    </row>
    <row r="335" spans="1:27" ht="6.6" customHeight="1" x14ac:dyDescent="0.25">
      <c r="A335" s="72">
        <v>335</v>
      </c>
      <c r="B335" s="73" t="s">
        <v>1968</v>
      </c>
      <c r="C335" s="83" t="s">
        <v>2001</v>
      </c>
      <c r="D335" s="73" t="s">
        <v>2003</v>
      </c>
      <c r="E335" s="73" t="s">
        <v>1416</v>
      </c>
      <c r="F335" s="91" t="s">
        <v>1482</v>
      </c>
      <c r="G335" s="75" t="s">
        <v>1</v>
      </c>
      <c r="H335" s="75" t="s">
        <v>1</v>
      </c>
      <c r="I335" s="75" t="s">
        <v>1</v>
      </c>
      <c r="J335" s="75" t="s">
        <v>1</v>
      </c>
      <c r="K335" s="75" t="s">
        <v>1</v>
      </c>
      <c r="L335" s="86" t="str">
        <f t="shared" si="45"/>
        <v>Infraestruturais</v>
      </c>
      <c r="M335" s="76" t="str">
        <f t="shared" si="46"/>
        <v>Hidroviários</v>
      </c>
      <c r="N335" s="76" t="str">
        <f t="shared" si="48"/>
        <v>Portos Zonas</v>
      </c>
      <c r="O335" s="77" t="str">
        <f t="shared" si="49"/>
        <v>Zona.de.Pátio</v>
      </c>
      <c r="P335" s="77" t="s">
        <v>612</v>
      </c>
      <c r="Q335" s="77" t="s">
        <v>613</v>
      </c>
      <c r="R335" s="77" t="s">
        <v>1</v>
      </c>
      <c r="S335" s="77" t="str">
        <f t="shared" si="47"/>
        <v>Infraestruturais</v>
      </c>
      <c r="T335" s="77" t="str">
        <f t="shared" si="47"/>
        <v>Hidroviários</v>
      </c>
      <c r="U335" s="77" t="str">
        <f t="shared" si="47"/>
        <v>Portos Zonas</v>
      </c>
      <c r="V335" s="77" t="s">
        <v>1964</v>
      </c>
      <c r="W335" s="78" t="str">
        <f t="shared" si="50"/>
        <v>Key-BRASIL-335</v>
      </c>
      <c r="X335" s="77" t="s">
        <v>1868</v>
      </c>
      <c r="Y335" s="77" t="s">
        <v>1911</v>
      </c>
      <c r="Z335" s="81" t="s">
        <v>1</v>
      </c>
      <c r="AA335" s="77" t="str">
        <f t="shared" si="51"/>
        <v>External cargo storage space.</v>
      </c>
    </row>
    <row r="336" spans="1:27" ht="6.6" customHeight="1" x14ac:dyDescent="0.25">
      <c r="A336" s="72">
        <v>336</v>
      </c>
      <c r="B336" s="73" t="s">
        <v>1968</v>
      </c>
      <c r="C336" s="83" t="s">
        <v>2001</v>
      </c>
      <c r="D336" s="73" t="s">
        <v>2003</v>
      </c>
      <c r="E336" s="73" t="s">
        <v>1416</v>
      </c>
      <c r="F336" s="91" t="s">
        <v>1483</v>
      </c>
      <c r="G336" s="75" t="s">
        <v>1</v>
      </c>
      <c r="H336" s="75" t="s">
        <v>1</v>
      </c>
      <c r="I336" s="75" t="s">
        <v>1</v>
      </c>
      <c r="J336" s="75" t="s">
        <v>1</v>
      </c>
      <c r="K336" s="75" t="s">
        <v>1</v>
      </c>
      <c r="L336" s="86" t="str">
        <f t="shared" si="45"/>
        <v>Infraestruturais</v>
      </c>
      <c r="M336" s="76" t="str">
        <f t="shared" si="46"/>
        <v>Hidroviários</v>
      </c>
      <c r="N336" s="76" t="str">
        <f t="shared" si="48"/>
        <v>Portos Zonas</v>
      </c>
      <c r="O336" s="77" t="str">
        <f t="shared" si="49"/>
        <v>Zona.de.Operação</v>
      </c>
      <c r="P336" s="77" t="s">
        <v>614</v>
      </c>
      <c r="Q336" s="86" t="s">
        <v>615</v>
      </c>
      <c r="R336" s="77" t="s">
        <v>1</v>
      </c>
      <c r="S336" s="77" t="str">
        <f t="shared" si="47"/>
        <v>Infraestruturais</v>
      </c>
      <c r="T336" s="77" t="str">
        <f t="shared" si="47"/>
        <v>Hidroviários</v>
      </c>
      <c r="U336" s="77" t="str">
        <f t="shared" si="47"/>
        <v>Portos Zonas</v>
      </c>
      <c r="V336" s="77" t="s">
        <v>1964</v>
      </c>
      <c r="W336" s="78" t="str">
        <f t="shared" si="50"/>
        <v>Key-BRASIL-336</v>
      </c>
      <c r="X336" s="77" t="s">
        <v>1868</v>
      </c>
      <c r="Y336" s="77" t="s">
        <v>1911</v>
      </c>
      <c r="Z336" s="81" t="s">
        <v>1</v>
      </c>
      <c r="AA336" s="77" t="str">
        <f t="shared" si="51"/>
        <v>Spatial part of the region that represents a functional division designed for operation.</v>
      </c>
    </row>
    <row r="337" spans="1:27" ht="6.6" customHeight="1" x14ac:dyDescent="0.25">
      <c r="A337" s="72">
        <v>337</v>
      </c>
      <c r="B337" s="73" t="s">
        <v>1968</v>
      </c>
      <c r="C337" s="83" t="s">
        <v>2001</v>
      </c>
      <c r="D337" s="73" t="s">
        <v>2003</v>
      </c>
      <c r="E337" s="73" t="s">
        <v>1416</v>
      </c>
      <c r="F337" s="91" t="s">
        <v>1484</v>
      </c>
      <c r="G337" s="75" t="s">
        <v>1</v>
      </c>
      <c r="H337" s="75" t="s">
        <v>1</v>
      </c>
      <c r="I337" s="75" t="s">
        <v>1</v>
      </c>
      <c r="J337" s="75" t="s">
        <v>1</v>
      </c>
      <c r="K337" s="75" t="s">
        <v>1</v>
      </c>
      <c r="L337" s="86" t="str">
        <f t="shared" si="45"/>
        <v>Infraestruturais</v>
      </c>
      <c r="M337" s="76" t="str">
        <f t="shared" si="46"/>
        <v>Hidroviários</v>
      </c>
      <c r="N337" s="76" t="str">
        <f t="shared" si="48"/>
        <v>Portos Zonas</v>
      </c>
      <c r="O337" s="77" t="str">
        <f t="shared" si="49"/>
        <v>Zona.de.Fabricação</v>
      </c>
      <c r="P337" s="77" t="s">
        <v>616</v>
      </c>
      <c r="Q337" s="86" t="s">
        <v>617</v>
      </c>
      <c r="R337" s="77" t="s">
        <v>1</v>
      </c>
      <c r="S337" s="77" t="str">
        <f t="shared" ref="S337:U352" si="52">SUBSTITUTE(C337, ".", " ")</f>
        <v>Infraestruturais</v>
      </c>
      <c r="T337" s="77" t="str">
        <f t="shared" si="52"/>
        <v>Hidroviários</v>
      </c>
      <c r="U337" s="77" t="str">
        <f t="shared" si="52"/>
        <v>Portos Zonas</v>
      </c>
      <c r="V337" s="77" t="s">
        <v>1964</v>
      </c>
      <c r="W337" s="78" t="str">
        <f t="shared" si="50"/>
        <v>Key-BRASIL-337</v>
      </c>
      <c r="X337" s="77" t="s">
        <v>1868</v>
      </c>
      <c r="Y337" s="77" t="s">
        <v>1911</v>
      </c>
      <c r="Z337" s="81" t="s">
        <v>1</v>
      </c>
      <c r="AA337" s="77" t="str">
        <f t="shared" si="51"/>
        <v>Spatial part of the region that forms a subdivision of facility for manufacturing purposes.</v>
      </c>
    </row>
    <row r="338" spans="1:27" ht="6.6" customHeight="1" x14ac:dyDescent="0.25">
      <c r="A338" s="72">
        <v>338</v>
      </c>
      <c r="B338" s="73" t="s">
        <v>1968</v>
      </c>
      <c r="C338" s="83" t="s">
        <v>2001</v>
      </c>
      <c r="D338" s="73" t="s">
        <v>2003</v>
      </c>
      <c r="E338" s="73" t="s">
        <v>1416</v>
      </c>
      <c r="F338" s="91" t="s">
        <v>1485</v>
      </c>
      <c r="G338" s="75" t="s">
        <v>1</v>
      </c>
      <c r="H338" s="75" t="s">
        <v>1</v>
      </c>
      <c r="I338" s="75" t="s">
        <v>1</v>
      </c>
      <c r="J338" s="75" t="s">
        <v>1</v>
      </c>
      <c r="K338" s="75" t="s">
        <v>1</v>
      </c>
      <c r="L338" s="86" t="str">
        <f t="shared" si="45"/>
        <v>Infraestruturais</v>
      </c>
      <c r="M338" s="76" t="str">
        <f t="shared" si="46"/>
        <v>Hidroviários</v>
      </c>
      <c r="N338" s="76" t="str">
        <f t="shared" si="48"/>
        <v>Portos Zonas</v>
      </c>
      <c r="O338" s="77" t="str">
        <f t="shared" si="49"/>
        <v>Zona.de.Transbordo</v>
      </c>
      <c r="P338" s="77" t="s">
        <v>618</v>
      </c>
      <c r="Q338" s="86" t="s">
        <v>619</v>
      </c>
      <c r="R338" s="77" t="s">
        <v>1</v>
      </c>
      <c r="S338" s="77" t="str">
        <f t="shared" si="52"/>
        <v>Infraestruturais</v>
      </c>
      <c r="T338" s="77" t="str">
        <f t="shared" si="52"/>
        <v>Hidroviários</v>
      </c>
      <c r="U338" s="77" t="str">
        <f t="shared" si="52"/>
        <v>Portos Zonas</v>
      </c>
      <c r="V338" s="77" t="s">
        <v>1964</v>
      </c>
      <c r="W338" s="78" t="str">
        <f t="shared" si="50"/>
        <v>Key-BRASIL-338</v>
      </c>
      <c r="X338" s="77" t="s">
        <v>1868</v>
      </c>
      <c r="Y338" s="77" t="s">
        <v>1887</v>
      </c>
      <c r="Z338" s="81" t="s">
        <v>1</v>
      </c>
      <c r="AA338" s="77" t="str">
        <f t="shared" si="51"/>
        <v>Spatial part of the region that represents a free area used for the transfer and movement of vessels.</v>
      </c>
    </row>
    <row r="339" spans="1:27" ht="6.6" customHeight="1" x14ac:dyDescent="0.25">
      <c r="A339" s="72">
        <v>339</v>
      </c>
      <c r="B339" s="73" t="s">
        <v>1968</v>
      </c>
      <c r="C339" s="83" t="s">
        <v>2001</v>
      </c>
      <c r="D339" s="73" t="s">
        <v>2004</v>
      </c>
      <c r="E339" s="73" t="s">
        <v>1724</v>
      </c>
      <c r="F339" s="91" t="s">
        <v>1677</v>
      </c>
      <c r="G339" s="75" t="s">
        <v>1</v>
      </c>
      <c r="H339" s="75" t="s">
        <v>1</v>
      </c>
      <c r="I339" s="75" t="s">
        <v>1</v>
      </c>
      <c r="J339" s="75" t="s">
        <v>1</v>
      </c>
      <c r="K339" s="75" t="s">
        <v>1</v>
      </c>
      <c r="L339" s="86" t="str">
        <f t="shared" si="45"/>
        <v>Infraestruturais</v>
      </c>
      <c r="M339" s="76" t="str">
        <f t="shared" si="46"/>
        <v>Aeroportuários</v>
      </c>
      <c r="N339" s="76" t="str">
        <f t="shared" si="48"/>
        <v>Aeródromos</v>
      </c>
      <c r="O339" s="77" t="str">
        <f t="shared" si="49"/>
        <v>Aeroporto.Internacional</v>
      </c>
      <c r="P339" s="81" t="s">
        <v>1682</v>
      </c>
      <c r="Q339" s="77" t="s">
        <v>1767</v>
      </c>
      <c r="R339" s="77" t="s">
        <v>1</v>
      </c>
      <c r="S339" s="77" t="str">
        <f t="shared" si="52"/>
        <v>Infraestruturais</v>
      </c>
      <c r="T339" s="77" t="str">
        <f t="shared" si="52"/>
        <v>Aeroportuários</v>
      </c>
      <c r="U339" s="77" t="str">
        <f t="shared" si="52"/>
        <v>Aeródromos</v>
      </c>
      <c r="V339" s="77" t="s">
        <v>1964</v>
      </c>
      <c r="W339" s="78" t="str">
        <f t="shared" si="50"/>
        <v>Key-BRASIL-339</v>
      </c>
      <c r="X339" s="77" t="s">
        <v>1843</v>
      </c>
      <c r="Y339" s="81" t="s">
        <v>1887</v>
      </c>
      <c r="Z339" s="81" t="s">
        <v>1</v>
      </c>
      <c r="AA339" s="77" t="str">
        <f t="shared" si="51"/>
        <v>International Airport must have infrastructure for international flights, with customs, immigration and sanitary control.</v>
      </c>
    </row>
    <row r="340" spans="1:27" ht="6.6" customHeight="1" x14ac:dyDescent="0.25">
      <c r="A340" s="72">
        <v>340</v>
      </c>
      <c r="B340" s="73" t="s">
        <v>1968</v>
      </c>
      <c r="C340" s="83" t="s">
        <v>2001</v>
      </c>
      <c r="D340" s="73" t="s">
        <v>2004</v>
      </c>
      <c r="E340" s="73" t="s">
        <v>1724</v>
      </c>
      <c r="F340" s="91" t="s">
        <v>1681</v>
      </c>
      <c r="G340" s="75" t="s">
        <v>1</v>
      </c>
      <c r="H340" s="75" t="s">
        <v>1</v>
      </c>
      <c r="I340" s="75" t="s">
        <v>1</v>
      </c>
      <c r="J340" s="75" t="s">
        <v>1</v>
      </c>
      <c r="K340" s="75" t="s">
        <v>1</v>
      </c>
      <c r="L340" s="86" t="str">
        <f t="shared" si="45"/>
        <v>Infraestruturais</v>
      </c>
      <c r="M340" s="76" t="str">
        <f t="shared" si="46"/>
        <v>Aeroportuários</v>
      </c>
      <c r="N340" s="76" t="str">
        <f t="shared" si="48"/>
        <v>Aeródromos</v>
      </c>
      <c r="O340" s="77" t="str">
        <f t="shared" si="49"/>
        <v>Aeroporto.Regional</v>
      </c>
      <c r="P340" s="81" t="s">
        <v>1683</v>
      </c>
      <c r="Q340" s="77" t="s">
        <v>1768</v>
      </c>
      <c r="R340" s="77" t="s">
        <v>1</v>
      </c>
      <c r="S340" s="77" t="str">
        <f t="shared" si="52"/>
        <v>Infraestruturais</v>
      </c>
      <c r="T340" s="77" t="str">
        <f t="shared" si="52"/>
        <v>Aeroportuários</v>
      </c>
      <c r="U340" s="77" t="str">
        <f t="shared" si="52"/>
        <v>Aeródromos</v>
      </c>
      <c r="V340" s="77" t="s">
        <v>1964</v>
      </c>
      <c r="W340" s="78" t="str">
        <f t="shared" si="50"/>
        <v>Key-BRASIL-340</v>
      </c>
      <c r="X340" s="77" t="s">
        <v>1843</v>
      </c>
      <c r="Y340" s="81" t="s">
        <v>1887</v>
      </c>
      <c r="Z340" s="81" t="s">
        <v>1</v>
      </c>
      <c r="AA340" s="77" t="str">
        <f t="shared" si="51"/>
        <v>Regional airports serve smaller areas of the territory, connecting medium and small cities to large centers.</v>
      </c>
    </row>
    <row r="341" spans="1:27" ht="6.6" customHeight="1" x14ac:dyDescent="0.25">
      <c r="A341" s="72">
        <v>341</v>
      </c>
      <c r="B341" s="73" t="s">
        <v>1968</v>
      </c>
      <c r="C341" s="83" t="s">
        <v>2001</v>
      </c>
      <c r="D341" s="73" t="s">
        <v>2004</v>
      </c>
      <c r="E341" s="73" t="s">
        <v>1724</v>
      </c>
      <c r="F341" s="91" t="s">
        <v>1680</v>
      </c>
      <c r="G341" s="75" t="s">
        <v>1</v>
      </c>
      <c r="H341" s="75" t="s">
        <v>1</v>
      </c>
      <c r="I341" s="75" t="s">
        <v>1</v>
      </c>
      <c r="J341" s="75" t="s">
        <v>1</v>
      </c>
      <c r="K341" s="75" t="s">
        <v>1</v>
      </c>
      <c r="L341" s="86" t="str">
        <f t="shared" ref="L341:L347" si="53">_xlfn.CONCAT(C341)</f>
        <v>Infraestruturais</v>
      </c>
      <c r="M341" s="76" t="str">
        <f t="shared" si="46"/>
        <v>Aeroportuários</v>
      </c>
      <c r="N341" s="76" t="str">
        <f t="shared" si="48"/>
        <v>Aeródromos</v>
      </c>
      <c r="O341" s="77" t="str">
        <f t="shared" si="49"/>
        <v>Aeroporto.Doméstico</v>
      </c>
      <c r="P341" s="81" t="s">
        <v>1819</v>
      </c>
      <c r="Q341" s="77" t="s">
        <v>1817</v>
      </c>
      <c r="R341" s="77" t="s">
        <v>1</v>
      </c>
      <c r="S341" s="77" t="str">
        <f t="shared" si="52"/>
        <v>Infraestruturais</v>
      </c>
      <c r="T341" s="77" t="str">
        <f t="shared" si="52"/>
        <v>Aeroportuários</v>
      </c>
      <c r="U341" s="77" t="str">
        <f t="shared" si="52"/>
        <v>Aeródromos</v>
      </c>
      <c r="V341" s="77" t="s">
        <v>1964</v>
      </c>
      <c r="W341" s="78" t="str">
        <f t="shared" si="50"/>
        <v>Key-BRASIL-341</v>
      </c>
      <c r="X341" s="77" t="s">
        <v>1843</v>
      </c>
      <c r="Y341" s="81" t="s">
        <v>1887</v>
      </c>
      <c r="Z341" s="81" t="s">
        <v>1</v>
      </c>
      <c r="AA341" s="77" t="str">
        <f>_xlfn.TRANSLATE(P341,"pt","en")</f>
        <v>Domestic Airport only serves flights within the national territory.</v>
      </c>
    </row>
    <row r="342" spans="1:27" ht="6.6" customHeight="1" x14ac:dyDescent="0.25">
      <c r="A342" s="72">
        <v>342</v>
      </c>
      <c r="B342" s="73" t="s">
        <v>1968</v>
      </c>
      <c r="C342" s="83" t="s">
        <v>2001</v>
      </c>
      <c r="D342" s="73" t="s">
        <v>2004</v>
      </c>
      <c r="E342" s="73" t="s">
        <v>1724</v>
      </c>
      <c r="F342" s="91" t="s">
        <v>1684</v>
      </c>
      <c r="G342" s="75" t="s">
        <v>1</v>
      </c>
      <c r="H342" s="75" t="s">
        <v>1</v>
      </c>
      <c r="I342" s="75" t="s">
        <v>1</v>
      </c>
      <c r="J342" s="75" t="s">
        <v>1</v>
      </c>
      <c r="K342" s="75" t="s">
        <v>1</v>
      </c>
      <c r="L342" s="86" t="str">
        <f t="shared" si="53"/>
        <v>Infraestruturais</v>
      </c>
      <c r="M342" s="76" t="str">
        <f t="shared" ref="M342:M347" si="54">CONCATENATE("", D342)</f>
        <v>Aeroportuários</v>
      </c>
      <c r="N342" s="76" t="str">
        <f t="shared" si="48"/>
        <v>Aeródromos</v>
      </c>
      <c r="O342" s="77" t="str">
        <f t="shared" si="49"/>
        <v>Aeroporto.Militar</v>
      </c>
      <c r="P342" s="81" t="s">
        <v>1820</v>
      </c>
      <c r="Q342" s="77" t="s">
        <v>1818</v>
      </c>
      <c r="R342" s="77" t="s">
        <v>1</v>
      </c>
      <c r="S342" s="77" t="str">
        <f t="shared" si="52"/>
        <v>Infraestruturais</v>
      </c>
      <c r="T342" s="77" t="str">
        <f t="shared" si="52"/>
        <v>Aeroportuários</v>
      </c>
      <c r="U342" s="77" t="str">
        <f t="shared" si="52"/>
        <v>Aeródromos</v>
      </c>
      <c r="V342" s="77" t="s">
        <v>1964</v>
      </c>
      <c r="W342" s="78" t="str">
        <f t="shared" si="50"/>
        <v>Key-BRASIL-342</v>
      </c>
      <c r="X342" s="77" t="s">
        <v>1843</v>
      </c>
      <c r="Y342" s="81" t="s">
        <v>1887</v>
      </c>
      <c r="Z342" s="81" t="s">
        <v>1</v>
      </c>
      <c r="AA342" s="77" t="str">
        <f t="shared" si="51"/>
        <v>Military Airport. used exclusively by the Armed Forces for strategic purposes, training, troop transport, and equipment.</v>
      </c>
    </row>
    <row r="343" spans="1:27" ht="6.6" customHeight="1" x14ac:dyDescent="0.25">
      <c r="A343" s="72">
        <v>343</v>
      </c>
      <c r="B343" s="73" t="s">
        <v>1968</v>
      </c>
      <c r="C343" s="83" t="s">
        <v>2001</v>
      </c>
      <c r="D343" s="73" t="s">
        <v>2004</v>
      </c>
      <c r="E343" s="73" t="s">
        <v>1724</v>
      </c>
      <c r="F343" s="91" t="s">
        <v>1723</v>
      </c>
      <c r="G343" s="75" t="s">
        <v>1</v>
      </c>
      <c r="H343" s="75" t="s">
        <v>1</v>
      </c>
      <c r="I343" s="75" t="s">
        <v>1</v>
      </c>
      <c r="J343" s="75" t="s">
        <v>1</v>
      </c>
      <c r="K343" s="75" t="s">
        <v>1</v>
      </c>
      <c r="L343" s="86" t="str">
        <f t="shared" si="53"/>
        <v>Infraestruturais</v>
      </c>
      <c r="M343" s="76" t="str">
        <f t="shared" si="54"/>
        <v>Aeroportuários</v>
      </c>
      <c r="N343" s="76" t="str">
        <f t="shared" si="48"/>
        <v>Aeródromos</v>
      </c>
      <c r="O343" s="77" t="str">
        <f t="shared" si="49"/>
        <v>Aeroclub</v>
      </c>
      <c r="P343" s="81" t="s">
        <v>1725</v>
      </c>
      <c r="Q343" s="77" t="s">
        <v>1769</v>
      </c>
      <c r="R343" s="77" t="s">
        <v>1</v>
      </c>
      <c r="S343" s="77" t="str">
        <f t="shared" si="52"/>
        <v>Infraestruturais</v>
      </c>
      <c r="T343" s="77" t="str">
        <f t="shared" si="52"/>
        <v>Aeroportuários</v>
      </c>
      <c r="U343" s="77" t="str">
        <f t="shared" si="52"/>
        <v>Aeródromos</v>
      </c>
      <c r="V343" s="77" t="s">
        <v>1964</v>
      </c>
      <c r="W343" s="78" t="str">
        <f t="shared" si="50"/>
        <v>Key-BRASIL-343</v>
      </c>
      <c r="X343" s="77" t="s">
        <v>1843</v>
      </c>
      <c r="Y343" s="81" t="s">
        <v>1887</v>
      </c>
      <c r="Z343" s="81" t="s">
        <v>1</v>
      </c>
      <c r="AA343" s="77" t="str">
        <f t="shared" si="51"/>
        <v>A center for the education and training of civilian pilots, for practical or recreational purposes. It needs to be authorized by the National Civil Aviation Agency (ANAC) to operate legally.</v>
      </c>
    </row>
    <row r="344" spans="1:27" ht="6.6" customHeight="1" x14ac:dyDescent="0.25">
      <c r="A344" s="72">
        <v>344</v>
      </c>
      <c r="B344" s="73" t="s">
        <v>1968</v>
      </c>
      <c r="C344" s="83" t="s">
        <v>2001</v>
      </c>
      <c r="D344" s="73" t="s">
        <v>2004</v>
      </c>
      <c r="E344" s="73" t="s">
        <v>1724</v>
      </c>
      <c r="F344" s="91" t="s">
        <v>1727</v>
      </c>
      <c r="G344" s="75" t="s">
        <v>1</v>
      </c>
      <c r="H344" s="75" t="s">
        <v>1</v>
      </c>
      <c r="I344" s="75" t="s">
        <v>1</v>
      </c>
      <c r="J344" s="75" t="s">
        <v>1</v>
      </c>
      <c r="K344" s="75" t="s">
        <v>1</v>
      </c>
      <c r="L344" s="86" t="str">
        <f t="shared" si="53"/>
        <v>Infraestruturais</v>
      </c>
      <c r="M344" s="76" t="str">
        <f t="shared" si="54"/>
        <v>Aeroportuários</v>
      </c>
      <c r="N344" s="76" t="str">
        <f t="shared" si="48"/>
        <v>Aeródromos</v>
      </c>
      <c r="O344" s="77" t="str">
        <f t="shared" si="49"/>
        <v>Pista.de.Pouso.e.Decolagem</v>
      </c>
      <c r="P344" s="81" t="s">
        <v>1726</v>
      </c>
      <c r="Q344" s="77" t="s">
        <v>1770</v>
      </c>
      <c r="R344" s="77" t="s">
        <v>1</v>
      </c>
      <c r="S344" s="77" t="str">
        <f t="shared" si="52"/>
        <v>Infraestruturais</v>
      </c>
      <c r="T344" s="77" t="str">
        <f t="shared" si="52"/>
        <v>Aeroportuários</v>
      </c>
      <c r="U344" s="77" t="str">
        <f t="shared" si="52"/>
        <v>Aeródromos</v>
      </c>
      <c r="V344" s="77" t="s">
        <v>1964</v>
      </c>
      <c r="W344" s="78" t="str">
        <f t="shared" si="50"/>
        <v>Key-BRASIL-344</v>
      </c>
      <c r="X344" s="77" t="s">
        <v>1843</v>
      </c>
      <c r="Y344" s="81" t="s">
        <v>1887</v>
      </c>
      <c r="Z344" s="81" t="s">
        <v>1</v>
      </c>
      <c r="AA344" s="77" t="str">
        <f t="shared" si="51"/>
        <v>The landing and takeoff runway comprises the rectangular area, defined on land, prepared for aircraft landings and takeoffs. Brazilian Civil Aviation Regulation (RBAC).</v>
      </c>
    </row>
    <row r="345" spans="1:27" ht="6.6" customHeight="1" x14ac:dyDescent="0.25">
      <c r="A345" s="72">
        <v>345</v>
      </c>
      <c r="B345" s="73" t="s">
        <v>1968</v>
      </c>
      <c r="C345" s="83" t="s">
        <v>2001</v>
      </c>
      <c r="D345" s="73" t="s">
        <v>2004</v>
      </c>
      <c r="E345" s="73" t="s">
        <v>1724</v>
      </c>
      <c r="F345" s="91" t="s">
        <v>1728</v>
      </c>
      <c r="G345" s="75" t="s">
        <v>1</v>
      </c>
      <c r="H345" s="75" t="s">
        <v>1</v>
      </c>
      <c r="I345" s="75" t="s">
        <v>1</v>
      </c>
      <c r="J345" s="75" t="s">
        <v>1</v>
      </c>
      <c r="K345" s="75" t="s">
        <v>1</v>
      </c>
      <c r="L345" s="86" t="str">
        <f t="shared" si="53"/>
        <v>Infraestruturais</v>
      </c>
      <c r="M345" s="76" t="str">
        <f t="shared" si="54"/>
        <v>Aeroportuários</v>
      </c>
      <c r="N345" s="76" t="str">
        <f t="shared" si="48"/>
        <v>Aeródromos</v>
      </c>
      <c r="O345" s="77" t="str">
        <f t="shared" si="49"/>
        <v>Pista.Auxiliar</v>
      </c>
      <c r="P345" s="81" t="s">
        <v>1729</v>
      </c>
      <c r="Q345" s="77" t="s">
        <v>1771</v>
      </c>
      <c r="R345" s="77" t="s">
        <v>1</v>
      </c>
      <c r="S345" s="77" t="str">
        <f t="shared" si="52"/>
        <v>Infraestruturais</v>
      </c>
      <c r="T345" s="77" t="str">
        <f t="shared" si="52"/>
        <v>Aeroportuários</v>
      </c>
      <c r="U345" s="77" t="str">
        <f t="shared" si="52"/>
        <v>Aeródromos</v>
      </c>
      <c r="V345" s="77" t="s">
        <v>1964</v>
      </c>
      <c r="W345" s="78" t="str">
        <f t="shared" si="50"/>
        <v>Key-BRASIL-345</v>
      </c>
      <c r="X345" s="77" t="s">
        <v>1843</v>
      </c>
      <c r="Y345" s="81" t="s">
        <v>1887</v>
      </c>
      <c r="Z345" s="81" t="s">
        <v>1</v>
      </c>
      <c r="AA345" s="77" t="str">
        <f t="shared" si="51"/>
        <v>Auxiliary runways allow aircraft to move before taking off or after landing and speed up their traffic on the ground.</v>
      </c>
    </row>
    <row r="346" spans="1:27" ht="6.6" customHeight="1" x14ac:dyDescent="0.25">
      <c r="A346" s="72">
        <v>346</v>
      </c>
      <c r="B346" s="73" t="s">
        <v>1968</v>
      </c>
      <c r="C346" s="83" t="s">
        <v>2001</v>
      </c>
      <c r="D346" s="73" t="s">
        <v>2004</v>
      </c>
      <c r="E346" s="73" t="s">
        <v>1724</v>
      </c>
      <c r="F346" s="91" t="s">
        <v>1678</v>
      </c>
      <c r="G346" s="75" t="s">
        <v>1</v>
      </c>
      <c r="H346" s="75" t="s">
        <v>1</v>
      </c>
      <c r="I346" s="75" t="s">
        <v>1</v>
      </c>
      <c r="J346" s="75" t="s">
        <v>1</v>
      </c>
      <c r="K346" s="75" t="s">
        <v>1</v>
      </c>
      <c r="L346" s="86" t="str">
        <f t="shared" si="53"/>
        <v>Infraestruturais</v>
      </c>
      <c r="M346" s="76" t="str">
        <f t="shared" si="54"/>
        <v>Aeroportuários</v>
      </c>
      <c r="N346" s="76" t="str">
        <f t="shared" si="48"/>
        <v>Aeródromos</v>
      </c>
      <c r="O346" s="77" t="str">
        <f t="shared" si="49"/>
        <v>Heliporto</v>
      </c>
      <c r="P346" s="77" t="s">
        <v>1721</v>
      </c>
      <c r="Q346" s="77" t="s">
        <v>1772</v>
      </c>
      <c r="R346" s="77" t="s">
        <v>1</v>
      </c>
      <c r="S346" s="77" t="str">
        <f t="shared" si="52"/>
        <v>Infraestruturais</v>
      </c>
      <c r="T346" s="77" t="str">
        <f t="shared" si="52"/>
        <v>Aeroportuários</v>
      </c>
      <c r="U346" s="77" t="str">
        <f t="shared" si="52"/>
        <v>Aeródromos</v>
      </c>
      <c r="V346" s="77" t="s">
        <v>1964</v>
      </c>
      <c r="W346" s="78" t="str">
        <f t="shared" si="50"/>
        <v>Key-BRASIL-346</v>
      </c>
      <c r="X346" s="77" t="s">
        <v>1843</v>
      </c>
      <c r="Y346" s="81" t="s">
        <v>1887</v>
      </c>
      <c r="Z346" s="81" t="s">
        <v>1</v>
      </c>
      <c r="AA346" s="77" t="str">
        <f t="shared" si="51"/>
        <v>A Heliport must be prepared to operate helicopters with airstrip infrastructure, hangars, fueling, departure lounge, air traffic control, maintenance, security and logistics.</v>
      </c>
    </row>
    <row r="347" spans="1:27" ht="6.6" customHeight="1" x14ac:dyDescent="0.25">
      <c r="A347" s="72">
        <v>347</v>
      </c>
      <c r="B347" s="73" t="s">
        <v>1968</v>
      </c>
      <c r="C347" s="83" t="s">
        <v>2001</v>
      </c>
      <c r="D347" s="73" t="s">
        <v>2004</v>
      </c>
      <c r="E347" s="73" t="s">
        <v>1724</v>
      </c>
      <c r="F347" s="91" t="s">
        <v>1679</v>
      </c>
      <c r="G347" s="75" t="s">
        <v>1</v>
      </c>
      <c r="H347" s="75" t="s">
        <v>1</v>
      </c>
      <c r="I347" s="75" t="s">
        <v>1</v>
      </c>
      <c r="J347" s="75" t="s">
        <v>1</v>
      </c>
      <c r="K347" s="75" t="s">
        <v>1</v>
      </c>
      <c r="L347" s="86" t="str">
        <f t="shared" si="53"/>
        <v>Infraestruturais</v>
      </c>
      <c r="M347" s="76" t="str">
        <f t="shared" si="54"/>
        <v>Aeroportuários</v>
      </c>
      <c r="N347" s="76" t="str">
        <f t="shared" si="48"/>
        <v>Aeródromos</v>
      </c>
      <c r="O347" s="77" t="str">
        <f t="shared" si="49"/>
        <v>Heliponto</v>
      </c>
      <c r="P347" s="77" t="s">
        <v>1720</v>
      </c>
      <c r="Q347" s="77" t="s">
        <v>1722</v>
      </c>
      <c r="R347" s="77" t="s">
        <v>1</v>
      </c>
      <c r="S347" s="77" t="str">
        <f t="shared" si="52"/>
        <v>Infraestruturais</v>
      </c>
      <c r="T347" s="77" t="str">
        <f t="shared" si="52"/>
        <v>Aeroportuários</v>
      </c>
      <c r="U347" s="77" t="str">
        <f t="shared" si="52"/>
        <v>Aeródromos</v>
      </c>
      <c r="V347" s="77" t="s">
        <v>1964</v>
      </c>
      <c r="W347" s="78" t="str">
        <f t="shared" si="50"/>
        <v>Key-BRASIL-347</v>
      </c>
      <c r="X347" s="77" t="s">
        <v>1843</v>
      </c>
      <c r="Y347" s="81" t="s">
        <v>1912</v>
      </c>
      <c r="Z347" s="81" t="s">
        <v>1</v>
      </c>
      <c r="AA347" s="77" t="str">
        <f t="shared" si="51"/>
        <v>Area intended exclusively for helicopter landing and takeoff.</v>
      </c>
    </row>
    <row r="348" spans="1:27" ht="6.6" customHeight="1" x14ac:dyDescent="0.25">
      <c r="A348" s="72">
        <v>348</v>
      </c>
      <c r="B348" s="73" t="s">
        <v>1968</v>
      </c>
      <c r="C348" s="83" t="s">
        <v>1970</v>
      </c>
      <c r="D348" s="73" t="s">
        <v>1662</v>
      </c>
      <c r="E348" s="73" t="s">
        <v>1596</v>
      </c>
      <c r="F348" s="74" t="s">
        <v>1597</v>
      </c>
      <c r="G348" s="75" t="s">
        <v>1</v>
      </c>
      <c r="H348" s="75" t="s">
        <v>1</v>
      </c>
      <c r="I348" s="75" t="s">
        <v>1</v>
      </c>
      <c r="J348" s="75" t="s">
        <v>1</v>
      </c>
      <c r="K348" s="75" t="s">
        <v>1</v>
      </c>
      <c r="L348" s="76" t="str">
        <f t="shared" ref="L348:O374" si="55">SUBSTITUTE(CONCATENATE("", C348), ".", " ")</f>
        <v>Redes Urbanas</v>
      </c>
      <c r="M348" s="76" t="str">
        <f t="shared" si="55"/>
        <v>Redes de Fluídos</v>
      </c>
      <c r="N348" s="76" t="str">
        <f t="shared" si="55"/>
        <v>Redes Fornecedoras</v>
      </c>
      <c r="O348" s="76" t="str">
        <f t="shared" si="55"/>
        <v>Rede de Agua</v>
      </c>
      <c r="P348" s="77" t="s">
        <v>1764</v>
      </c>
      <c r="Q348" s="77" t="s">
        <v>1765</v>
      </c>
      <c r="R348" s="77" t="s">
        <v>1</v>
      </c>
      <c r="S348" s="77" t="str">
        <f t="shared" si="52"/>
        <v>Redes Urbanas</v>
      </c>
      <c r="T348" s="77" t="str">
        <f t="shared" si="52"/>
        <v>Redes de Fluídos</v>
      </c>
      <c r="U348" s="77" t="str">
        <f t="shared" si="52"/>
        <v>Redes Fornecedoras</v>
      </c>
      <c r="V348" s="77" t="s">
        <v>1964</v>
      </c>
      <c r="W348" s="78" t="str">
        <f t="shared" si="50"/>
        <v>Key-BRASIL-348</v>
      </c>
      <c r="X348" s="77" t="s">
        <v>1869</v>
      </c>
      <c r="Y348" s="81" t="s">
        <v>1913</v>
      </c>
      <c r="Z348" s="81" t="s">
        <v>1</v>
      </c>
      <c r="AA348" s="77" t="str">
        <f t="shared" si="51"/>
        <v>Drinking water supply network system.</v>
      </c>
    </row>
    <row r="349" spans="1:27" ht="6.6" customHeight="1" x14ac:dyDescent="0.25">
      <c r="A349" s="72">
        <v>349</v>
      </c>
      <c r="B349" s="73" t="s">
        <v>1968</v>
      </c>
      <c r="C349" s="83" t="s">
        <v>1970</v>
      </c>
      <c r="D349" s="73" t="s">
        <v>1662</v>
      </c>
      <c r="E349" s="73" t="s">
        <v>1596</v>
      </c>
      <c r="F349" s="74" t="s">
        <v>1598</v>
      </c>
      <c r="G349" s="75" t="s">
        <v>1</v>
      </c>
      <c r="H349" s="75" t="s">
        <v>1</v>
      </c>
      <c r="I349" s="75" t="s">
        <v>1</v>
      </c>
      <c r="J349" s="75" t="s">
        <v>1</v>
      </c>
      <c r="K349" s="75" t="s">
        <v>1</v>
      </c>
      <c r="L349" s="76" t="str">
        <f t="shared" si="55"/>
        <v>Redes Urbanas</v>
      </c>
      <c r="M349" s="76" t="str">
        <f t="shared" si="55"/>
        <v>Redes de Fluídos</v>
      </c>
      <c r="N349" s="76" t="str">
        <f t="shared" si="55"/>
        <v>Redes Fornecedoras</v>
      </c>
      <c r="O349" s="76" t="str">
        <f t="shared" si="55"/>
        <v>Rede de Substâncias</v>
      </c>
      <c r="P349" s="77" t="s">
        <v>1599</v>
      </c>
      <c r="Q349" s="77" t="s">
        <v>1600</v>
      </c>
      <c r="R349" s="77" t="s">
        <v>1</v>
      </c>
      <c r="S349" s="77" t="str">
        <f t="shared" si="52"/>
        <v>Redes Urbanas</v>
      </c>
      <c r="T349" s="77" t="str">
        <f t="shared" si="52"/>
        <v>Redes de Fluídos</v>
      </c>
      <c r="U349" s="77" t="str">
        <f t="shared" si="52"/>
        <v>Redes Fornecedoras</v>
      </c>
      <c r="V349" s="77" t="s">
        <v>1964</v>
      </c>
      <c r="W349" s="78" t="str">
        <f t="shared" si="50"/>
        <v>Key-BRASIL-349</v>
      </c>
      <c r="X349" s="77" t="s">
        <v>1869</v>
      </c>
      <c r="Y349" s="81" t="s">
        <v>1914</v>
      </c>
      <c r="Z349" s="81" t="s">
        <v>1</v>
      </c>
      <c r="AA349" s="77" t="str">
        <f t="shared" si="51"/>
        <v>A network system for the supply of substances (e.g. fuels).</v>
      </c>
    </row>
    <row r="350" spans="1:27" ht="6.6" customHeight="1" x14ac:dyDescent="0.25">
      <c r="A350" s="72">
        <v>350</v>
      </c>
      <c r="B350" s="73" t="s">
        <v>1968</v>
      </c>
      <c r="C350" s="83" t="s">
        <v>1970</v>
      </c>
      <c r="D350" s="73" t="s">
        <v>1662</v>
      </c>
      <c r="E350" s="73" t="s">
        <v>1596</v>
      </c>
      <c r="F350" s="73" t="s">
        <v>1601</v>
      </c>
      <c r="G350" s="75" t="s">
        <v>1</v>
      </c>
      <c r="H350" s="75" t="s">
        <v>1</v>
      </c>
      <c r="I350" s="75" t="s">
        <v>1</v>
      </c>
      <c r="J350" s="75" t="s">
        <v>1</v>
      </c>
      <c r="K350" s="75" t="s">
        <v>1</v>
      </c>
      <c r="L350" s="76" t="str">
        <f t="shared" si="55"/>
        <v>Redes Urbanas</v>
      </c>
      <c r="M350" s="76" t="str">
        <f t="shared" si="55"/>
        <v>Redes de Fluídos</v>
      </c>
      <c r="N350" s="76" t="str">
        <f t="shared" si="55"/>
        <v>Redes Fornecedoras</v>
      </c>
      <c r="O350" s="76" t="str">
        <f t="shared" si="55"/>
        <v>Rede de Combustíveis</v>
      </c>
      <c r="P350" s="77" t="s">
        <v>1763</v>
      </c>
      <c r="Q350" s="77" t="s">
        <v>1602</v>
      </c>
      <c r="R350" s="77" t="s">
        <v>1</v>
      </c>
      <c r="S350" s="77" t="str">
        <f t="shared" si="52"/>
        <v>Redes Urbanas</v>
      </c>
      <c r="T350" s="77" t="str">
        <f t="shared" si="52"/>
        <v>Redes de Fluídos</v>
      </c>
      <c r="U350" s="77" t="str">
        <f t="shared" si="52"/>
        <v>Redes Fornecedoras</v>
      </c>
      <c r="V350" s="77" t="s">
        <v>1964</v>
      </c>
      <c r="W350" s="78" t="str">
        <f t="shared" si="50"/>
        <v>Key-BRASIL-350</v>
      </c>
      <c r="X350" s="77" t="s">
        <v>1869</v>
      </c>
      <c r="Y350" s="81" t="s">
        <v>1915</v>
      </c>
      <c r="Z350" s="81" t="s">
        <v>1</v>
      </c>
      <c r="AA350" s="77" t="str">
        <f t="shared" si="51"/>
        <v>Fuel supply network system.</v>
      </c>
    </row>
    <row r="351" spans="1:27" ht="6.6" customHeight="1" x14ac:dyDescent="0.25">
      <c r="A351" s="72">
        <v>351</v>
      </c>
      <c r="B351" s="73" t="s">
        <v>1968</v>
      </c>
      <c r="C351" s="83" t="s">
        <v>1970</v>
      </c>
      <c r="D351" s="73" t="s">
        <v>1662</v>
      </c>
      <c r="E351" s="73" t="s">
        <v>1596</v>
      </c>
      <c r="F351" s="73" t="s">
        <v>1761</v>
      </c>
      <c r="G351" s="75" t="s">
        <v>1</v>
      </c>
      <c r="H351" s="75" t="s">
        <v>1</v>
      </c>
      <c r="I351" s="75" t="s">
        <v>1</v>
      </c>
      <c r="J351" s="75" t="s">
        <v>1</v>
      </c>
      <c r="K351" s="75" t="s">
        <v>1</v>
      </c>
      <c r="L351" s="76" t="str">
        <f t="shared" si="55"/>
        <v>Redes Urbanas</v>
      </c>
      <c r="M351" s="76" t="str">
        <f t="shared" si="55"/>
        <v>Redes de Fluídos</v>
      </c>
      <c r="N351" s="76" t="str">
        <f t="shared" si="55"/>
        <v>Redes Fornecedoras</v>
      </c>
      <c r="O351" s="76" t="str">
        <f t="shared" si="55"/>
        <v>Rede de Gás</v>
      </c>
      <c r="P351" s="77" t="s">
        <v>1762</v>
      </c>
      <c r="Q351" s="77" t="s">
        <v>1766</v>
      </c>
      <c r="R351" s="77" t="s">
        <v>1</v>
      </c>
      <c r="S351" s="77" t="str">
        <f t="shared" si="52"/>
        <v>Redes Urbanas</v>
      </c>
      <c r="T351" s="77" t="str">
        <f t="shared" si="52"/>
        <v>Redes de Fluídos</v>
      </c>
      <c r="U351" s="77" t="str">
        <f t="shared" si="52"/>
        <v>Redes Fornecedoras</v>
      </c>
      <c r="V351" s="77" t="s">
        <v>1964</v>
      </c>
      <c r="W351" s="78" t="str">
        <f t="shared" si="50"/>
        <v>Key-BRASIL-351</v>
      </c>
      <c r="X351" s="77" t="s">
        <v>1869</v>
      </c>
      <c r="Y351" s="81" t="s">
        <v>1916</v>
      </c>
      <c r="Z351" s="81" t="s">
        <v>1</v>
      </c>
      <c r="AA351" s="77" t="str">
        <f t="shared" si="51"/>
        <v>Gas supply network system.</v>
      </c>
    </row>
    <row r="352" spans="1:27" ht="6.6" customHeight="1" x14ac:dyDescent="0.25">
      <c r="A352" s="72">
        <v>352</v>
      </c>
      <c r="B352" s="73" t="s">
        <v>1968</v>
      </c>
      <c r="C352" s="83" t="s">
        <v>1970</v>
      </c>
      <c r="D352" s="73" t="s">
        <v>1662</v>
      </c>
      <c r="E352" s="73" t="s">
        <v>1596</v>
      </c>
      <c r="F352" s="74" t="s">
        <v>1603</v>
      </c>
      <c r="G352" s="75" t="s">
        <v>1</v>
      </c>
      <c r="H352" s="75" t="s">
        <v>1</v>
      </c>
      <c r="I352" s="75" t="s">
        <v>1</v>
      </c>
      <c r="J352" s="75" t="s">
        <v>1</v>
      </c>
      <c r="K352" s="75" t="s">
        <v>1</v>
      </c>
      <c r="L352" s="76" t="str">
        <f t="shared" si="55"/>
        <v>Redes Urbanas</v>
      </c>
      <c r="M352" s="76" t="str">
        <f t="shared" si="55"/>
        <v>Redes de Fluídos</v>
      </c>
      <c r="N352" s="76" t="str">
        <f t="shared" si="55"/>
        <v>Redes Fornecedoras</v>
      </c>
      <c r="O352" s="76" t="str">
        <f t="shared" si="55"/>
        <v>Rede de Operacionalização</v>
      </c>
      <c r="P352" s="77" t="s">
        <v>1604</v>
      </c>
      <c r="Q352" s="77" t="s">
        <v>1605</v>
      </c>
      <c r="R352" s="77" t="s">
        <v>1</v>
      </c>
      <c r="S352" s="77" t="str">
        <f t="shared" si="52"/>
        <v>Redes Urbanas</v>
      </c>
      <c r="T352" s="77" t="str">
        <f t="shared" si="52"/>
        <v>Redes de Fluídos</v>
      </c>
      <c r="U352" s="77" t="str">
        <f t="shared" si="52"/>
        <v>Redes Fornecedoras</v>
      </c>
      <c r="V352" s="77" t="s">
        <v>1964</v>
      </c>
      <c r="W352" s="78" t="str">
        <f t="shared" si="50"/>
        <v>Key-BRASIL-352</v>
      </c>
      <c r="X352" s="77" t="s">
        <v>1869</v>
      </c>
      <c r="Y352" s="81" t="s">
        <v>1917</v>
      </c>
      <c r="Z352" s="81" t="s">
        <v>1</v>
      </c>
      <c r="AA352" s="77" t="str">
        <f t="shared" si="51"/>
        <v>System of operational substances (fuels, hospital fluids, etc.).</v>
      </c>
    </row>
    <row r="353" spans="1:27" ht="6.6" customHeight="1" x14ac:dyDescent="0.25">
      <c r="A353" s="72">
        <v>353</v>
      </c>
      <c r="B353" s="73" t="s">
        <v>1968</v>
      </c>
      <c r="C353" s="83" t="s">
        <v>1970</v>
      </c>
      <c r="D353" s="73" t="s">
        <v>1662</v>
      </c>
      <c r="E353" s="73" t="s">
        <v>1606</v>
      </c>
      <c r="F353" s="74" t="s">
        <v>1607</v>
      </c>
      <c r="G353" s="75" t="s">
        <v>1</v>
      </c>
      <c r="H353" s="75" t="s">
        <v>1</v>
      </c>
      <c r="I353" s="75" t="s">
        <v>1</v>
      </c>
      <c r="J353" s="75" t="s">
        <v>1</v>
      </c>
      <c r="K353" s="75" t="s">
        <v>1</v>
      </c>
      <c r="L353" s="76" t="str">
        <f t="shared" si="55"/>
        <v>Redes Urbanas</v>
      </c>
      <c r="M353" s="76" t="str">
        <f t="shared" si="55"/>
        <v>Redes de Fluídos</v>
      </c>
      <c r="N353" s="76" t="str">
        <f t="shared" si="55"/>
        <v>Redes Coletoras</v>
      </c>
      <c r="O353" s="76" t="str">
        <f t="shared" si="55"/>
        <v>Rede de Tormenta</v>
      </c>
      <c r="P353" s="77" t="s">
        <v>1608</v>
      </c>
      <c r="Q353" s="77" t="s">
        <v>1609</v>
      </c>
      <c r="R353" s="77" t="s">
        <v>1</v>
      </c>
      <c r="S353" s="77" t="str">
        <f t="shared" ref="S353:U379" si="56">SUBSTITUTE(C353, ".", " ")</f>
        <v>Redes Urbanas</v>
      </c>
      <c r="T353" s="77" t="str">
        <f t="shared" si="56"/>
        <v>Redes de Fluídos</v>
      </c>
      <c r="U353" s="77" t="str">
        <f t="shared" si="56"/>
        <v>Redes Coletoras</v>
      </c>
      <c r="V353" s="77" t="s">
        <v>1964</v>
      </c>
      <c r="W353" s="78" t="str">
        <f t="shared" si="50"/>
        <v>Key-BRASIL-353</v>
      </c>
      <c r="X353" s="77" t="s">
        <v>1869</v>
      </c>
      <c r="Y353" s="81" t="s">
        <v>1918</v>
      </c>
      <c r="Z353" s="81" t="s">
        <v>1</v>
      </c>
      <c r="AA353" s="77" t="str">
        <f t="shared" si="51"/>
        <v>Urban rainwater system (storm water that runs across the urban surface).</v>
      </c>
    </row>
    <row r="354" spans="1:27" ht="6.6" customHeight="1" x14ac:dyDescent="0.25">
      <c r="A354" s="72">
        <v>354</v>
      </c>
      <c r="B354" s="73" t="s">
        <v>1968</v>
      </c>
      <c r="C354" s="83" t="s">
        <v>1970</v>
      </c>
      <c r="D354" s="73" t="s">
        <v>1662</v>
      </c>
      <c r="E354" s="73" t="s">
        <v>1606</v>
      </c>
      <c r="F354" s="74" t="s">
        <v>1610</v>
      </c>
      <c r="G354" s="75" t="s">
        <v>1</v>
      </c>
      <c r="H354" s="75" t="s">
        <v>1</v>
      </c>
      <c r="I354" s="75" t="s">
        <v>1</v>
      </c>
      <c r="J354" s="75" t="s">
        <v>1</v>
      </c>
      <c r="K354" s="75" t="s">
        <v>1</v>
      </c>
      <c r="L354" s="76" t="str">
        <f t="shared" si="55"/>
        <v>Redes Urbanas</v>
      </c>
      <c r="M354" s="76" t="str">
        <f t="shared" si="55"/>
        <v>Redes de Fluídos</v>
      </c>
      <c r="N354" s="76" t="str">
        <f t="shared" si="55"/>
        <v>Redes Coletoras</v>
      </c>
      <c r="O354" s="76" t="str">
        <f t="shared" si="55"/>
        <v>Rede de Agua Residual</v>
      </c>
      <c r="P354" s="77" t="s">
        <v>1611</v>
      </c>
      <c r="Q354" s="77" t="s">
        <v>1612</v>
      </c>
      <c r="R354" s="77" t="s">
        <v>1</v>
      </c>
      <c r="S354" s="77" t="str">
        <f t="shared" si="56"/>
        <v>Redes Urbanas</v>
      </c>
      <c r="T354" s="77" t="str">
        <f t="shared" si="56"/>
        <v>Redes de Fluídos</v>
      </c>
      <c r="U354" s="77" t="str">
        <f t="shared" si="56"/>
        <v>Redes Coletoras</v>
      </c>
      <c r="V354" s="77" t="s">
        <v>1964</v>
      </c>
      <c r="W354" s="78" t="str">
        <f t="shared" si="50"/>
        <v>Key-BRASIL-354</v>
      </c>
      <c r="X354" s="77" t="s">
        <v>1869</v>
      </c>
      <c r="Y354" s="81" t="s">
        <v>1919</v>
      </c>
      <c r="Z354" s="81" t="s">
        <v>1</v>
      </c>
      <c r="AA354" s="77" t="str">
        <f t="shared" si="51"/>
        <v>Recycling water system (water that has been negatively affected by anthropogenic influence).</v>
      </c>
    </row>
    <row r="355" spans="1:27" ht="6.6" customHeight="1" x14ac:dyDescent="0.25">
      <c r="A355" s="72">
        <v>355</v>
      </c>
      <c r="B355" s="73" t="s">
        <v>1968</v>
      </c>
      <c r="C355" s="83" t="s">
        <v>1970</v>
      </c>
      <c r="D355" s="73" t="s">
        <v>1662</v>
      </c>
      <c r="E355" s="73" t="s">
        <v>1606</v>
      </c>
      <c r="F355" s="74" t="s">
        <v>1613</v>
      </c>
      <c r="G355" s="75" t="s">
        <v>1</v>
      </c>
      <c r="H355" s="75" t="s">
        <v>1</v>
      </c>
      <c r="I355" s="75" t="s">
        <v>1</v>
      </c>
      <c r="J355" s="75" t="s">
        <v>1</v>
      </c>
      <c r="K355" s="75" t="s">
        <v>1</v>
      </c>
      <c r="L355" s="76" t="str">
        <f t="shared" si="55"/>
        <v>Redes Urbanas</v>
      </c>
      <c r="M355" s="76" t="str">
        <f t="shared" si="55"/>
        <v>Redes de Fluídos</v>
      </c>
      <c r="N355" s="76" t="str">
        <f t="shared" si="55"/>
        <v>Redes Coletoras</v>
      </c>
      <c r="O355" s="76" t="str">
        <f t="shared" si="55"/>
        <v>Rede de Esgoto</v>
      </c>
      <c r="P355" s="77" t="s">
        <v>1614</v>
      </c>
      <c r="Q355" s="77" t="s">
        <v>1615</v>
      </c>
      <c r="R355" s="77" t="s">
        <v>1</v>
      </c>
      <c r="S355" s="77" t="str">
        <f t="shared" si="56"/>
        <v>Redes Urbanas</v>
      </c>
      <c r="T355" s="77" t="str">
        <f t="shared" si="56"/>
        <v>Redes de Fluídos</v>
      </c>
      <c r="U355" s="77" t="str">
        <f t="shared" si="56"/>
        <v>Redes Coletoras</v>
      </c>
      <c r="V355" s="77" t="s">
        <v>1964</v>
      </c>
      <c r="W355" s="78" t="str">
        <f t="shared" si="50"/>
        <v>Key-BRASIL-355</v>
      </c>
      <c r="X355" s="77" t="s">
        <v>1869</v>
      </c>
      <c r="Y355" s="81" t="s">
        <v>1920</v>
      </c>
      <c r="Z355" s="81" t="s">
        <v>1</v>
      </c>
      <c r="AA355" s="77" t="str">
        <f t="shared" si="51"/>
        <v>Urban sewage collection system.</v>
      </c>
    </row>
    <row r="356" spans="1:27" ht="6.6" customHeight="1" x14ac:dyDescent="0.25">
      <c r="A356" s="72">
        <v>356</v>
      </c>
      <c r="B356" s="73" t="s">
        <v>1968</v>
      </c>
      <c r="C356" s="83" t="s">
        <v>1970</v>
      </c>
      <c r="D356" s="73" t="s">
        <v>1662</v>
      </c>
      <c r="E356" s="73" t="s">
        <v>1606</v>
      </c>
      <c r="F356" s="73" t="s">
        <v>1616</v>
      </c>
      <c r="G356" s="75" t="s">
        <v>1</v>
      </c>
      <c r="H356" s="75" t="s">
        <v>1</v>
      </c>
      <c r="I356" s="75" t="s">
        <v>1</v>
      </c>
      <c r="J356" s="75" t="s">
        <v>1</v>
      </c>
      <c r="K356" s="75" t="s">
        <v>1</v>
      </c>
      <c r="L356" s="76" t="str">
        <f t="shared" si="55"/>
        <v>Redes Urbanas</v>
      </c>
      <c r="M356" s="76" t="str">
        <f t="shared" si="55"/>
        <v>Redes de Fluídos</v>
      </c>
      <c r="N356" s="76" t="str">
        <f t="shared" si="55"/>
        <v>Redes Coletoras</v>
      </c>
      <c r="O356" s="76" t="str">
        <f t="shared" si="55"/>
        <v>Rede de Descartes</v>
      </c>
      <c r="P356" s="77" t="s">
        <v>1617</v>
      </c>
      <c r="Q356" s="77" t="s">
        <v>1618</v>
      </c>
      <c r="R356" s="77" t="s">
        <v>1</v>
      </c>
      <c r="S356" s="77" t="str">
        <f t="shared" si="56"/>
        <v>Redes Urbanas</v>
      </c>
      <c r="T356" s="77" t="str">
        <f t="shared" si="56"/>
        <v>Redes de Fluídos</v>
      </c>
      <c r="U356" s="77" t="str">
        <f t="shared" si="56"/>
        <v>Redes Coletoras</v>
      </c>
      <c r="V356" s="77" t="s">
        <v>1964</v>
      </c>
      <c r="W356" s="78" t="str">
        <f t="shared" si="50"/>
        <v>Key-BRASIL-356</v>
      </c>
      <c r="X356" s="77" t="s">
        <v>1869</v>
      </c>
      <c r="Y356" s="81" t="s">
        <v>1921</v>
      </c>
      <c r="Z356" s="81" t="s">
        <v>1</v>
      </c>
      <c r="AA356" s="77" t="str">
        <f t="shared" si="51"/>
        <v>Sewage system for substances (special substances, for example).</v>
      </c>
    </row>
    <row r="357" spans="1:27" ht="6.6" customHeight="1" x14ac:dyDescent="0.25">
      <c r="A357" s="72">
        <v>357</v>
      </c>
      <c r="B357" s="73" t="s">
        <v>1968</v>
      </c>
      <c r="C357" s="83" t="s">
        <v>1970</v>
      </c>
      <c r="D357" s="73" t="s">
        <v>1662</v>
      </c>
      <c r="E357" s="73" t="s">
        <v>1606</v>
      </c>
      <c r="F357" s="73" t="s">
        <v>1619</v>
      </c>
      <c r="G357" s="75" t="s">
        <v>1</v>
      </c>
      <c r="H357" s="75" t="s">
        <v>1</v>
      </c>
      <c r="I357" s="75" t="s">
        <v>1</v>
      </c>
      <c r="J357" s="75" t="s">
        <v>1</v>
      </c>
      <c r="K357" s="75" t="s">
        <v>1</v>
      </c>
      <c r="L357" s="76" t="str">
        <f t="shared" si="55"/>
        <v>Redes Urbanas</v>
      </c>
      <c r="M357" s="76" t="str">
        <f t="shared" si="55"/>
        <v>Redes de Fluídos</v>
      </c>
      <c r="N357" s="76" t="str">
        <f t="shared" si="55"/>
        <v>Redes Coletoras</v>
      </c>
      <c r="O357" s="76" t="str">
        <f t="shared" si="55"/>
        <v>Rede de Hospitalares</v>
      </c>
      <c r="P357" s="77" t="s">
        <v>1620</v>
      </c>
      <c r="Q357" s="77" t="s">
        <v>1621</v>
      </c>
      <c r="R357" s="77" t="s">
        <v>1</v>
      </c>
      <c r="S357" s="77" t="str">
        <f t="shared" si="56"/>
        <v>Redes Urbanas</v>
      </c>
      <c r="T357" s="77" t="str">
        <f t="shared" si="56"/>
        <v>Redes de Fluídos</v>
      </c>
      <c r="U357" s="77" t="str">
        <f t="shared" si="56"/>
        <v>Redes Coletoras</v>
      </c>
      <c r="V357" s="77" t="s">
        <v>1964</v>
      </c>
      <c r="W357" s="78" t="str">
        <f t="shared" si="50"/>
        <v>Key-BRASIL-357</v>
      </c>
      <c r="X357" s="77" t="s">
        <v>1869</v>
      </c>
      <c r="Y357" s="81" t="s">
        <v>1922</v>
      </c>
      <c r="Z357" s="81" t="s">
        <v>1</v>
      </c>
      <c r="AA357" s="77" t="str">
        <f t="shared" si="51"/>
        <v>Hospital gas or liquid network system.</v>
      </c>
    </row>
    <row r="358" spans="1:27" ht="6.6" customHeight="1" x14ac:dyDescent="0.25">
      <c r="A358" s="72">
        <v>358</v>
      </c>
      <c r="B358" s="73" t="s">
        <v>1968</v>
      </c>
      <c r="C358" s="83" t="s">
        <v>1970</v>
      </c>
      <c r="D358" s="73" t="s">
        <v>1622</v>
      </c>
      <c r="E358" s="73" t="s">
        <v>1623</v>
      </c>
      <c r="F358" s="73" t="s">
        <v>1624</v>
      </c>
      <c r="G358" s="75" t="s">
        <v>1</v>
      </c>
      <c r="H358" s="75" t="s">
        <v>1</v>
      </c>
      <c r="I358" s="75" t="s">
        <v>1</v>
      </c>
      <c r="J358" s="75" t="s">
        <v>1</v>
      </c>
      <c r="K358" s="75" t="s">
        <v>1</v>
      </c>
      <c r="L358" s="76" t="str">
        <f t="shared" si="55"/>
        <v>Redes Urbanas</v>
      </c>
      <c r="M358" s="76" t="str">
        <f t="shared" si="55"/>
        <v>Redes Elétricas</v>
      </c>
      <c r="N358" s="76" t="str">
        <f t="shared" si="55"/>
        <v>Redes de Transmissão</v>
      </c>
      <c r="O358" s="76" t="str">
        <f t="shared" si="55"/>
        <v>Rede de Alta Tensão</v>
      </c>
      <c r="P358" s="77" t="s">
        <v>1625</v>
      </c>
      <c r="Q358" s="77" t="s">
        <v>1773</v>
      </c>
      <c r="R358" s="77" t="s">
        <v>1</v>
      </c>
      <c r="S358" s="77" t="str">
        <f t="shared" si="56"/>
        <v>Redes Urbanas</v>
      </c>
      <c r="T358" s="77" t="str">
        <f t="shared" si="56"/>
        <v>Redes Elétricas</v>
      </c>
      <c r="U358" s="77" t="str">
        <f t="shared" si="56"/>
        <v>Redes de Transmissão</v>
      </c>
      <c r="V358" s="77" t="s">
        <v>1964</v>
      </c>
      <c r="W358" s="78" t="str">
        <f t="shared" si="50"/>
        <v>Key-BRASIL-358</v>
      </c>
      <c r="X358" s="77" t="s">
        <v>1870</v>
      </c>
      <c r="Y358" s="81" t="s">
        <v>1922</v>
      </c>
      <c r="Z358" s="81" t="s">
        <v>1</v>
      </c>
      <c r="AA358" s="77" t="str">
        <f t="shared" si="51"/>
        <v>High Voltage transmission power line with more than 69 kV.</v>
      </c>
    </row>
    <row r="359" spans="1:27" ht="6.6" customHeight="1" x14ac:dyDescent="0.25">
      <c r="A359" s="72">
        <v>359</v>
      </c>
      <c r="B359" s="73" t="s">
        <v>1968</v>
      </c>
      <c r="C359" s="83" t="s">
        <v>1970</v>
      </c>
      <c r="D359" s="73" t="s">
        <v>1622</v>
      </c>
      <c r="E359" s="73" t="s">
        <v>1623</v>
      </c>
      <c r="F359" s="73" t="s">
        <v>1738</v>
      </c>
      <c r="G359" s="75" t="s">
        <v>1</v>
      </c>
      <c r="H359" s="75" t="s">
        <v>1</v>
      </c>
      <c r="I359" s="75" t="s">
        <v>1</v>
      </c>
      <c r="J359" s="75" t="s">
        <v>1</v>
      </c>
      <c r="K359" s="75" t="s">
        <v>1</v>
      </c>
      <c r="L359" s="76" t="str">
        <f t="shared" si="55"/>
        <v>Redes Urbanas</v>
      </c>
      <c r="M359" s="76" t="str">
        <f t="shared" si="55"/>
        <v>Redes Elétricas</v>
      </c>
      <c r="N359" s="76" t="str">
        <f t="shared" si="55"/>
        <v>Redes de Transmissão</v>
      </c>
      <c r="O359" s="76" t="str">
        <f t="shared" si="55"/>
        <v>Torre de Transmissão</v>
      </c>
      <c r="P359" s="77" t="s">
        <v>1739</v>
      </c>
      <c r="Q359" s="77" t="s">
        <v>1774</v>
      </c>
      <c r="R359" s="77" t="s">
        <v>1</v>
      </c>
      <c r="S359" s="77" t="str">
        <f t="shared" si="56"/>
        <v>Redes Urbanas</v>
      </c>
      <c r="T359" s="77" t="str">
        <f t="shared" si="56"/>
        <v>Redes Elétricas</v>
      </c>
      <c r="U359" s="77" t="str">
        <f t="shared" si="56"/>
        <v>Redes de Transmissão</v>
      </c>
      <c r="V359" s="77" t="s">
        <v>1964</v>
      </c>
      <c r="W359" s="78" t="str">
        <f t="shared" si="50"/>
        <v>Key-BRASIL-359</v>
      </c>
      <c r="X359" s="77" t="s">
        <v>1870</v>
      </c>
      <c r="Y359" s="81" t="s">
        <v>1922</v>
      </c>
      <c r="Z359" s="81" t="s">
        <v>1</v>
      </c>
      <c r="AA359" s="77" t="str">
        <f t="shared" si="51"/>
        <v>Metal support structure of the High Voltage transmission power line with more than 69 kV.</v>
      </c>
    </row>
    <row r="360" spans="1:27" ht="6.6" customHeight="1" x14ac:dyDescent="0.25">
      <c r="A360" s="72">
        <v>360</v>
      </c>
      <c r="B360" s="73" t="s">
        <v>1968</v>
      </c>
      <c r="C360" s="83" t="s">
        <v>1970</v>
      </c>
      <c r="D360" s="73" t="s">
        <v>1622</v>
      </c>
      <c r="E360" s="73" t="s">
        <v>1626</v>
      </c>
      <c r="F360" s="73" t="s">
        <v>1740</v>
      </c>
      <c r="G360" s="75" t="s">
        <v>1</v>
      </c>
      <c r="H360" s="75" t="s">
        <v>1</v>
      </c>
      <c r="I360" s="75" t="s">
        <v>1</v>
      </c>
      <c r="J360" s="75" t="s">
        <v>1</v>
      </c>
      <c r="K360" s="75" t="s">
        <v>1</v>
      </c>
      <c r="L360" s="76" t="str">
        <f t="shared" si="55"/>
        <v>Redes Urbanas</v>
      </c>
      <c r="M360" s="76" t="str">
        <f t="shared" si="55"/>
        <v>Redes Elétricas</v>
      </c>
      <c r="N360" s="76" t="str">
        <f t="shared" si="55"/>
        <v>Redes de Distribuição</v>
      </c>
      <c r="O360" s="76" t="str">
        <f t="shared" si="55"/>
        <v>Rede de MT Nua</v>
      </c>
      <c r="P360" s="77" t="s">
        <v>1745</v>
      </c>
      <c r="Q360" s="77" t="s">
        <v>1775</v>
      </c>
      <c r="R360" s="77" t="s">
        <v>1</v>
      </c>
      <c r="S360" s="77" t="str">
        <f t="shared" si="56"/>
        <v>Redes Urbanas</v>
      </c>
      <c r="T360" s="77" t="str">
        <f t="shared" si="56"/>
        <v>Redes Elétricas</v>
      </c>
      <c r="U360" s="77" t="str">
        <f t="shared" si="56"/>
        <v>Redes de Distribuição</v>
      </c>
      <c r="V360" s="77" t="s">
        <v>1964</v>
      </c>
      <c r="W360" s="78" t="str">
        <f t="shared" si="50"/>
        <v>Key-BRASIL-360</v>
      </c>
      <c r="X360" s="77" t="s">
        <v>1870</v>
      </c>
      <c r="Y360" s="81" t="s">
        <v>1922</v>
      </c>
      <c r="Z360" s="81" t="s">
        <v>1</v>
      </c>
      <c r="AA360" s="77" t="str">
        <f t="shared" si="51"/>
        <v>Physical structure of EE distribution circuits. Posts, supports with insulators and bare conductors of aluminum or copper on pin or rod insulators on concrete crossarms.</v>
      </c>
    </row>
    <row r="361" spans="1:27" ht="6.6" customHeight="1" x14ac:dyDescent="0.25">
      <c r="A361" s="72">
        <v>361</v>
      </c>
      <c r="B361" s="73" t="s">
        <v>1968</v>
      </c>
      <c r="C361" s="83" t="s">
        <v>1970</v>
      </c>
      <c r="D361" s="73" t="s">
        <v>1622</v>
      </c>
      <c r="E361" s="73" t="s">
        <v>1626</v>
      </c>
      <c r="F361" s="73" t="s">
        <v>1741</v>
      </c>
      <c r="G361" s="75" t="s">
        <v>1</v>
      </c>
      <c r="H361" s="75" t="s">
        <v>1</v>
      </c>
      <c r="I361" s="75" t="s">
        <v>1</v>
      </c>
      <c r="J361" s="75" t="s">
        <v>1</v>
      </c>
      <c r="K361" s="75" t="s">
        <v>1</v>
      </c>
      <c r="L361" s="76" t="str">
        <f t="shared" si="55"/>
        <v>Redes Urbanas</v>
      </c>
      <c r="M361" s="76" t="str">
        <f t="shared" si="55"/>
        <v>Redes Elétricas</v>
      </c>
      <c r="N361" s="76" t="str">
        <f t="shared" si="55"/>
        <v>Redes de Distribuição</v>
      </c>
      <c r="O361" s="76" t="str">
        <f t="shared" si="55"/>
        <v>Rede de MT Multiplex</v>
      </c>
      <c r="P361" s="77" t="s">
        <v>1746</v>
      </c>
      <c r="Q361" s="77" t="s">
        <v>1776</v>
      </c>
      <c r="R361" s="77" t="s">
        <v>1</v>
      </c>
      <c r="S361" s="77" t="str">
        <f t="shared" si="56"/>
        <v>Redes Urbanas</v>
      </c>
      <c r="T361" s="77" t="str">
        <f t="shared" si="56"/>
        <v>Redes Elétricas</v>
      </c>
      <c r="U361" s="77" t="str">
        <f t="shared" si="56"/>
        <v>Redes de Distribuição</v>
      </c>
      <c r="V361" s="77" t="s">
        <v>1964</v>
      </c>
      <c r="W361" s="78" t="str">
        <f t="shared" si="50"/>
        <v>Key-BRASIL-361</v>
      </c>
      <c r="X361" s="77" t="s">
        <v>1870</v>
      </c>
      <c r="Y361" s="81" t="s">
        <v>1922</v>
      </c>
      <c r="Z361" s="81" t="s">
        <v>1</v>
      </c>
      <c r="AA361" s="77" t="str">
        <f t="shared" si="51"/>
        <v>Physical structure of EE distribution circuits. Poles, supports with insulators and aluminium conductors covered by a layer of insulation, grouped in bundles.</v>
      </c>
    </row>
    <row r="362" spans="1:27" ht="6.6" customHeight="1" x14ac:dyDescent="0.25">
      <c r="A362" s="72">
        <v>362</v>
      </c>
      <c r="B362" s="73" t="s">
        <v>1968</v>
      </c>
      <c r="C362" s="83" t="s">
        <v>1970</v>
      </c>
      <c r="D362" s="73" t="s">
        <v>1622</v>
      </c>
      <c r="E362" s="73" t="s">
        <v>1626</v>
      </c>
      <c r="F362" s="73" t="s">
        <v>1742</v>
      </c>
      <c r="G362" s="75" t="s">
        <v>1</v>
      </c>
      <c r="H362" s="75" t="s">
        <v>1</v>
      </c>
      <c r="I362" s="75" t="s">
        <v>1</v>
      </c>
      <c r="J362" s="75" t="s">
        <v>1</v>
      </c>
      <c r="K362" s="75" t="s">
        <v>1</v>
      </c>
      <c r="L362" s="76" t="str">
        <f t="shared" si="55"/>
        <v>Redes Urbanas</v>
      </c>
      <c r="M362" s="76" t="str">
        <f t="shared" si="55"/>
        <v>Redes Elétricas</v>
      </c>
      <c r="N362" s="76" t="str">
        <f t="shared" si="55"/>
        <v>Redes de Distribuição</v>
      </c>
      <c r="O362" s="76" t="str">
        <f t="shared" si="55"/>
        <v>Rede de MT Compacta</v>
      </c>
      <c r="P362" s="77" t="s">
        <v>1758</v>
      </c>
      <c r="Q362" s="77" t="s">
        <v>1777</v>
      </c>
      <c r="R362" s="77" t="s">
        <v>1</v>
      </c>
      <c r="S362" s="77" t="str">
        <f t="shared" si="56"/>
        <v>Redes Urbanas</v>
      </c>
      <c r="T362" s="77" t="str">
        <f t="shared" si="56"/>
        <v>Redes Elétricas</v>
      </c>
      <c r="U362" s="77" t="str">
        <f t="shared" si="56"/>
        <v>Redes de Distribuição</v>
      </c>
      <c r="V362" s="77" t="s">
        <v>1964</v>
      </c>
      <c r="W362" s="78" t="str">
        <f t="shared" si="50"/>
        <v>Key-BRASIL-362</v>
      </c>
      <c r="X362" s="77" t="s">
        <v>1870</v>
      </c>
      <c r="Y362" s="81" t="s">
        <v>1922</v>
      </c>
      <c r="Z362" s="81" t="s">
        <v>1</v>
      </c>
      <c r="AA362" s="77" t="str">
        <f t="shared" si="51"/>
        <v>Physical structure of compact EE distribution circuits. Poles, supports with insulators and aluminium conductors covered by a layer of insulation, grouped in bundles.</v>
      </c>
    </row>
    <row r="363" spans="1:27" ht="6.6" customHeight="1" x14ac:dyDescent="0.25">
      <c r="A363" s="72">
        <v>363</v>
      </c>
      <c r="B363" s="73" t="s">
        <v>1968</v>
      </c>
      <c r="C363" s="83" t="s">
        <v>1970</v>
      </c>
      <c r="D363" s="73" t="s">
        <v>1622</v>
      </c>
      <c r="E363" s="73" t="s">
        <v>1626</v>
      </c>
      <c r="F363" s="73" t="s">
        <v>1744</v>
      </c>
      <c r="G363" s="75" t="s">
        <v>1</v>
      </c>
      <c r="H363" s="75" t="s">
        <v>1</v>
      </c>
      <c r="I363" s="75" t="s">
        <v>1</v>
      </c>
      <c r="J363" s="75" t="s">
        <v>1</v>
      </c>
      <c r="K363" s="75" t="s">
        <v>1</v>
      </c>
      <c r="L363" s="76" t="str">
        <f t="shared" si="55"/>
        <v>Redes Urbanas</v>
      </c>
      <c r="M363" s="76" t="str">
        <f t="shared" si="55"/>
        <v>Redes Elétricas</v>
      </c>
      <c r="N363" s="76" t="str">
        <f t="shared" si="55"/>
        <v>Redes de Distribuição</v>
      </c>
      <c r="O363" s="76" t="str">
        <f t="shared" si="55"/>
        <v>Poste de Concreto Circular</v>
      </c>
      <c r="P363" s="77" t="s">
        <v>1759</v>
      </c>
      <c r="Q363" s="77" t="s">
        <v>1778</v>
      </c>
      <c r="R363" s="77" t="s">
        <v>1</v>
      </c>
      <c r="S363" s="77" t="str">
        <f t="shared" si="56"/>
        <v>Redes Urbanas</v>
      </c>
      <c r="T363" s="77" t="str">
        <f t="shared" si="56"/>
        <v>Redes Elétricas</v>
      </c>
      <c r="U363" s="77" t="str">
        <f t="shared" si="56"/>
        <v>Redes de Distribuição</v>
      </c>
      <c r="V363" s="77" t="s">
        <v>1964</v>
      </c>
      <c r="W363" s="78" t="str">
        <f t="shared" si="50"/>
        <v>Key-BRASIL-363</v>
      </c>
      <c r="X363" s="77" t="s">
        <v>1870</v>
      </c>
      <c r="Y363" s="81" t="s">
        <v>1922</v>
      </c>
      <c r="Z363" s="81" t="s">
        <v>1</v>
      </c>
      <c r="AA363" s="77" t="str">
        <f t="shared" si="51"/>
        <v>See NBR 8451. Circular section concrete pole to conduct Medium Voltage overhead power grid.</v>
      </c>
    </row>
    <row r="364" spans="1:27" ht="6.6" customHeight="1" x14ac:dyDescent="0.25">
      <c r="A364" s="72">
        <v>364</v>
      </c>
      <c r="B364" s="73" t="s">
        <v>1968</v>
      </c>
      <c r="C364" s="83" t="s">
        <v>1970</v>
      </c>
      <c r="D364" s="73" t="s">
        <v>1622</v>
      </c>
      <c r="E364" s="73" t="s">
        <v>1626</v>
      </c>
      <c r="F364" s="73" t="s">
        <v>1743</v>
      </c>
      <c r="G364" s="75" t="s">
        <v>1</v>
      </c>
      <c r="H364" s="75" t="s">
        <v>1</v>
      </c>
      <c r="I364" s="75" t="s">
        <v>1</v>
      </c>
      <c r="J364" s="75" t="s">
        <v>1</v>
      </c>
      <c r="K364" s="75" t="s">
        <v>1</v>
      </c>
      <c r="L364" s="76" t="str">
        <f t="shared" si="55"/>
        <v>Redes Urbanas</v>
      </c>
      <c r="M364" s="76" t="str">
        <f t="shared" si="55"/>
        <v>Redes Elétricas</v>
      </c>
      <c r="N364" s="76" t="str">
        <f t="shared" si="55"/>
        <v>Redes de Distribuição</v>
      </c>
      <c r="O364" s="76" t="str">
        <f t="shared" si="55"/>
        <v>Poste de Concreto DT</v>
      </c>
      <c r="P364" s="77" t="s">
        <v>1760</v>
      </c>
      <c r="Q364" s="77" t="s">
        <v>1779</v>
      </c>
      <c r="R364" s="77" t="s">
        <v>1</v>
      </c>
      <c r="S364" s="77" t="str">
        <f t="shared" si="56"/>
        <v>Redes Urbanas</v>
      </c>
      <c r="T364" s="77" t="str">
        <f t="shared" si="56"/>
        <v>Redes Elétricas</v>
      </c>
      <c r="U364" s="77" t="str">
        <f t="shared" si="56"/>
        <v>Redes de Distribuição</v>
      </c>
      <c r="V364" s="77" t="s">
        <v>1964</v>
      </c>
      <c r="W364" s="78" t="str">
        <f t="shared" si="50"/>
        <v>Key-BRASIL-364</v>
      </c>
      <c r="X364" s="77" t="s">
        <v>1870</v>
      </c>
      <c r="Y364" s="81" t="s">
        <v>1922</v>
      </c>
      <c r="Z364" s="81" t="s">
        <v>1</v>
      </c>
      <c r="AA364" s="77" t="str">
        <f t="shared" si="51"/>
        <v>See NBR 8451. Double Tee (DT) section concrete pole to conduct Medium Voltage overhead power grid.</v>
      </c>
    </row>
    <row r="365" spans="1:27" ht="6.6" customHeight="1" x14ac:dyDescent="0.25">
      <c r="A365" s="72">
        <v>365</v>
      </c>
      <c r="B365" s="73" t="s">
        <v>1968</v>
      </c>
      <c r="C365" s="83" t="s">
        <v>1970</v>
      </c>
      <c r="D365" s="73" t="s">
        <v>1622</v>
      </c>
      <c r="E365" s="73" t="s">
        <v>1626</v>
      </c>
      <c r="F365" s="73" t="s">
        <v>1627</v>
      </c>
      <c r="G365" s="75" t="s">
        <v>1</v>
      </c>
      <c r="H365" s="75" t="s">
        <v>1</v>
      </c>
      <c r="I365" s="75" t="s">
        <v>1</v>
      </c>
      <c r="J365" s="75" t="s">
        <v>1</v>
      </c>
      <c r="K365" s="75" t="s">
        <v>1</v>
      </c>
      <c r="L365" s="76" t="str">
        <f t="shared" si="55"/>
        <v>Redes Urbanas</v>
      </c>
      <c r="M365" s="76" t="str">
        <f t="shared" si="55"/>
        <v>Redes Elétricas</v>
      </c>
      <c r="N365" s="76" t="str">
        <f t="shared" si="55"/>
        <v>Redes de Distribuição</v>
      </c>
      <c r="O365" s="76" t="str">
        <f t="shared" si="55"/>
        <v>Rede de MT Subterrânea</v>
      </c>
      <c r="P365" s="77" t="s">
        <v>1628</v>
      </c>
      <c r="Q365" s="77" t="s">
        <v>1780</v>
      </c>
      <c r="R365" s="77" t="s">
        <v>1</v>
      </c>
      <c r="S365" s="77" t="str">
        <f t="shared" si="56"/>
        <v>Redes Urbanas</v>
      </c>
      <c r="T365" s="77" t="str">
        <f t="shared" si="56"/>
        <v>Redes Elétricas</v>
      </c>
      <c r="U365" s="77" t="str">
        <f t="shared" si="56"/>
        <v>Redes de Distribuição</v>
      </c>
      <c r="V365" s="77" t="s">
        <v>1964</v>
      </c>
      <c r="W365" s="78" t="str">
        <f t="shared" si="50"/>
        <v>Key-BRASIL-365</v>
      </c>
      <c r="X365" s="77" t="s">
        <v>1870</v>
      </c>
      <c r="Y365" s="81" t="s">
        <v>1922</v>
      </c>
      <c r="Z365" s="81" t="s">
        <v>1</v>
      </c>
      <c r="AA365" s="77" t="str">
        <f t="shared" si="51"/>
        <v>Medium Voltage underground electrical network between 1 kV and 69 kV.</v>
      </c>
    </row>
    <row r="366" spans="1:27" ht="6.6" customHeight="1" x14ac:dyDescent="0.25">
      <c r="A366" s="72">
        <v>366</v>
      </c>
      <c r="B366" s="73" t="s">
        <v>1968</v>
      </c>
      <c r="C366" s="83" t="s">
        <v>1970</v>
      </c>
      <c r="D366" s="73" t="s">
        <v>1622</v>
      </c>
      <c r="E366" s="73" t="s">
        <v>1626</v>
      </c>
      <c r="F366" s="73" t="s">
        <v>1629</v>
      </c>
      <c r="G366" s="75" t="s">
        <v>1</v>
      </c>
      <c r="H366" s="75" t="s">
        <v>1</v>
      </c>
      <c r="I366" s="75" t="s">
        <v>1</v>
      </c>
      <c r="J366" s="75" t="s">
        <v>1</v>
      </c>
      <c r="K366" s="75" t="s">
        <v>1</v>
      </c>
      <c r="L366" s="76" t="str">
        <f t="shared" si="55"/>
        <v>Redes Urbanas</v>
      </c>
      <c r="M366" s="76" t="str">
        <f t="shared" si="55"/>
        <v>Redes Elétricas</v>
      </c>
      <c r="N366" s="76" t="str">
        <f t="shared" si="55"/>
        <v>Redes de Distribuição</v>
      </c>
      <c r="O366" s="76" t="str">
        <f t="shared" si="55"/>
        <v>Rede de BT Aérea</v>
      </c>
      <c r="P366" s="77" t="s">
        <v>1630</v>
      </c>
      <c r="Q366" s="77" t="s">
        <v>1781</v>
      </c>
      <c r="R366" s="77" t="s">
        <v>1</v>
      </c>
      <c r="S366" s="77" t="str">
        <f t="shared" si="56"/>
        <v>Redes Urbanas</v>
      </c>
      <c r="T366" s="77" t="str">
        <f t="shared" si="56"/>
        <v>Redes Elétricas</v>
      </c>
      <c r="U366" s="77" t="str">
        <f t="shared" si="56"/>
        <v>Redes de Distribuição</v>
      </c>
      <c r="V366" s="77" t="s">
        <v>1964</v>
      </c>
      <c r="W366" s="78" t="str">
        <f t="shared" si="50"/>
        <v>Key-BRASIL-366</v>
      </c>
      <c r="X366" s="77" t="s">
        <v>1870</v>
      </c>
      <c r="Y366" s="81" t="s">
        <v>1922</v>
      </c>
      <c r="Z366" s="81" t="s">
        <v>1</v>
      </c>
      <c r="AA366" s="77" t="str">
        <f t="shared" si="51"/>
        <v>Low Voltage overhead power grid up to 1,000 volts (1Kv).</v>
      </c>
    </row>
    <row r="367" spans="1:27" ht="6.6" customHeight="1" x14ac:dyDescent="0.25">
      <c r="A367" s="72">
        <v>367</v>
      </c>
      <c r="B367" s="73" t="s">
        <v>1968</v>
      </c>
      <c r="C367" s="83" t="s">
        <v>1970</v>
      </c>
      <c r="D367" s="73" t="s">
        <v>1622</v>
      </c>
      <c r="E367" s="73" t="s">
        <v>1626</v>
      </c>
      <c r="F367" s="73" t="s">
        <v>1631</v>
      </c>
      <c r="G367" s="75" t="s">
        <v>1</v>
      </c>
      <c r="H367" s="75" t="s">
        <v>1</v>
      </c>
      <c r="I367" s="75" t="s">
        <v>1</v>
      </c>
      <c r="J367" s="75" t="s">
        <v>1</v>
      </c>
      <c r="K367" s="75" t="s">
        <v>1</v>
      </c>
      <c r="L367" s="76" t="str">
        <f t="shared" si="55"/>
        <v>Redes Urbanas</v>
      </c>
      <c r="M367" s="76" t="str">
        <f t="shared" si="55"/>
        <v>Redes Elétricas</v>
      </c>
      <c r="N367" s="76" t="str">
        <f t="shared" si="55"/>
        <v>Redes de Distribuição</v>
      </c>
      <c r="O367" s="76" t="str">
        <f t="shared" si="55"/>
        <v>Rede de BT Subterrânea</v>
      </c>
      <c r="P367" s="77" t="s">
        <v>1632</v>
      </c>
      <c r="Q367" s="77" t="s">
        <v>1782</v>
      </c>
      <c r="R367" s="77" t="s">
        <v>1</v>
      </c>
      <c r="S367" s="77" t="str">
        <f t="shared" si="56"/>
        <v>Redes Urbanas</v>
      </c>
      <c r="T367" s="77" t="str">
        <f t="shared" si="56"/>
        <v>Redes Elétricas</v>
      </c>
      <c r="U367" s="77" t="str">
        <f t="shared" si="56"/>
        <v>Redes de Distribuição</v>
      </c>
      <c r="V367" s="77" t="s">
        <v>1964</v>
      </c>
      <c r="W367" s="78" t="str">
        <f t="shared" si="50"/>
        <v>Key-BRASIL-367</v>
      </c>
      <c r="X367" s="77" t="s">
        <v>1870</v>
      </c>
      <c r="Y367" s="81" t="s">
        <v>1922</v>
      </c>
      <c r="Z367" s="81" t="s">
        <v>1</v>
      </c>
      <c r="AA367" s="77" t="str">
        <f t="shared" si="51"/>
        <v>Low Voltage underground electrical network up to 1,000 volts (1Kv).</v>
      </c>
    </row>
    <row r="368" spans="1:27" ht="6.6" customHeight="1" x14ac:dyDescent="0.25">
      <c r="A368" s="72">
        <v>368</v>
      </c>
      <c r="B368" s="73" t="s">
        <v>1968</v>
      </c>
      <c r="C368" s="83" t="s">
        <v>1970</v>
      </c>
      <c r="D368" s="73" t="s">
        <v>1622</v>
      </c>
      <c r="E368" s="73" t="s">
        <v>1757</v>
      </c>
      <c r="F368" s="73" t="s">
        <v>1747</v>
      </c>
      <c r="G368" s="75" t="s">
        <v>1</v>
      </c>
      <c r="H368" s="75" t="s">
        <v>1</v>
      </c>
      <c r="I368" s="75" t="s">
        <v>1</v>
      </c>
      <c r="J368" s="75" t="s">
        <v>1</v>
      </c>
      <c r="K368" s="75" t="s">
        <v>1</v>
      </c>
      <c r="L368" s="76" t="str">
        <f t="shared" si="55"/>
        <v>Redes Urbanas</v>
      </c>
      <c r="M368" s="76" t="str">
        <f t="shared" si="55"/>
        <v>Redes Elétricas</v>
      </c>
      <c r="N368" s="76" t="str">
        <f t="shared" si="55"/>
        <v>Conexões de EE</v>
      </c>
      <c r="O368" s="76" t="str">
        <f t="shared" si="55"/>
        <v>Ponto de Entrega</v>
      </c>
      <c r="P368" s="77" t="s">
        <v>1755</v>
      </c>
      <c r="Q368" s="77" t="s">
        <v>1783</v>
      </c>
      <c r="R368" s="77" t="s">
        <v>1</v>
      </c>
      <c r="S368" s="77" t="str">
        <f t="shared" si="56"/>
        <v>Redes Urbanas</v>
      </c>
      <c r="T368" s="77" t="str">
        <f t="shared" si="56"/>
        <v>Redes Elétricas</v>
      </c>
      <c r="U368" s="77" t="str">
        <f t="shared" si="56"/>
        <v>Conexões de EE</v>
      </c>
      <c r="V368" s="77" t="s">
        <v>1964</v>
      </c>
      <c r="W368" s="78" t="str">
        <f t="shared" si="50"/>
        <v>Key-BRASIL-368</v>
      </c>
      <c r="X368" s="77" t="s">
        <v>1870</v>
      </c>
      <c r="Y368" s="81" t="s">
        <v>1922</v>
      </c>
      <c r="Z368" s="81" t="s">
        <v>1</v>
      </c>
      <c r="AA368" s="77" t="str">
        <f t="shared" si="51"/>
        <v>Consult NBR 5410 Standard. Point of connection of the electrical system of the electricity distribution company with the electrical installation of the consumer unit(s) and which delimits the responsibilities of the distributor, defined by the regulatory authority.</v>
      </c>
    </row>
    <row r="369" spans="1:27" ht="6.6" customHeight="1" x14ac:dyDescent="0.25">
      <c r="A369" s="72">
        <v>369</v>
      </c>
      <c r="B369" s="73" t="s">
        <v>1968</v>
      </c>
      <c r="C369" s="83" t="s">
        <v>1970</v>
      </c>
      <c r="D369" s="73" t="s">
        <v>1622</v>
      </c>
      <c r="E369" s="73" t="s">
        <v>1757</v>
      </c>
      <c r="F369" s="73" t="s">
        <v>1748</v>
      </c>
      <c r="G369" s="75" t="s">
        <v>1</v>
      </c>
      <c r="H369" s="75" t="s">
        <v>1</v>
      </c>
      <c r="I369" s="75" t="s">
        <v>1</v>
      </c>
      <c r="J369" s="75" t="s">
        <v>1</v>
      </c>
      <c r="K369" s="75" t="s">
        <v>1</v>
      </c>
      <c r="L369" s="76" t="str">
        <f t="shared" si="55"/>
        <v>Redes Urbanas</v>
      </c>
      <c r="M369" s="76" t="str">
        <f t="shared" si="55"/>
        <v>Redes Elétricas</v>
      </c>
      <c r="N369" s="76" t="str">
        <f t="shared" si="55"/>
        <v>Conexões de EE</v>
      </c>
      <c r="O369" s="76" t="str">
        <f t="shared" si="55"/>
        <v>Ponto de Entrada</v>
      </c>
      <c r="P369" s="77" t="s">
        <v>1756</v>
      </c>
      <c r="Q369" s="77" t="s">
        <v>1784</v>
      </c>
      <c r="R369" s="77" t="s">
        <v>1</v>
      </c>
      <c r="S369" s="77" t="str">
        <f t="shared" si="56"/>
        <v>Redes Urbanas</v>
      </c>
      <c r="T369" s="77" t="str">
        <f t="shared" si="56"/>
        <v>Redes Elétricas</v>
      </c>
      <c r="U369" s="77" t="str">
        <f t="shared" si="56"/>
        <v>Conexões de EE</v>
      </c>
      <c r="V369" s="77" t="s">
        <v>1964</v>
      </c>
      <c r="W369" s="78" t="str">
        <f t="shared" si="50"/>
        <v>Key-BRASIL-369</v>
      </c>
      <c r="X369" s="77" t="s">
        <v>1870</v>
      </c>
      <c r="Y369" s="81" t="s">
        <v>1922</v>
      </c>
      <c r="Z369" s="81" t="s">
        <v>1</v>
      </c>
      <c r="AA369" s="77" t="str">
        <f t="shared" si="51"/>
        <v>Consult NBR 5410 Standard. Point at which an external line penetrates the building.</v>
      </c>
    </row>
    <row r="370" spans="1:27" ht="6.6" customHeight="1" x14ac:dyDescent="0.25">
      <c r="A370" s="72">
        <v>370</v>
      </c>
      <c r="B370" s="73" t="s">
        <v>1968</v>
      </c>
      <c r="C370" s="83" t="s">
        <v>1970</v>
      </c>
      <c r="D370" s="73" t="s">
        <v>1622</v>
      </c>
      <c r="E370" s="73" t="s">
        <v>1757</v>
      </c>
      <c r="F370" s="73" t="s">
        <v>1749</v>
      </c>
      <c r="G370" s="75" t="s">
        <v>1</v>
      </c>
      <c r="H370" s="75" t="s">
        <v>1</v>
      </c>
      <c r="I370" s="75" t="s">
        <v>1</v>
      </c>
      <c r="J370" s="75" t="s">
        <v>1</v>
      </c>
      <c r="K370" s="75" t="s">
        <v>1</v>
      </c>
      <c r="L370" s="76" t="str">
        <f t="shared" si="55"/>
        <v>Redes Urbanas</v>
      </c>
      <c r="M370" s="76" t="str">
        <f t="shared" si="55"/>
        <v>Redes Elétricas</v>
      </c>
      <c r="N370" s="76" t="str">
        <f t="shared" si="55"/>
        <v>Conexões de EE</v>
      </c>
      <c r="O370" s="76" t="str">
        <f t="shared" si="55"/>
        <v>Esquema TN</v>
      </c>
      <c r="P370" s="77" t="s">
        <v>1752</v>
      </c>
      <c r="Q370" s="77" t="s">
        <v>1785</v>
      </c>
      <c r="R370" s="77" t="s">
        <v>1</v>
      </c>
      <c r="S370" s="77" t="str">
        <f t="shared" si="56"/>
        <v>Redes Urbanas</v>
      </c>
      <c r="T370" s="77" t="str">
        <f t="shared" si="56"/>
        <v>Redes Elétricas</v>
      </c>
      <c r="U370" s="77" t="str">
        <f t="shared" si="56"/>
        <v>Conexões de EE</v>
      </c>
      <c r="V370" s="77" t="s">
        <v>1964</v>
      </c>
      <c r="W370" s="78" t="str">
        <f t="shared" si="50"/>
        <v>Key-BRASIL-370</v>
      </c>
      <c r="X370" s="77" t="s">
        <v>1870</v>
      </c>
      <c r="Y370" s="81" t="s">
        <v>1922</v>
      </c>
      <c r="Z370" s="81" t="s">
        <v>1</v>
      </c>
      <c r="AA370" s="77" t="str">
        <f t="shared" si="51"/>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1" spans="1:27" ht="6.6" customHeight="1" x14ac:dyDescent="0.25">
      <c r="A371" s="72">
        <v>371</v>
      </c>
      <c r="B371" s="73" t="s">
        <v>1968</v>
      </c>
      <c r="C371" s="83" t="s">
        <v>1970</v>
      </c>
      <c r="D371" s="73" t="s">
        <v>1622</v>
      </c>
      <c r="E371" s="73" t="s">
        <v>1757</v>
      </c>
      <c r="F371" s="73" t="s">
        <v>1750</v>
      </c>
      <c r="G371" s="75" t="s">
        <v>1</v>
      </c>
      <c r="H371" s="75" t="s">
        <v>1</v>
      </c>
      <c r="I371" s="75" t="s">
        <v>1</v>
      </c>
      <c r="J371" s="75" t="s">
        <v>1</v>
      </c>
      <c r="K371" s="75" t="s">
        <v>1</v>
      </c>
      <c r="L371" s="76" t="str">
        <f t="shared" si="55"/>
        <v>Redes Urbanas</v>
      </c>
      <c r="M371" s="76" t="str">
        <f t="shared" si="55"/>
        <v>Redes Elétricas</v>
      </c>
      <c r="N371" s="76" t="str">
        <f t="shared" si="55"/>
        <v>Conexões de EE</v>
      </c>
      <c r="O371" s="76" t="str">
        <f t="shared" si="55"/>
        <v>Esquema TT</v>
      </c>
      <c r="P371" s="77" t="s">
        <v>1753</v>
      </c>
      <c r="Q371" s="77" t="s">
        <v>1786</v>
      </c>
      <c r="R371" s="77" t="s">
        <v>1</v>
      </c>
      <c r="S371" s="77" t="str">
        <f t="shared" si="56"/>
        <v>Redes Urbanas</v>
      </c>
      <c r="T371" s="77" t="str">
        <f t="shared" si="56"/>
        <v>Redes Elétricas</v>
      </c>
      <c r="U371" s="77" t="str">
        <f t="shared" si="56"/>
        <v>Conexões de EE</v>
      </c>
      <c r="V371" s="77" t="s">
        <v>1964</v>
      </c>
      <c r="W371" s="78" t="str">
        <f t="shared" si="50"/>
        <v>Key-BRASIL-371</v>
      </c>
      <c r="X371" s="77" t="s">
        <v>1870</v>
      </c>
      <c r="Y371" s="81" t="s">
        <v>1922</v>
      </c>
      <c r="Z371" s="81" t="s">
        <v>1</v>
      </c>
      <c r="AA371" s="77" t="str">
        <f t="shared" si="51"/>
        <v>Consult NBR 5410 Standard. Directly grounded supply point, with the installation grounds connected to grounding electrode(s) electrically distinct from the grounding electrode of the supply</v>
      </c>
    </row>
    <row r="372" spans="1:27" ht="6.6" customHeight="1" x14ac:dyDescent="0.25">
      <c r="A372" s="72">
        <v>372</v>
      </c>
      <c r="B372" s="73" t="s">
        <v>1968</v>
      </c>
      <c r="C372" s="83" t="s">
        <v>1970</v>
      </c>
      <c r="D372" s="73" t="s">
        <v>1622</v>
      </c>
      <c r="E372" s="73" t="s">
        <v>1757</v>
      </c>
      <c r="F372" s="73" t="s">
        <v>1751</v>
      </c>
      <c r="G372" s="75" t="s">
        <v>1</v>
      </c>
      <c r="H372" s="75" t="s">
        <v>1</v>
      </c>
      <c r="I372" s="75" t="s">
        <v>1</v>
      </c>
      <c r="J372" s="75" t="s">
        <v>1</v>
      </c>
      <c r="K372" s="75" t="s">
        <v>1</v>
      </c>
      <c r="L372" s="76" t="str">
        <f t="shared" si="55"/>
        <v>Redes Urbanas</v>
      </c>
      <c r="M372" s="76" t="str">
        <f t="shared" si="55"/>
        <v>Redes Elétricas</v>
      </c>
      <c r="N372" s="76" t="str">
        <f t="shared" si="55"/>
        <v>Conexões de EE</v>
      </c>
      <c r="O372" s="76" t="str">
        <f t="shared" si="55"/>
        <v>Esquema TI</v>
      </c>
      <c r="P372" s="77" t="s">
        <v>1754</v>
      </c>
      <c r="Q372" s="77" t="s">
        <v>1787</v>
      </c>
      <c r="R372" s="77" t="s">
        <v>1</v>
      </c>
      <c r="S372" s="77" t="str">
        <f t="shared" si="56"/>
        <v>Redes Urbanas</v>
      </c>
      <c r="T372" s="77" t="str">
        <f t="shared" si="56"/>
        <v>Redes Elétricas</v>
      </c>
      <c r="U372" s="77" t="str">
        <f t="shared" si="56"/>
        <v>Conexões de EE</v>
      </c>
      <c r="V372" s="77" t="s">
        <v>1964</v>
      </c>
      <c r="W372" s="78" t="str">
        <f t="shared" si="50"/>
        <v>Key-BRASIL-372</v>
      </c>
      <c r="X372" s="77" t="s">
        <v>1870</v>
      </c>
      <c r="Y372" s="81" t="s">
        <v>1923</v>
      </c>
      <c r="Z372" s="81" t="s">
        <v>1</v>
      </c>
      <c r="AA372" s="77" t="str">
        <f t="shared" si="51"/>
        <v>Consult NBR 5410 Standard. All living parts are isolated from the earth or a feed point is grounded via impedance. The masses of the installation are grounded.</v>
      </c>
    </row>
    <row r="373" spans="1:27" ht="6.6" customHeight="1" x14ac:dyDescent="0.25">
      <c r="A373" s="72">
        <v>373</v>
      </c>
      <c r="B373" s="73" t="s">
        <v>1968</v>
      </c>
      <c r="C373" s="83" t="s">
        <v>1970</v>
      </c>
      <c r="D373" s="73" t="s">
        <v>1789</v>
      </c>
      <c r="E373" s="73" t="s">
        <v>1633</v>
      </c>
      <c r="F373" s="73" t="s">
        <v>1675</v>
      </c>
      <c r="G373" s="75" t="s">
        <v>1</v>
      </c>
      <c r="H373" s="75" t="s">
        <v>1</v>
      </c>
      <c r="I373" s="75" t="s">
        <v>1</v>
      </c>
      <c r="J373" s="75" t="s">
        <v>1</v>
      </c>
      <c r="K373" s="75" t="s">
        <v>1</v>
      </c>
      <c r="L373" s="76" t="str">
        <f t="shared" si="55"/>
        <v>Redes Urbanas</v>
      </c>
      <c r="M373" s="76" t="str">
        <f t="shared" si="55"/>
        <v>Redes Iluminação</v>
      </c>
      <c r="N373" s="76" t="str">
        <f t="shared" si="55"/>
        <v>Redes de Iluminação</v>
      </c>
      <c r="O373" s="76" t="str">
        <f t="shared" si="55"/>
        <v>Rede Pública de Iluminação</v>
      </c>
      <c r="P373" s="77" t="s">
        <v>1634</v>
      </c>
      <c r="Q373" s="77" t="s">
        <v>1788</v>
      </c>
      <c r="R373" s="77" t="s">
        <v>1</v>
      </c>
      <c r="S373" s="77" t="str">
        <f t="shared" si="56"/>
        <v>Redes Urbanas</v>
      </c>
      <c r="T373" s="77" t="str">
        <f t="shared" si="56"/>
        <v>Redes Iluminação</v>
      </c>
      <c r="U373" s="77" t="str">
        <f t="shared" si="56"/>
        <v>Redes de Iluminação</v>
      </c>
      <c r="V373" s="77" t="s">
        <v>1964</v>
      </c>
      <c r="W373" s="78" t="str">
        <f t="shared" si="50"/>
        <v>Key-BRASIL-373</v>
      </c>
      <c r="X373" s="77" t="s">
        <v>1870</v>
      </c>
      <c r="Y373" s="81" t="s">
        <v>1924</v>
      </c>
      <c r="Z373" s="81" t="s">
        <v>1</v>
      </c>
      <c r="AA373" s="77" t="str">
        <f t="shared" si="51"/>
        <v>Urban public lighting electrical network.</v>
      </c>
    </row>
    <row r="374" spans="1:27" ht="6.6" customHeight="1" x14ac:dyDescent="0.25">
      <c r="A374" s="72">
        <v>374</v>
      </c>
      <c r="B374" s="73" t="s">
        <v>1968</v>
      </c>
      <c r="C374" s="83" t="s">
        <v>1970</v>
      </c>
      <c r="D374" s="73" t="s">
        <v>1789</v>
      </c>
      <c r="E374" s="73" t="s">
        <v>1633</v>
      </c>
      <c r="F374" s="73" t="s">
        <v>1676</v>
      </c>
      <c r="G374" s="75" t="s">
        <v>1</v>
      </c>
      <c r="H374" s="75" t="s">
        <v>1</v>
      </c>
      <c r="I374" s="75" t="s">
        <v>1</v>
      </c>
      <c r="J374" s="75" t="s">
        <v>1</v>
      </c>
      <c r="K374" s="75" t="s">
        <v>1</v>
      </c>
      <c r="L374" s="76" t="str">
        <f t="shared" si="55"/>
        <v>Redes Urbanas</v>
      </c>
      <c r="M374" s="76" t="str">
        <f t="shared" si="55"/>
        <v>Redes Iluminação</v>
      </c>
      <c r="N374" s="76" t="str">
        <f t="shared" si="55"/>
        <v>Redes de Iluminação</v>
      </c>
      <c r="O374" s="76" t="str">
        <f t="shared" si="55"/>
        <v>Rede Pública de Sinalização</v>
      </c>
      <c r="P374" s="77" t="s">
        <v>1635</v>
      </c>
      <c r="Q374" s="77" t="s">
        <v>1636</v>
      </c>
      <c r="R374" s="77" t="s">
        <v>1</v>
      </c>
      <c r="S374" s="77" t="str">
        <f t="shared" si="56"/>
        <v>Redes Urbanas</v>
      </c>
      <c r="T374" s="77" t="str">
        <f t="shared" si="56"/>
        <v>Redes Iluminação</v>
      </c>
      <c r="U374" s="77" t="str">
        <f t="shared" si="56"/>
        <v>Redes de Iluminação</v>
      </c>
      <c r="V374" s="77" t="s">
        <v>1964</v>
      </c>
      <c r="W374" s="78" t="str">
        <f t="shared" si="50"/>
        <v>Key-BRASIL-374</v>
      </c>
      <c r="X374" s="77" t="s">
        <v>1870</v>
      </c>
      <c r="Y374" s="81" t="s">
        <v>1925</v>
      </c>
      <c r="Z374" s="81" t="s">
        <v>1</v>
      </c>
      <c r="AA374" s="77" t="str">
        <f t="shared" si="51"/>
        <v>Urban public signaling electrical network (traffic signals and totems).</v>
      </c>
    </row>
    <row r="375" spans="1:27" ht="6.6" customHeight="1" x14ac:dyDescent="0.25">
      <c r="A375" s="72">
        <v>375</v>
      </c>
      <c r="B375" s="73" t="s">
        <v>1968</v>
      </c>
      <c r="C375" s="83" t="s">
        <v>1970</v>
      </c>
      <c r="D375" s="73" t="s">
        <v>1663</v>
      </c>
      <c r="E375" s="73" t="s">
        <v>1672</v>
      </c>
      <c r="F375" s="73" t="s">
        <v>1664</v>
      </c>
      <c r="G375" s="75" t="s">
        <v>1</v>
      </c>
      <c r="H375" s="75" t="s">
        <v>1</v>
      </c>
      <c r="I375" s="75" t="s">
        <v>1</v>
      </c>
      <c r="J375" s="75" t="s">
        <v>1</v>
      </c>
      <c r="K375" s="75" t="s">
        <v>1</v>
      </c>
      <c r="L375" s="76" t="str">
        <f t="shared" ref="L375:O390" si="57">SUBSTITUTE(CONCATENATE("", C375), ".", " ")</f>
        <v>Redes Urbanas</v>
      </c>
      <c r="M375" s="76" t="str">
        <f t="shared" si="57"/>
        <v>Redes de Telecom</v>
      </c>
      <c r="N375" s="76" t="str">
        <f t="shared" si="57"/>
        <v>Redes de Fibra Ótica</v>
      </c>
      <c r="O375" s="76" t="str">
        <f t="shared" si="57"/>
        <v>Rede Fibra Ótica Aérea</v>
      </c>
      <c r="P375" s="77" t="s">
        <v>1637</v>
      </c>
      <c r="Q375" s="77" t="s">
        <v>1712</v>
      </c>
      <c r="R375" s="77" t="s">
        <v>1</v>
      </c>
      <c r="S375" s="77" t="str">
        <f t="shared" si="56"/>
        <v>Redes Urbanas</v>
      </c>
      <c r="T375" s="77" t="str">
        <f t="shared" si="56"/>
        <v>Redes de Telecom</v>
      </c>
      <c r="U375" s="77" t="str">
        <f t="shared" si="56"/>
        <v>Redes de Fibra Ótica</v>
      </c>
      <c r="V375" s="77" t="s">
        <v>1964</v>
      </c>
      <c r="W375" s="78" t="str">
        <f t="shared" si="50"/>
        <v>Key-BRASIL-375</v>
      </c>
      <c r="X375" s="77" t="s">
        <v>1870</v>
      </c>
      <c r="Y375" s="81" t="s">
        <v>1925</v>
      </c>
      <c r="Z375" s="81" t="s">
        <v>1</v>
      </c>
      <c r="AA375" s="77" t="str">
        <f t="shared" si="51"/>
        <v>Aerial Fiber Optic Network.</v>
      </c>
    </row>
    <row r="376" spans="1:27" ht="6.6" customHeight="1" x14ac:dyDescent="0.25">
      <c r="A376" s="72">
        <v>376</v>
      </c>
      <c r="B376" s="73" t="s">
        <v>1968</v>
      </c>
      <c r="C376" s="83" t="s">
        <v>1970</v>
      </c>
      <c r="D376" s="73" t="s">
        <v>1663</v>
      </c>
      <c r="E376" s="73" t="s">
        <v>1672</v>
      </c>
      <c r="F376" s="73" t="s">
        <v>1665</v>
      </c>
      <c r="G376" s="75" t="s">
        <v>1</v>
      </c>
      <c r="H376" s="75" t="s">
        <v>1</v>
      </c>
      <c r="I376" s="75" t="s">
        <v>1</v>
      </c>
      <c r="J376" s="75" t="s">
        <v>1</v>
      </c>
      <c r="K376" s="75" t="s">
        <v>1</v>
      </c>
      <c r="L376" s="76" t="str">
        <f t="shared" si="57"/>
        <v>Redes Urbanas</v>
      </c>
      <c r="M376" s="76" t="str">
        <f t="shared" si="57"/>
        <v>Redes de Telecom</v>
      </c>
      <c r="N376" s="76" t="str">
        <f t="shared" si="57"/>
        <v>Redes de Fibra Ótica</v>
      </c>
      <c r="O376" s="76" t="str">
        <f t="shared" si="57"/>
        <v>Rede Fibra Ótica Subterrânea</v>
      </c>
      <c r="P376" s="77" t="s">
        <v>1642</v>
      </c>
      <c r="Q376" s="77" t="s">
        <v>1713</v>
      </c>
      <c r="R376" s="77" t="s">
        <v>1</v>
      </c>
      <c r="S376" s="77" t="str">
        <f t="shared" si="56"/>
        <v>Redes Urbanas</v>
      </c>
      <c r="T376" s="77" t="str">
        <f t="shared" si="56"/>
        <v>Redes de Telecom</v>
      </c>
      <c r="U376" s="77" t="str">
        <f t="shared" si="56"/>
        <v>Redes de Fibra Ótica</v>
      </c>
      <c r="V376" s="77" t="s">
        <v>1964</v>
      </c>
      <c r="W376" s="78" t="str">
        <f t="shared" si="50"/>
        <v>Key-BRASIL-376</v>
      </c>
      <c r="X376" s="77" t="s">
        <v>1870</v>
      </c>
      <c r="Y376" s="81" t="s">
        <v>1926</v>
      </c>
      <c r="Z376" s="81" t="s">
        <v>1</v>
      </c>
      <c r="AA376" s="77" t="str">
        <f t="shared" si="51"/>
        <v>Underground telephone network.</v>
      </c>
    </row>
    <row r="377" spans="1:27" ht="6.6" customHeight="1" x14ac:dyDescent="0.25">
      <c r="A377" s="72">
        <v>377</v>
      </c>
      <c r="B377" s="73" t="s">
        <v>1968</v>
      </c>
      <c r="C377" s="83" t="s">
        <v>1970</v>
      </c>
      <c r="D377" s="73" t="s">
        <v>1663</v>
      </c>
      <c r="E377" s="73" t="s">
        <v>1673</v>
      </c>
      <c r="F377" s="73" t="s">
        <v>1666</v>
      </c>
      <c r="G377" s="75" t="s">
        <v>1</v>
      </c>
      <c r="H377" s="75" t="s">
        <v>1</v>
      </c>
      <c r="I377" s="75" t="s">
        <v>1</v>
      </c>
      <c r="J377" s="75" t="s">
        <v>1</v>
      </c>
      <c r="K377" s="75" t="s">
        <v>1</v>
      </c>
      <c r="L377" s="76" t="str">
        <f t="shared" si="57"/>
        <v>Redes Urbanas</v>
      </c>
      <c r="M377" s="76" t="str">
        <f t="shared" si="57"/>
        <v>Redes de Telecom</v>
      </c>
      <c r="N377" s="76" t="str">
        <f t="shared" si="57"/>
        <v>Redes de Dados</v>
      </c>
      <c r="O377" s="76" t="str">
        <f t="shared" si="57"/>
        <v>Rede de Dados Aérea</v>
      </c>
      <c r="P377" s="77" t="s">
        <v>1639</v>
      </c>
      <c r="Q377" s="77" t="s">
        <v>1714</v>
      </c>
      <c r="R377" s="77" t="s">
        <v>1</v>
      </c>
      <c r="S377" s="77" t="str">
        <f t="shared" si="56"/>
        <v>Redes Urbanas</v>
      </c>
      <c r="T377" s="77" t="str">
        <f t="shared" si="56"/>
        <v>Redes de Telecom</v>
      </c>
      <c r="U377" s="77" t="str">
        <f t="shared" si="56"/>
        <v>Redes de Dados</v>
      </c>
      <c r="V377" s="77" t="s">
        <v>1964</v>
      </c>
      <c r="W377" s="78" t="str">
        <f t="shared" si="50"/>
        <v>Key-BRASIL-377</v>
      </c>
      <c r="X377" s="77" t="s">
        <v>1870</v>
      </c>
      <c r="Y377" s="81" t="s">
        <v>1926</v>
      </c>
      <c r="Z377" s="81" t="s">
        <v>1</v>
      </c>
      <c r="AA377" s="77" t="str">
        <f t="shared" si="51"/>
        <v>Network data overhead logic.</v>
      </c>
    </row>
    <row r="378" spans="1:27" ht="6.6" customHeight="1" x14ac:dyDescent="0.25">
      <c r="A378" s="72">
        <v>378</v>
      </c>
      <c r="B378" s="73" t="s">
        <v>1968</v>
      </c>
      <c r="C378" s="83" t="s">
        <v>1970</v>
      </c>
      <c r="D378" s="73" t="s">
        <v>1663</v>
      </c>
      <c r="E378" s="73" t="s">
        <v>1673</v>
      </c>
      <c r="F378" s="73" t="s">
        <v>1667</v>
      </c>
      <c r="G378" s="75" t="s">
        <v>1</v>
      </c>
      <c r="H378" s="75" t="s">
        <v>1</v>
      </c>
      <c r="I378" s="75" t="s">
        <v>1</v>
      </c>
      <c r="J378" s="75" t="s">
        <v>1</v>
      </c>
      <c r="K378" s="75" t="s">
        <v>1</v>
      </c>
      <c r="L378" s="76" t="str">
        <f t="shared" si="57"/>
        <v>Redes Urbanas</v>
      </c>
      <c r="M378" s="76" t="str">
        <f t="shared" si="57"/>
        <v>Redes de Telecom</v>
      </c>
      <c r="N378" s="76" t="str">
        <f t="shared" si="57"/>
        <v>Redes de Dados</v>
      </c>
      <c r="O378" s="76" t="str">
        <f t="shared" si="57"/>
        <v>Rede de Dados Subterrânea</v>
      </c>
      <c r="P378" s="77" t="s">
        <v>1643</v>
      </c>
      <c r="Q378" s="77" t="s">
        <v>1715</v>
      </c>
      <c r="R378" s="77" t="s">
        <v>1</v>
      </c>
      <c r="S378" s="77" t="str">
        <f t="shared" si="56"/>
        <v>Redes Urbanas</v>
      </c>
      <c r="T378" s="77" t="str">
        <f t="shared" si="56"/>
        <v>Redes de Telecom</v>
      </c>
      <c r="U378" s="77" t="str">
        <f t="shared" si="56"/>
        <v>Redes de Dados</v>
      </c>
      <c r="V378" s="77" t="s">
        <v>1964</v>
      </c>
      <c r="W378" s="78" t="str">
        <f t="shared" si="50"/>
        <v>Key-BRASIL-378</v>
      </c>
      <c r="X378" s="77" t="s">
        <v>1870</v>
      </c>
      <c r="Y378" s="81" t="s">
        <v>1927</v>
      </c>
      <c r="Z378" s="81" t="s">
        <v>1</v>
      </c>
      <c r="AA378" s="77" t="str">
        <f t="shared" si="51"/>
        <v>Network data underground logic.</v>
      </c>
    </row>
    <row r="379" spans="1:27" ht="6.6" customHeight="1" x14ac:dyDescent="0.25">
      <c r="A379" s="72">
        <v>379</v>
      </c>
      <c r="B379" s="73" t="s">
        <v>1968</v>
      </c>
      <c r="C379" s="83" t="s">
        <v>1970</v>
      </c>
      <c r="D379" s="73" t="s">
        <v>1663</v>
      </c>
      <c r="E379" s="73" t="s">
        <v>1673</v>
      </c>
      <c r="F379" s="73" t="s">
        <v>1731</v>
      </c>
      <c r="G379" s="75" t="s">
        <v>1</v>
      </c>
      <c r="H379" s="75" t="s">
        <v>1</v>
      </c>
      <c r="I379" s="75" t="s">
        <v>1</v>
      </c>
      <c r="J379" s="75" t="s">
        <v>1</v>
      </c>
      <c r="K379" s="75" t="s">
        <v>1</v>
      </c>
      <c r="L379" s="76" t="str">
        <f t="shared" si="57"/>
        <v>Redes Urbanas</v>
      </c>
      <c r="M379" s="76" t="str">
        <f t="shared" si="57"/>
        <v>Redes de Telecom</v>
      </c>
      <c r="N379" s="76" t="str">
        <f t="shared" si="57"/>
        <v>Redes de Dados</v>
      </c>
      <c r="O379" s="76" t="str">
        <f t="shared" si="57"/>
        <v>Rede de Dados Ponto de Acesso</v>
      </c>
      <c r="P379" s="77" t="s">
        <v>1641</v>
      </c>
      <c r="Q379" s="77" t="s">
        <v>1718</v>
      </c>
      <c r="R379" s="77" t="s">
        <v>1</v>
      </c>
      <c r="S379" s="77" t="str">
        <f t="shared" si="56"/>
        <v>Redes Urbanas</v>
      </c>
      <c r="T379" s="77" t="str">
        <f t="shared" si="56"/>
        <v>Redes de Telecom</v>
      </c>
      <c r="U379" s="77" t="str">
        <f t="shared" si="56"/>
        <v>Redes de Dados</v>
      </c>
      <c r="V379" s="77" t="s">
        <v>1964</v>
      </c>
      <c r="W379" s="78" t="str">
        <f t="shared" si="50"/>
        <v>Key-BRASIL-379</v>
      </c>
      <c r="X379" s="77" t="s">
        <v>1870</v>
      </c>
      <c r="Y379" s="81" t="s">
        <v>1928</v>
      </c>
      <c r="Z379" s="81" t="s">
        <v>1</v>
      </c>
      <c r="AA379" s="77" t="str">
        <f t="shared" si="51"/>
        <v>Aerial Mobile Internet Network.</v>
      </c>
    </row>
    <row r="380" spans="1:27" ht="6.6" customHeight="1" x14ac:dyDescent="0.25">
      <c r="A380" s="72">
        <v>380</v>
      </c>
      <c r="B380" s="73" t="s">
        <v>1968</v>
      </c>
      <c r="C380" s="83" t="s">
        <v>1970</v>
      </c>
      <c r="D380" s="73" t="s">
        <v>1663</v>
      </c>
      <c r="E380" s="73" t="s">
        <v>1730</v>
      </c>
      <c r="F380" s="73" t="s">
        <v>1668</v>
      </c>
      <c r="G380" s="75" t="s">
        <v>1</v>
      </c>
      <c r="H380" s="75" t="s">
        <v>1</v>
      </c>
      <c r="I380" s="75" t="s">
        <v>1</v>
      </c>
      <c r="J380" s="75" t="s">
        <v>1</v>
      </c>
      <c r="K380" s="75" t="s">
        <v>1</v>
      </c>
      <c r="L380" s="76" t="str">
        <f t="shared" si="57"/>
        <v>Redes Urbanas</v>
      </c>
      <c r="M380" s="76" t="str">
        <f t="shared" si="57"/>
        <v>Redes de Telecom</v>
      </c>
      <c r="N380" s="76" t="str">
        <f t="shared" si="57"/>
        <v>Redes de Net</v>
      </c>
      <c r="O380" s="76" t="str">
        <f t="shared" si="57"/>
        <v>Rede Net Fixa Aerea</v>
      </c>
      <c r="P380" s="77" t="s">
        <v>1640</v>
      </c>
      <c r="Q380" s="77" t="s">
        <v>1716</v>
      </c>
      <c r="R380" s="77" t="s">
        <v>1</v>
      </c>
      <c r="S380" s="77" t="str">
        <f t="shared" ref="S380:U390" si="58">SUBSTITUTE(C380, ".", " ")</f>
        <v>Redes Urbanas</v>
      </c>
      <c r="T380" s="77" t="str">
        <f t="shared" si="58"/>
        <v>Redes de Telecom</v>
      </c>
      <c r="U380" s="77" t="str">
        <f t="shared" si="58"/>
        <v>Redes de Net</v>
      </c>
      <c r="V380" s="77" t="s">
        <v>1964</v>
      </c>
      <c r="W380" s="78" t="str">
        <f t="shared" si="50"/>
        <v>Key-BRASIL-380</v>
      </c>
      <c r="X380" s="77" t="s">
        <v>1870</v>
      </c>
      <c r="Y380" s="81" t="s">
        <v>1928</v>
      </c>
      <c r="Z380" s="81" t="s">
        <v>1</v>
      </c>
      <c r="AA380" s="77" t="str">
        <f t="shared" si="51"/>
        <v>Aerial Fixed Internet Network.</v>
      </c>
    </row>
    <row r="381" spans="1:27" ht="6.6" customHeight="1" x14ac:dyDescent="0.25">
      <c r="A381" s="72">
        <v>381</v>
      </c>
      <c r="B381" s="73" t="s">
        <v>1968</v>
      </c>
      <c r="C381" s="83" t="s">
        <v>1970</v>
      </c>
      <c r="D381" s="73" t="s">
        <v>1663</v>
      </c>
      <c r="E381" s="73" t="s">
        <v>1730</v>
      </c>
      <c r="F381" s="73" t="s">
        <v>1669</v>
      </c>
      <c r="G381" s="75" t="s">
        <v>1</v>
      </c>
      <c r="H381" s="75" t="s">
        <v>1</v>
      </c>
      <c r="I381" s="75" t="s">
        <v>1</v>
      </c>
      <c r="J381" s="75" t="s">
        <v>1</v>
      </c>
      <c r="K381" s="75" t="s">
        <v>1</v>
      </c>
      <c r="L381" s="76" t="str">
        <f t="shared" si="57"/>
        <v>Redes Urbanas</v>
      </c>
      <c r="M381" s="76" t="str">
        <f t="shared" si="57"/>
        <v>Redes de Telecom</v>
      </c>
      <c r="N381" s="76" t="str">
        <f t="shared" si="57"/>
        <v>Redes de Net</v>
      </c>
      <c r="O381" s="76" t="str">
        <f t="shared" si="57"/>
        <v>Rede Net Fixa Subterrânea</v>
      </c>
      <c r="P381" s="77" t="s">
        <v>1644</v>
      </c>
      <c r="Q381" s="77" t="s">
        <v>1717</v>
      </c>
      <c r="R381" s="77" t="s">
        <v>1</v>
      </c>
      <c r="S381" s="77" t="str">
        <f t="shared" si="58"/>
        <v>Redes Urbanas</v>
      </c>
      <c r="T381" s="77" t="str">
        <f t="shared" si="58"/>
        <v>Redes de Telecom</v>
      </c>
      <c r="U381" s="77" t="str">
        <f t="shared" si="58"/>
        <v>Redes de Net</v>
      </c>
      <c r="V381" s="77" t="s">
        <v>1964</v>
      </c>
      <c r="W381" s="78" t="str">
        <f t="shared" si="50"/>
        <v>Key-BRASIL-381</v>
      </c>
      <c r="X381" s="77" t="s">
        <v>1870</v>
      </c>
      <c r="Y381" s="81" t="s">
        <v>1925</v>
      </c>
      <c r="Z381" s="81" t="s">
        <v>1</v>
      </c>
      <c r="AA381" s="77" t="str">
        <f t="shared" si="51"/>
        <v>Underground Fixed Internet Network.</v>
      </c>
    </row>
    <row r="382" spans="1:27" ht="6.6" customHeight="1" x14ac:dyDescent="0.25">
      <c r="A382" s="72">
        <v>382</v>
      </c>
      <c r="B382" s="73" t="s">
        <v>1968</v>
      </c>
      <c r="C382" s="83" t="s">
        <v>1970</v>
      </c>
      <c r="D382" s="73" t="s">
        <v>1663</v>
      </c>
      <c r="E382" s="73" t="s">
        <v>1674</v>
      </c>
      <c r="F382" s="73" t="s">
        <v>1670</v>
      </c>
      <c r="G382" s="75" t="s">
        <v>1</v>
      </c>
      <c r="H382" s="75" t="s">
        <v>1</v>
      </c>
      <c r="I382" s="75" t="s">
        <v>1</v>
      </c>
      <c r="J382" s="75" t="s">
        <v>1</v>
      </c>
      <c r="K382" s="75" t="s">
        <v>1</v>
      </c>
      <c r="L382" s="76" t="str">
        <f t="shared" si="57"/>
        <v>Redes Urbanas</v>
      </c>
      <c r="M382" s="76" t="str">
        <f t="shared" si="57"/>
        <v>Redes de Telecom</v>
      </c>
      <c r="N382" s="76" t="str">
        <f t="shared" si="57"/>
        <v>Redes de Telefonia</v>
      </c>
      <c r="O382" s="76" t="str">
        <f t="shared" si="57"/>
        <v>Rede Telefonia Aerea</v>
      </c>
      <c r="P382" s="77" t="s">
        <v>1638</v>
      </c>
      <c r="Q382" s="77" t="s">
        <v>1719</v>
      </c>
      <c r="R382" s="77" t="s">
        <v>1</v>
      </c>
      <c r="S382" s="77" t="str">
        <f t="shared" si="58"/>
        <v>Redes Urbanas</v>
      </c>
      <c r="T382" s="77" t="str">
        <f t="shared" si="58"/>
        <v>Redes de Telecom</v>
      </c>
      <c r="U382" s="77" t="str">
        <f t="shared" si="58"/>
        <v>Redes de Telefonia</v>
      </c>
      <c r="V382" s="77" t="s">
        <v>1964</v>
      </c>
      <c r="W382" s="78" t="str">
        <f t="shared" si="50"/>
        <v>Key-BRASIL-382</v>
      </c>
      <c r="X382" s="77" t="s">
        <v>1870</v>
      </c>
      <c r="Y382" s="81" t="s">
        <v>1925</v>
      </c>
      <c r="Z382" s="81" t="s">
        <v>1</v>
      </c>
      <c r="AA382" s="77" t="str">
        <f t="shared" si="51"/>
        <v>Air telephone network.</v>
      </c>
    </row>
    <row r="383" spans="1:27" ht="6.6" customHeight="1" x14ac:dyDescent="0.25">
      <c r="A383" s="72">
        <v>383</v>
      </c>
      <c r="B383" s="73" t="s">
        <v>1968</v>
      </c>
      <c r="C383" s="83" t="s">
        <v>1970</v>
      </c>
      <c r="D383" s="73" t="s">
        <v>1663</v>
      </c>
      <c r="E383" s="73" t="s">
        <v>1674</v>
      </c>
      <c r="F383" s="73" t="s">
        <v>1671</v>
      </c>
      <c r="G383" s="75" t="s">
        <v>1</v>
      </c>
      <c r="H383" s="75" t="s">
        <v>1</v>
      </c>
      <c r="I383" s="75" t="s">
        <v>1</v>
      </c>
      <c r="J383" s="75" t="s">
        <v>1</v>
      </c>
      <c r="K383" s="75" t="s">
        <v>1</v>
      </c>
      <c r="L383" s="76" t="str">
        <f t="shared" si="57"/>
        <v>Redes Urbanas</v>
      </c>
      <c r="M383" s="76" t="str">
        <f t="shared" si="57"/>
        <v>Redes de Telecom</v>
      </c>
      <c r="N383" s="76" t="str">
        <f t="shared" si="57"/>
        <v>Redes de Telefonia</v>
      </c>
      <c r="O383" s="76" t="str">
        <f t="shared" si="57"/>
        <v>Rede Telefonia Subterrânea</v>
      </c>
      <c r="P383" s="77" t="s">
        <v>1642</v>
      </c>
      <c r="Q383" s="77" t="s">
        <v>1713</v>
      </c>
      <c r="R383" s="77" t="s">
        <v>1</v>
      </c>
      <c r="S383" s="77" t="str">
        <f t="shared" si="58"/>
        <v>Redes Urbanas</v>
      </c>
      <c r="T383" s="77" t="str">
        <f t="shared" si="58"/>
        <v>Redes de Telecom</v>
      </c>
      <c r="U383" s="77" t="str">
        <f t="shared" si="58"/>
        <v>Redes de Telefonia</v>
      </c>
      <c r="V383" s="77" t="s">
        <v>1964</v>
      </c>
      <c r="W383" s="78" t="str">
        <f t="shared" si="50"/>
        <v>Key-BRASIL-383</v>
      </c>
      <c r="X383" s="77" t="s">
        <v>1870</v>
      </c>
      <c r="Y383" s="81" t="s">
        <v>1929</v>
      </c>
      <c r="Z383" s="81" t="s">
        <v>1</v>
      </c>
      <c r="AA383" s="77" t="str">
        <f t="shared" si="51"/>
        <v>Underground telephone network.</v>
      </c>
    </row>
    <row r="384" spans="1:27" ht="6.6" customHeight="1" x14ac:dyDescent="0.25">
      <c r="A384" s="72">
        <v>384</v>
      </c>
      <c r="B384" s="73" t="s">
        <v>1968</v>
      </c>
      <c r="C384" s="83" t="s">
        <v>1969</v>
      </c>
      <c r="D384" s="73" t="s">
        <v>2005</v>
      </c>
      <c r="E384" s="73" t="s">
        <v>1645</v>
      </c>
      <c r="F384" s="74" t="s">
        <v>1646</v>
      </c>
      <c r="G384" s="79" t="s">
        <v>1</v>
      </c>
      <c r="H384" s="79" t="s">
        <v>1</v>
      </c>
      <c r="I384" s="79" t="s">
        <v>1</v>
      </c>
      <c r="J384" s="79" t="s">
        <v>1</v>
      </c>
      <c r="K384" s="79" t="s">
        <v>1</v>
      </c>
      <c r="L384" s="76" t="str">
        <f t="shared" si="57"/>
        <v>Materialidades</v>
      </c>
      <c r="M384" s="76" t="str">
        <f t="shared" si="57"/>
        <v>De Tubulações</v>
      </c>
      <c r="N384" s="76" t="str">
        <f t="shared" si="57"/>
        <v>Materiais</v>
      </c>
      <c r="O384" s="76" t="str">
        <f t="shared" si="57"/>
        <v>Tubos de FoFo</v>
      </c>
      <c r="P384" s="80" t="s">
        <v>1647</v>
      </c>
      <c r="Q384" s="80" t="s">
        <v>1687</v>
      </c>
      <c r="R384" s="77" t="s">
        <v>1</v>
      </c>
      <c r="S384" s="77" t="str">
        <f t="shared" si="58"/>
        <v>Materialidades</v>
      </c>
      <c r="T384" s="77" t="str">
        <f t="shared" si="58"/>
        <v>De Tubulações</v>
      </c>
      <c r="U384" s="77" t="str">
        <f t="shared" si="58"/>
        <v>Materiais</v>
      </c>
      <c r="V384" s="77" t="s">
        <v>1964</v>
      </c>
      <c r="W384" s="78" t="str">
        <f t="shared" ref="W384:W390" si="59">CONCATENATE("Key-BRASIL-",A384)</f>
        <v>Key-BRASIL-384</v>
      </c>
      <c r="X384" s="77" t="s">
        <v>1826</v>
      </c>
      <c r="Y384" s="77" t="s">
        <v>1827</v>
      </c>
      <c r="Z384" s="81" t="s">
        <v>1</v>
      </c>
      <c r="AA384" s="77" t="str">
        <f t="shared" si="51"/>
        <v>Cast Iron Pipe for water and sewage networks of basic sanitation.</v>
      </c>
    </row>
    <row r="385" spans="1:27" ht="6.6" customHeight="1" x14ac:dyDescent="0.25">
      <c r="A385" s="72">
        <v>385</v>
      </c>
      <c r="B385" s="73" t="s">
        <v>1968</v>
      </c>
      <c r="C385" s="83" t="s">
        <v>1969</v>
      </c>
      <c r="D385" s="73" t="s">
        <v>2005</v>
      </c>
      <c r="E385" s="73" t="s">
        <v>1645</v>
      </c>
      <c r="F385" s="74" t="s">
        <v>1648</v>
      </c>
      <c r="G385" s="79" t="s">
        <v>1</v>
      </c>
      <c r="H385" s="79" t="s">
        <v>1</v>
      </c>
      <c r="I385" s="79" t="s">
        <v>1</v>
      </c>
      <c r="J385" s="79" t="s">
        <v>1</v>
      </c>
      <c r="K385" s="79" t="s">
        <v>1</v>
      </c>
      <c r="L385" s="76" t="str">
        <f t="shared" si="57"/>
        <v>Materialidades</v>
      </c>
      <c r="M385" s="76" t="str">
        <f t="shared" si="57"/>
        <v>De Tubulações</v>
      </c>
      <c r="N385" s="76" t="str">
        <f t="shared" si="57"/>
        <v>Materiais</v>
      </c>
      <c r="O385" s="76" t="str">
        <f t="shared" si="57"/>
        <v>Tubos de PVC</v>
      </c>
      <c r="P385" s="80" t="s">
        <v>1649</v>
      </c>
      <c r="Q385" s="80" t="s">
        <v>1688</v>
      </c>
      <c r="R385" s="77" t="s">
        <v>1</v>
      </c>
      <c r="S385" s="77" t="str">
        <f t="shared" si="58"/>
        <v>Materialidades</v>
      </c>
      <c r="T385" s="77" t="str">
        <f t="shared" si="58"/>
        <v>De Tubulações</v>
      </c>
      <c r="U385" s="77" t="str">
        <f t="shared" si="58"/>
        <v>Materiais</v>
      </c>
      <c r="V385" s="77" t="s">
        <v>1964</v>
      </c>
      <c r="W385" s="78" t="str">
        <f t="shared" si="59"/>
        <v>Key-BRASIL-385</v>
      </c>
      <c r="X385" s="77" t="s">
        <v>1826</v>
      </c>
      <c r="Y385" s="77" t="s">
        <v>1827</v>
      </c>
      <c r="Z385" s="81" t="s">
        <v>1</v>
      </c>
      <c r="AA385" s="77" t="str">
        <f t="shared" si="51"/>
        <v>PVC (Polyvinyl Chloride) pipe for domestic water and sewage networks.</v>
      </c>
    </row>
    <row r="386" spans="1:27" ht="6.6" customHeight="1" x14ac:dyDescent="0.25">
      <c r="A386" s="72">
        <v>386</v>
      </c>
      <c r="B386" s="73" t="s">
        <v>1968</v>
      </c>
      <c r="C386" s="83" t="s">
        <v>1969</v>
      </c>
      <c r="D386" s="73" t="s">
        <v>2005</v>
      </c>
      <c r="E386" s="73" t="s">
        <v>1645</v>
      </c>
      <c r="F386" s="74" t="s">
        <v>1650</v>
      </c>
      <c r="G386" s="79" t="s">
        <v>1</v>
      </c>
      <c r="H386" s="79" t="s">
        <v>1</v>
      </c>
      <c r="I386" s="79" t="s">
        <v>1</v>
      </c>
      <c r="J386" s="79" t="s">
        <v>1</v>
      </c>
      <c r="K386" s="79" t="s">
        <v>1</v>
      </c>
      <c r="L386" s="76" t="str">
        <f t="shared" si="57"/>
        <v>Materialidades</v>
      </c>
      <c r="M386" s="76" t="str">
        <f t="shared" si="57"/>
        <v>De Tubulações</v>
      </c>
      <c r="N386" s="76" t="str">
        <f t="shared" si="57"/>
        <v>Materiais</v>
      </c>
      <c r="O386" s="76" t="str">
        <f t="shared" si="57"/>
        <v>Tubos de PVC O</v>
      </c>
      <c r="P386" s="80" t="s">
        <v>1651</v>
      </c>
      <c r="Q386" s="80" t="s">
        <v>1689</v>
      </c>
      <c r="R386" s="77" t="s">
        <v>1</v>
      </c>
      <c r="S386" s="77" t="str">
        <f t="shared" si="58"/>
        <v>Materialidades</v>
      </c>
      <c r="T386" s="77" t="str">
        <f t="shared" si="58"/>
        <v>De Tubulações</v>
      </c>
      <c r="U386" s="77" t="str">
        <f t="shared" si="58"/>
        <v>Materiais</v>
      </c>
      <c r="V386" s="77" t="s">
        <v>1964</v>
      </c>
      <c r="W386" s="78" t="str">
        <f t="shared" si="59"/>
        <v>Key-BRASIL-386</v>
      </c>
      <c r="X386" s="77" t="s">
        <v>1826</v>
      </c>
      <c r="Y386" s="77" t="s">
        <v>1827</v>
      </c>
      <c r="Z386" s="81" t="s">
        <v>1</v>
      </c>
      <c r="AA386" s="77" t="str">
        <f t="shared" si="51"/>
        <v>Oriented PVC Pipe (Polyvinyl Chloride). More resistant material than normal PVC for water and sewage networks.</v>
      </c>
    </row>
    <row r="387" spans="1:27" ht="6.6" customHeight="1" x14ac:dyDescent="0.25">
      <c r="A387" s="72">
        <v>387</v>
      </c>
      <c r="B387" s="73" t="s">
        <v>1968</v>
      </c>
      <c r="C387" s="83" t="s">
        <v>1969</v>
      </c>
      <c r="D387" s="73" t="s">
        <v>2005</v>
      </c>
      <c r="E387" s="73" t="s">
        <v>1645</v>
      </c>
      <c r="F387" s="74" t="s">
        <v>1652</v>
      </c>
      <c r="G387" s="79" t="s">
        <v>1</v>
      </c>
      <c r="H387" s="79" t="s">
        <v>1</v>
      </c>
      <c r="I387" s="79" t="s">
        <v>1</v>
      </c>
      <c r="J387" s="79" t="s">
        <v>1</v>
      </c>
      <c r="K387" s="79" t="s">
        <v>1</v>
      </c>
      <c r="L387" s="76" t="str">
        <f t="shared" si="57"/>
        <v>Materialidades</v>
      </c>
      <c r="M387" s="76" t="str">
        <f t="shared" si="57"/>
        <v>De Tubulações</v>
      </c>
      <c r="N387" s="76" t="str">
        <f t="shared" si="57"/>
        <v>Materiais</v>
      </c>
      <c r="O387" s="76" t="str">
        <f t="shared" si="57"/>
        <v>Tubos de Latão</v>
      </c>
      <c r="P387" s="80" t="s">
        <v>1653</v>
      </c>
      <c r="Q387" s="80" t="s">
        <v>1690</v>
      </c>
      <c r="R387" s="77" t="s">
        <v>1</v>
      </c>
      <c r="S387" s="77" t="str">
        <f t="shared" si="58"/>
        <v>Materialidades</v>
      </c>
      <c r="T387" s="77" t="str">
        <f t="shared" si="58"/>
        <v>De Tubulações</v>
      </c>
      <c r="U387" s="77" t="str">
        <f t="shared" si="58"/>
        <v>Materiais</v>
      </c>
      <c r="V387" s="77" t="s">
        <v>1964</v>
      </c>
      <c r="W387" s="78" t="str">
        <f t="shared" si="59"/>
        <v>Key-BRASIL-387</v>
      </c>
      <c r="X387" s="77" t="s">
        <v>1826</v>
      </c>
      <c r="Y387" s="77" t="s">
        <v>1827</v>
      </c>
      <c r="Z387" s="81" t="s">
        <v>1</v>
      </c>
      <c r="AA387" s="77" t="str">
        <f t="shared" si="51"/>
        <v>Brass pipe for water networks.</v>
      </c>
    </row>
    <row r="388" spans="1:27" ht="6.6" customHeight="1" x14ac:dyDescent="0.25">
      <c r="A388" s="72">
        <v>388</v>
      </c>
      <c r="B388" s="73" t="s">
        <v>1968</v>
      </c>
      <c r="C388" s="83" t="s">
        <v>1969</v>
      </c>
      <c r="D388" s="73" t="s">
        <v>2005</v>
      </c>
      <c r="E388" s="73" t="s">
        <v>1645</v>
      </c>
      <c r="F388" s="74" t="s">
        <v>1654</v>
      </c>
      <c r="G388" s="79" t="s">
        <v>1</v>
      </c>
      <c r="H388" s="79" t="s">
        <v>1</v>
      </c>
      <c r="I388" s="79" t="s">
        <v>1</v>
      </c>
      <c r="J388" s="79" t="s">
        <v>1</v>
      </c>
      <c r="K388" s="79" t="s">
        <v>1</v>
      </c>
      <c r="L388" s="76" t="str">
        <f t="shared" si="57"/>
        <v>Materialidades</v>
      </c>
      <c r="M388" s="76" t="str">
        <f t="shared" si="57"/>
        <v>De Tubulações</v>
      </c>
      <c r="N388" s="76" t="str">
        <f t="shared" si="57"/>
        <v>Materiais</v>
      </c>
      <c r="O388" s="76" t="str">
        <f t="shared" si="57"/>
        <v>Tubos de Cobre</v>
      </c>
      <c r="P388" s="80" t="s">
        <v>1655</v>
      </c>
      <c r="Q388" s="80" t="s">
        <v>1691</v>
      </c>
      <c r="R388" s="77" t="s">
        <v>1</v>
      </c>
      <c r="S388" s="77" t="str">
        <f t="shared" si="58"/>
        <v>Materialidades</v>
      </c>
      <c r="T388" s="77" t="str">
        <f t="shared" si="58"/>
        <v>De Tubulações</v>
      </c>
      <c r="U388" s="77" t="str">
        <f t="shared" si="58"/>
        <v>Materiais</v>
      </c>
      <c r="V388" s="77" t="s">
        <v>1964</v>
      </c>
      <c r="W388" s="78" t="str">
        <f t="shared" si="59"/>
        <v>Key-BRASIL-388</v>
      </c>
      <c r="X388" s="77" t="s">
        <v>1826</v>
      </c>
      <c r="Y388" s="77" t="s">
        <v>1827</v>
      </c>
      <c r="Z388" s="81" t="s">
        <v>1</v>
      </c>
      <c r="AA388" s="77" t="str">
        <f t="shared" ref="AA388:AA390" si="60">_xlfn.TRANSLATE(P388,"pt","en")</f>
        <v>Copper pipe for hot water or gas networks.</v>
      </c>
    </row>
    <row r="389" spans="1:27" ht="6.6" customHeight="1" x14ac:dyDescent="0.25">
      <c r="A389" s="72">
        <v>389</v>
      </c>
      <c r="B389" s="73" t="s">
        <v>1968</v>
      </c>
      <c r="C389" s="83" t="s">
        <v>1969</v>
      </c>
      <c r="D389" s="73" t="s">
        <v>2005</v>
      </c>
      <c r="E389" s="73" t="s">
        <v>1645</v>
      </c>
      <c r="F389" s="74" t="s">
        <v>1656</v>
      </c>
      <c r="G389" s="79" t="s">
        <v>1</v>
      </c>
      <c r="H389" s="79" t="s">
        <v>1</v>
      </c>
      <c r="I389" s="79" t="s">
        <v>1</v>
      </c>
      <c r="J389" s="79" t="s">
        <v>1</v>
      </c>
      <c r="K389" s="79" t="s">
        <v>1</v>
      </c>
      <c r="L389" s="76" t="str">
        <f t="shared" si="57"/>
        <v>Materialidades</v>
      </c>
      <c r="M389" s="76" t="str">
        <f t="shared" si="57"/>
        <v>De Tubulações</v>
      </c>
      <c r="N389" s="76" t="str">
        <f t="shared" si="57"/>
        <v>Materiais</v>
      </c>
      <c r="O389" s="76" t="str">
        <f t="shared" si="57"/>
        <v>Tubos de PEAD</v>
      </c>
      <c r="P389" s="80" t="s">
        <v>1657</v>
      </c>
      <c r="Q389" s="80" t="s">
        <v>1658</v>
      </c>
      <c r="R389" s="77" t="s">
        <v>1</v>
      </c>
      <c r="S389" s="77" t="str">
        <f t="shared" si="58"/>
        <v>Materialidades</v>
      </c>
      <c r="T389" s="77" t="str">
        <f t="shared" si="58"/>
        <v>De Tubulações</v>
      </c>
      <c r="U389" s="77" t="str">
        <f t="shared" si="58"/>
        <v>Materiais</v>
      </c>
      <c r="V389" s="77" t="s">
        <v>1964</v>
      </c>
      <c r="W389" s="78" t="str">
        <f t="shared" si="59"/>
        <v>Key-BRASIL-389</v>
      </c>
      <c r="X389" s="77" t="s">
        <v>1826</v>
      </c>
      <c r="Y389" s="77" t="s">
        <v>1827</v>
      </c>
      <c r="Z389" s="81" t="s">
        <v>1</v>
      </c>
      <c r="AA389" s="77" t="str">
        <f t="shared" si="60"/>
        <v>HDPE (High Density Polyethylene) thermofusion tube.</v>
      </c>
    </row>
    <row r="390" spans="1:27" ht="6.6" customHeight="1" x14ac:dyDescent="0.25">
      <c r="A390" s="72">
        <v>390</v>
      </c>
      <c r="B390" s="73" t="s">
        <v>1968</v>
      </c>
      <c r="C390" s="83" t="s">
        <v>1969</v>
      </c>
      <c r="D390" s="73" t="s">
        <v>2005</v>
      </c>
      <c r="E390" s="73" t="s">
        <v>1645</v>
      </c>
      <c r="F390" s="74" t="s">
        <v>1659</v>
      </c>
      <c r="G390" s="79" t="s">
        <v>1</v>
      </c>
      <c r="H390" s="79" t="s">
        <v>1</v>
      </c>
      <c r="I390" s="79" t="s">
        <v>1</v>
      </c>
      <c r="J390" s="79" t="s">
        <v>1</v>
      </c>
      <c r="K390" s="79" t="s">
        <v>1</v>
      </c>
      <c r="L390" s="76" t="str">
        <f t="shared" si="57"/>
        <v>Materialidades</v>
      </c>
      <c r="M390" s="76" t="str">
        <f t="shared" si="57"/>
        <v>De Tubulações</v>
      </c>
      <c r="N390" s="76" t="str">
        <f t="shared" si="57"/>
        <v>Materiais</v>
      </c>
      <c r="O390" s="76" t="str">
        <f t="shared" si="57"/>
        <v>Tubos de Aço</v>
      </c>
      <c r="P390" s="80" t="s">
        <v>1660</v>
      </c>
      <c r="Q390" s="80" t="s">
        <v>1661</v>
      </c>
      <c r="R390" s="77" t="s">
        <v>1</v>
      </c>
      <c r="S390" s="77" t="str">
        <f t="shared" si="58"/>
        <v>Materialidades</v>
      </c>
      <c r="T390" s="77" t="str">
        <f t="shared" si="58"/>
        <v>De Tubulações</v>
      </c>
      <c r="U390" s="77" t="str">
        <f t="shared" si="58"/>
        <v>Materiais</v>
      </c>
      <c r="V390" s="77" t="s">
        <v>1964</v>
      </c>
      <c r="W390" s="78" t="str">
        <f t="shared" si="59"/>
        <v>Key-BRASIL-390</v>
      </c>
      <c r="X390" s="77" t="s">
        <v>1826</v>
      </c>
      <c r="Y390" s="77" t="s">
        <v>1827</v>
      </c>
      <c r="Z390" s="81" t="s">
        <v>1</v>
      </c>
      <c r="AA390" s="77" t="str">
        <f t="shared" si="60"/>
        <v>Steel pipe for plumbing.</v>
      </c>
    </row>
  </sheetData>
  <phoneticPr fontId="1" type="noConversion"/>
  <conditionalFormatting sqref="C2:D347 L41:Q338 AB41:XFD347 S41:U383">
    <cfRule type="cellIs" dxfId="83" priority="2" operator="equal">
      <formula>"null"</formula>
    </cfRule>
  </conditionalFormatting>
  <conditionalFormatting sqref="F101:F390 F2:F92">
    <cfRule type="duplicateValues" dxfId="82" priority="536"/>
  </conditionalFormatting>
  <conditionalFormatting sqref="F2:F92 F101:F347">
    <cfRule type="duplicateValues" dxfId="81" priority="538"/>
    <cfRule type="duplicateValues" dxfId="80" priority="539"/>
  </conditionalFormatting>
  <conditionalFormatting sqref="F30:F31">
    <cfRule type="duplicateValues" dxfId="79" priority="29"/>
    <cfRule type="duplicateValues" dxfId="78" priority="30"/>
  </conditionalFormatting>
  <conditionalFormatting sqref="F30:F40">
    <cfRule type="duplicateValues" dxfId="77" priority="50"/>
  </conditionalFormatting>
  <conditionalFormatting sqref="F32:F40">
    <cfRule type="duplicateValues" dxfId="76" priority="51"/>
    <cfRule type="duplicateValues" dxfId="75" priority="52"/>
    <cfRule type="duplicateValues" dxfId="74" priority="53"/>
    <cfRule type="duplicateValues" dxfId="73" priority="54"/>
  </conditionalFormatting>
  <conditionalFormatting sqref="F41:F92 F2:F29 F101:F347">
    <cfRule type="duplicateValues" dxfId="72" priority="549"/>
    <cfRule type="duplicateValues" dxfId="71" priority="550"/>
  </conditionalFormatting>
  <conditionalFormatting sqref="F41:F92 F2:F29">
    <cfRule type="duplicateValues" dxfId="70" priority="542"/>
  </conditionalFormatting>
  <conditionalFormatting sqref="F41:F93 F96:F100">
    <cfRule type="cellIs" dxfId="69" priority="7" operator="equal">
      <formula>"null"</formula>
    </cfRule>
  </conditionalFormatting>
  <conditionalFormatting sqref="F93 F96:F100">
    <cfRule type="duplicateValues" dxfId="68" priority="3"/>
    <cfRule type="duplicateValues" dxfId="67" priority="5"/>
    <cfRule type="duplicateValues" dxfId="66" priority="6"/>
    <cfRule type="duplicateValues" dxfId="65" priority="8"/>
    <cfRule type="duplicateValues" dxfId="64" priority="9"/>
    <cfRule type="duplicateValues" dxfId="63" priority="10"/>
  </conditionalFormatting>
  <conditionalFormatting sqref="F101:F110">
    <cfRule type="duplicateValues" dxfId="62" priority="22"/>
    <cfRule type="duplicateValues" dxfId="61" priority="23"/>
  </conditionalFormatting>
  <conditionalFormatting sqref="F101:F117 F122:F144 F180:F276">
    <cfRule type="duplicateValues" dxfId="60" priority="48"/>
  </conditionalFormatting>
  <conditionalFormatting sqref="F101:F347 A1:D1 L1:Q1 S1:W1 AB1:XFD1 A391:D1048576 L391:Q1048576 S391:W1048576 AA391:XFD1048576">
    <cfRule type="cellIs" dxfId="59" priority="534" operator="equal">
      <formula>"null"</formula>
    </cfRule>
  </conditionalFormatting>
  <conditionalFormatting sqref="F101:F347">
    <cfRule type="duplicateValues" dxfId="58" priority="45"/>
  </conditionalFormatting>
  <conditionalFormatting sqref="F118:F121">
    <cfRule type="duplicateValues" dxfId="57" priority="20"/>
    <cfRule type="duplicateValues" dxfId="56" priority="21"/>
  </conditionalFormatting>
  <conditionalFormatting sqref="F145:F163">
    <cfRule type="duplicateValues" dxfId="55" priority="25"/>
  </conditionalFormatting>
  <conditionalFormatting sqref="F145:F179">
    <cfRule type="duplicateValues" dxfId="54" priority="26"/>
  </conditionalFormatting>
  <conditionalFormatting sqref="F164:F179">
    <cfRule type="duplicateValues" dxfId="53" priority="24"/>
  </conditionalFormatting>
  <conditionalFormatting sqref="F180:F201 F111:F117 F122:F144">
    <cfRule type="duplicateValues" dxfId="52" priority="55"/>
  </conditionalFormatting>
  <conditionalFormatting sqref="F180:F207 F111:F117 F122:F144">
    <cfRule type="duplicateValues" dxfId="51" priority="46"/>
  </conditionalFormatting>
  <conditionalFormatting sqref="F180:F230 F101:F117 F122:F144">
    <cfRule type="duplicateValues" dxfId="50" priority="47"/>
  </conditionalFormatting>
  <conditionalFormatting sqref="F202:F207">
    <cfRule type="duplicateValues" dxfId="49" priority="41"/>
  </conditionalFormatting>
  <conditionalFormatting sqref="F277:F285">
    <cfRule type="duplicateValues" dxfId="48" priority="43"/>
  </conditionalFormatting>
  <conditionalFormatting sqref="F277:F347">
    <cfRule type="duplicateValues" dxfId="47" priority="59"/>
  </conditionalFormatting>
  <conditionalFormatting sqref="F286">
    <cfRule type="duplicateValues" dxfId="46" priority="31"/>
  </conditionalFormatting>
  <conditionalFormatting sqref="F287">
    <cfRule type="duplicateValues" dxfId="45" priority="33"/>
    <cfRule type="duplicateValues" dxfId="44" priority="34"/>
    <cfRule type="duplicateValues" dxfId="43" priority="35"/>
    <cfRule type="duplicateValues" dxfId="42" priority="36"/>
    <cfRule type="duplicateValues" dxfId="41" priority="37"/>
    <cfRule type="duplicateValues" dxfId="40" priority="38"/>
    <cfRule type="duplicateValues" dxfId="39" priority="39"/>
  </conditionalFormatting>
  <conditionalFormatting sqref="F288:F294">
    <cfRule type="duplicateValues" dxfId="38" priority="42"/>
  </conditionalFormatting>
  <conditionalFormatting sqref="F310:F314 F295:F301 F306:F307">
    <cfRule type="duplicateValues" dxfId="37" priority="40"/>
  </conditionalFormatting>
  <conditionalFormatting sqref="F328">
    <cfRule type="duplicateValues" dxfId="36" priority="19"/>
  </conditionalFormatting>
  <conditionalFormatting sqref="F348:F374">
    <cfRule type="duplicateValues" dxfId="35" priority="57"/>
    <cfRule type="duplicateValues" dxfId="34" priority="58"/>
  </conditionalFormatting>
  <conditionalFormatting sqref="F375:F383">
    <cfRule type="duplicateValues" dxfId="33" priority="60"/>
    <cfRule type="duplicateValues" dxfId="32" priority="61"/>
  </conditionalFormatting>
  <conditionalFormatting sqref="F384:F390">
    <cfRule type="duplicateValues" dxfId="31" priority="13"/>
    <cfRule type="duplicateValues" dxfId="30" priority="14"/>
  </conditionalFormatting>
  <conditionalFormatting sqref="F391:F1048576 F1">
    <cfRule type="duplicateValues" dxfId="29" priority="82"/>
  </conditionalFormatting>
  <conditionalFormatting sqref="L2:Q6 S2:U28 F2:F29 AB2:XFD29 L7:O9 Q7:Q9 L10:Q29 S29:T29 U29:U40 O30:O40 L339:P347 C348:C383">
    <cfRule type="cellIs" dxfId="28" priority="32" operator="equal">
      <formula>"null"</formula>
    </cfRule>
  </conditionalFormatting>
  <conditionalFormatting sqref="AA1:AA390 V2:V390 A2:B390">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7" customFormat="1" ht="6" customHeight="1" x14ac:dyDescent="0.15">
      <c r="A2" s="13">
        <v>2</v>
      </c>
      <c r="B2" s="53" t="s">
        <v>669</v>
      </c>
      <c r="C2" s="54" t="s">
        <v>667</v>
      </c>
      <c r="D2" s="54" t="s">
        <v>1</v>
      </c>
    </row>
    <row r="3" spans="1:4" s="37" customFormat="1" ht="6" customHeight="1" x14ac:dyDescent="0.15">
      <c r="A3" s="13">
        <v>3</v>
      </c>
      <c r="B3" s="53" t="s">
        <v>624</v>
      </c>
      <c r="C3" s="54" t="s">
        <v>625</v>
      </c>
      <c r="D3" s="54" t="s">
        <v>1</v>
      </c>
    </row>
    <row r="4" spans="1:4" s="37" customFormat="1" ht="6" customHeight="1" x14ac:dyDescent="0.15">
      <c r="A4" s="13">
        <v>4</v>
      </c>
      <c r="B4" s="53" t="s">
        <v>629</v>
      </c>
      <c r="C4" s="54" t="s">
        <v>630</v>
      </c>
      <c r="D4" s="54" t="s">
        <v>632</v>
      </c>
    </row>
    <row r="5" spans="1:4" s="37" customFormat="1" ht="6" customHeight="1" x14ac:dyDescent="0.15">
      <c r="A5" s="13">
        <v>5</v>
      </c>
      <c r="B5" s="53" t="s">
        <v>58</v>
      </c>
      <c r="C5" s="32" t="s">
        <v>635</v>
      </c>
      <c r="D5" s="32" t="s">
        <v>636</v>
      </c>
    </row>
    <row r="6" spans="1:4" s="37" customFormat="1" ht="6" customHeight="1" x14ac:dyDescent="0.15">
      <c r="A6" s="13">
        <v>6</v>
      </c>
      <c r="B6" s="53" t="s">
        <v>638</v>
      </c>
      <c r="C6" s="32" t="s">
        <v>640</v>
      </c>
      <c r="D6" s="54" t="s">
        <v>1</v>
      </c>
    </row>
    <row r="7" spans="1:4" ht="6" customHeight="1" x14ac:dyDescent="0.25">
      <c r="A7" s="13">
        <v>7</v>
      </c>
      <c r="B7" s="53" t="s">
        <v>541</v>
      </c>
      <c r="C7" s="54" t="s">
        <v>558</v>
      </c>
      <c r="D7" s="54" t="s">
        <v>1</v>
      </c>
    </row>
    <row r="8" spans="1:4" ht="6" customHeight="1" x14ac:dyDescent="0.25">
      <c r="A8" s="13">
        <v>9</v>
      </c>
      <c r="B8" s="55" t="s">
        <v>1464</v>
      </c>
      <c r="C8" s="30" t="s">
        <v>1334</v>
      </c>
      <c r="D8" s="54" t="s">
        <v>1</v>
      </c>
    </row>
    <row r="9" spans="1:4" ht="6" customHeight="1" x14ac:dyDescent="0.25">
      <c r="A9" s="13">
        <v>10</v>
      </c>
      <c r="B9" s="55" t="s">
        <v>1472</v>
      </c>
      <c r="C9" s="30" t="s">
        <v>1471</v>
      </c>
      <c r="D9" s="54" t="s">
        <v>1</v>
      </c>
    </row>
    <row r="10" spans="1:4" ht="6" customHeight="1" x14ac:dyDescent="0.25">
      <c r="A10" s="13">
        <v>11</v>
      </c>
      <c r="B10" s="55" t="s">
        <v>1470</v>
      </c>
      <c r="C10" s="30" t="s">
        <v>1469</v>
      </c>
      <c r="D10" s="54" t="s">
        <v>1</v>
      </c>
    </row>
    <row r="11" spans="1:4" ht="6" customHeight="1" x14ac:dyDescent="0.25">
      <c r="A11" s="13">
        <v>12</v>
      </c>
      <c r="B11" s="55" t="s">
        <v>1455</v>
      </c>
      <c r="C11" s="30" t="s">
        <v>1488</v>
      </c>
      <c r="D11" s="54" t="s">
        <v>1489</v>
      </c>
    </row>
    <row r="12" spans="1:4" ht="6" customHeight="1" x14ac:dyDescent="0.25">
      <c r="A12" s="13">
        <v>13</v>
      </c>
      <c r="B12" s="55" t="s">
        <v>1492</v>
      </c>
      <c r="C12" s="30" t="s">
        <v>1497</v>
      </c>
      <c r="D12" s="54" t="s">
        <v>1</v>
      </c>
    </row>
  </sheetData>
  <conditionalFormatting sqref="A1:A12">
    <cfRule type="cellIs" dxfId="26" priority="32" operator="equal">
      <formula>"null"</formula>
    </cfRule>
  </conditionalFormatting>
  <conditionalFormatting sqref="B8:B9">
    <cfRule type="duplicateValues" dxfId="25" priority="553"/>
  </conditionalFormatting>
  <conditionalFormatting sqref="B10:B12">
    <cfRule type="duplicateValues" dxfId="24" priority="13"/>
  </conditionalFormatting>
  <conditionalFormatting sqref="B8:C12">
    <cfRule type="cellIs" dxfId="23" priority="9" operator="equal">
      <formula>"null"</formula>
    </cfRule>
  </conditionalFormatting>
  <conditionalFormatting sqref="C8:C9">
    <cfRule type="duplicateValues" dxfId="22" priority="555"/>
    <cfRule type="duplicateValues" dxfId="21" priority="556"/>
    <cfRule type="duplicateValues" dxfId="20" priority="557"/>
  </conditionalFormatting>
  <conditionalFormatting sqref="C10:C12">
    <cfRule type="duplicateValues" dxfId="19" priority="10"/>
    <cfRule type="duplicateValues" dxfId="18" priority="11"/>
    <cfRule type="duplicateValues" dxfId="1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zoomScale="175" zoomScaleNormal="175" workbookViewId="0">
      <pane ySplit="1" topLeftCell="A2" activePane="bottomLeft" state="frozen"/>
      <selection pane="bottomLeft" activeCell="C3" sqref="C3"/>
    </sheetView>
  </sheetViews>
  <sheetFormatPr defaultColWidth="12" defaultRowHeight="7.5" customHeight="1" x14ac:dyDescent="0.25"/>
  <cols>
    <col min="1" max="1" width="3.140625" style="62" bestFit="1" customWidth="1"/>
    <col min="2" max="2" width="11.5703125" style="25" customWidth="1"/>
    <col min="3" max="3" width="12.42578125" style="25" bestFit="1" customWidth="1"/>
    <col min="4" max="4" width="9.5703125" style="25" bestFit="1" customWidth="1"/>
    <col min="5" max="5" width="12.42578125" style="25" bestFit="1" customWidth="1"/>
    <col min="6" max="6" width="7.140625" style="25" bestFit="1" customWidth="1"/>
    <col min="7" max="7" width="14.28515625" style="25" bestFit="1" customWidth="1"/>
    <col min="8" max="8" width="12.5703125" style="25" bestFit="1" customWidth="1"/>
    <col min="9" max="9" width="8.42578125" style="25" bestFit="1" customWidth="1"/>
    <col min="10" max="10" width="6.85546875" style="25" bestFit="1" customWidth="1"/>
    <col min="11" max="11" width="11.5703125" style="25" bestFit="1" customWidth="1"/>
    <col min="12" max="12" width="4.28515625" style="25" bestFit="1" customWidth="1"/>
    <col min="13" max="13" width="3.85546875" style="25" bestFit="1" customWidth="1"/>
    <col min="14" max="14" width="6" style="25" bestFit="1" customWidth="1"/>
    <col min="15" max="15" width="64.28515625" style="25" bestFit="1" customWidth="1"/>
    <col min="16" max="16" width="3.85546875" style="25" bestFit="1" customWidth="1"/>
    <col min="17" max="17" width="19.140625" style="25" bestFit="1" customWidth="1"/>
    <col min="18" max="18" width="4.28515625" style="25" bestFit="1" customWidth="1"/>
    <col min="19" max="19" width="13.85546875" style="25" bestFit="1" customWidth="1"/>
    <col min="20" max="20" width="9.7109375" style="25" bestFit="1" customWidth="1"/>
    <col min="21" max="21" width="10.28515625" style="25" bestFit="1" customWidth="1"/>
    <col min="22" max="22" width="10.42578125" style="25" bestFit="1" customWidth="1"/>
    <col min="23" max="23" width="9.5703125" style="25" bestFit="1" customWidth="1"/>
    <col min="24" max="24" width="12.140625" style="25" bestFit="1" customWidth="1"/>
    <col min="25" max="25" width="4.85546875" style="52" bestFit="1" customWidth="1"/>
    <col min="26" max="26" width="8" style="25" bestFit="1" customWidth="1"/>
    <col min="27" max="27" width="3.85546875" style="52" bestFit="1" customWidth="1"/>
    <col min="28" max="28" width="8.140625" style="25" bestFit="1" customWidth="1"/>
    <col min="29" max="29" width="5.5703125" style="52" bestFit="1" customWidth="1"/>
    <col min="30" max="30" width="9.42578125" style="25" bestFit="1" customWidth="1"/>
    <col min="31" max="31" width="3.85546875" style="63" bestFit="1" customWidth="1"/>
    <col min="32" max="32" width="7" style="25" bestFit="1" customWidth="1"/>
    <col min="33" max="33" width="5.28515625" style="63" bestFit="1" customWidth="1"/>
    <col min="34" max="34" width="7.140625" style="25" bestFit="1" customWidth="1"/>
    <col min="35" max="35" width="5" style="63" bestFit="1" customWidth="1"/>
    <col min="36" max="36" width="4.28515625" style="25" bestFit="1" customWidth="1"/>
    <col min="37" max="37" width="3.85546875" style="63"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63" bestFit="1" customWidth="1"/>
    <col min="44" max="44" width="4.28515625" style="25" bestFit="1" customWidth="1"/>
    <col min="45" max="45" width="3.85546875" style="52" bestFit="1" customWidth="1"/>
    <col min="46" max="46" width="4.28515625" style="25" bestFit="1" customWidth="1"/>
    <col min="47" max="47" width="3.85546875" style="52" bestFit="1" customWidth="1"/>
    <col min="48" max="48" width="7.28515625" style="25" bestFit="1" customWidth="1"/>
    <col min="49" max="49" width="21.42578125" style="52" bestFit="1" customWidth="1"/>
    <col min="50" max="50" width="8.42578125" style="25" bestFit="1" customWidth="1"/>
    <col min="51" max="51" width="24.140625" style="52" bestFit="1" customWidth="1"/>
    <col min="52" max="52" width="5.7109375" style="25" bestFit="1" customWidth="1"/>
    <col min="53" max="53" width="19.7109375" style="52" bestFit="1" customWidth="1"/>
    <col min="54" max="54" width="4.28515625" style="25" bestFit="1" customWidth="1"/>
    <col min="55" max="55" width="9.5703125" style="52" bestFit="1" customWidth="1"/>
    <col min="56" max="56" width="5.28515625" style="25" bestFit="1" customWidth="1"/>
    <col min="57" max="57" width="13.7109375" style="52" bestFit="1" customWidth="1"/>
    <col min="58" max="16384" width="12" style="25"/>
  </cols>
  <sheetData>
    <row r="1" spans="1:57" ht="21" customHeight="1" x14ac:dyDescent="0.25">
      <c r="A1" s="29" t="s">
        <v>74</v>
      </c>
      <c r="B1" s="19" t="s">
        <v>34</v>
      </c>
      <c r="C1" s="19" t="s">
        <v>1945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25">
      <c r="A2" s="39">
        <v>2</v>
      </c>
      <c r="B2" s="64" t="s">
        <v>374</v>
      </c>
      <c r="C2" s="74" t="s">
        <v>553</v>
      </c>
      <c r="D2" s="18" t="s">
        <v>1</v>
      </c>
      <c r="E2" s="20" t="s">
        <v>1</v>
      </c>
      <c r="F2" s="18" t="s">
        <v>1</v>
      </c>
      <c r="G2" s="20" t="s">
        <v>1</v>
      </c>
      <c r="H2" s="18" t="s">
        <v>1</v>
      </c>
      <c r="I2" s="20" t="s">
        <v>1</v>
      </c>
      <c r="J2" s="18" t="s">
        <v>1</v>
      </c>
      <c r="K2" s="20" t="s">
        <v>1</v>
      </c>
      <c r="L2" s="18" t="s">
        <v>1</v>
      </c>
      <c r="M2" s="20" t="s">
        <v>1</v>
      </c>
      <c r="N2" s="33" t="s">
        <v>78</v>
      </c>
      <c r="O2" s="31" t="s">
        <v>1233</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1821</v>
      </c>
      <c r="AY2" s="41" t="s">
        <v>1935</v>
      </c>
      <c r="AZ2" s="33" t="s">
        <v>1234</v>
      </c>
      <c r="BA2" s="41" t="s">
        <v>1935</v>
      </c>
      <c r="BB2" s="33" t="s">
        <v>1931</v>
      </c>
      <c r="BC2" s="41" t="s">
        <v>1933</v>
      </c>
      <c r="BD2" s="33" t="s">
        <v>1932</v>
      </c>
      <c r="BE2" s="41" t="str">
        <f t="shared" ref="BE2:BE4" si="0">_xlfn.CONCAT("""",C2,"""")</f>
        <v>"Porto.Marítimo"</v>
      </c>
    </row>
    <row r="3" spans="1:57" ht="7.5" customHeight="1" x14ac:dyDescent="0.25">
      <c r="A3" s="39">
        <v>3</v>
      </c>
      <c r="B3" s="64" t="s">
        <v>99</v>
      </c>
      <c r="C3" s="84" t="s">
        <v>1402</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1821</v>
      </c>
      <c r="AY3" s="41" t="s">
        <v>1935</v>
      </c>
      <c r="AZ3" s="33" t="s">
        <v>1234</v>
      </c>
      <c r="BA3" s="41" t="s">
        <v>1935</v>
      </c>
      <c r="BB3" s="33" t="s">
        <v>1931</v>
      </c>
      <c r="BC3" s="41" t="s">
        <v>1933</v>
      </c>
      <c r="BD3" s="33" t="s">
        <v>1932</v>
      </c>
      <c r="BE3" s="41" t="str">
        <f t="shared" si="0"/>
        <v>"Vias"</v>
      </c>
    </row>
    <row r="4" spans="1:57" ht="7.5" customHeight="1" x14ac:dyDescent="0.25">
      <c r="A4" s="39">
        <v>4</v>
      </c>
      <c r="B4" s="66" t="s">
        <v>732</v>
      </c>
      <c r="C4" s="38" t="s">
        <v>620</v>
      </c>
      <c r="D4" s="18" t="s">
        <v>1</v>
      </c>
      <c r="E4" s="20" t="s">
        <v>1</v>
      </c>
      <c r="F4" s="18" t="s">
        <v>1</v>
      </c>
      <c r="G4" s="20" t="s">
        <v>1</v>
      </c>
      <c r="H4" s="18" t="s">
        <v>1</v>
      </c>
      <c r="I4" s="20" t="s">
        <v>1</v>
      </c>
      <c r="J4" s="18" t="s">
        <v>1</v>
      </c>
      <c r="K4" s="20" t="s">
        <v>1</v>
      </c>
      <c r="L4" s="18" t="s">
        <v>1</v>
      </c>
      <c r="M4" s="20" t="s">
        <v>1</v>
      </c>
      <c r="N4" s="40" t="s">
        <v>78</v>
      </c>
      <c r="O4" s="31" t="s">
        <v>733</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1821</v>
      </c>
      <c r="AY4" s="41" t="s">
        <v>1935</v>
      </c>
      <c r="AZ4" s="33" t="s">
        <v>1234</v>
      </c>
      <c r="BA4" s="41" t="s">
        <v>1935</v>
      </c>
      <c r="BB4" s="33" t="s">
        <v>1931</v>
      </c>
      <c r="BC4" s="41" t="s">
        <v>1933</v>
      </c>
      <c r="BD4" s="33" t="s">
        <v>1932</v>
      </c>
      <c r="BE4" s="41" t="str">
        <f t="shared" si="0"/>
        <v>"Continente"</v>
      </c>
    </row>
    <row r="5" spans="1:57" ht="7.5" customHeight="1" x14ac:dyDescent="0.25">
      <c r="A5" s="39">
        <v>5</v>
      </c>
      <c r="B5" s="66" t="s">
        <v>734</v>
      </c>
      <c r="C5" s="38" t="s">
        <v>621</v>
      </c>
      <c r="D5" s="18" t="s">
        <v>735</v>
      </c>
      <c r="E5" s="20" t="s">
        <v>732</v>
      </c>
      <c r="F5" s="18" t="s">
        <v>736</v>
      </c>
      <c r="G5" s="20" t="s">
        <v>732</v>
      </c>
      <c r="H5" s="18" t="s">
        <v>1</v>
      </c>
      <c r="I5" s="20" t="s">
        <v>1</v>
      </c>
      <c r="J5" s="18" t="s">
        <v>1</v>
      </c>
      <c r="K5" s="20" t="s">
        <v>1</v>
      </c>
      <c r="L5" s="18" t="s">
        <v>1</v>
      </c>
      <c r="M5" s="20" t="s">
        <v>1</v>
      </c>
      <c r="N5" s="40" t="s">
        <v>78</v>
      </c>
      <c r="O5" s="31" t="s">
        <v>737</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1821</v>
      </c>
      <c r="AY5" s="41" t="s">
        <v>1935</v>
      </c>
      <c r="AZ5" s="33" t="s">
        <v>1234</v>
      </c>
      <c r="BA5" s="41" t="s">
        <v>1935</v>
      </c>
      <c r="BB5" s="33" t="s">
        <v>1931</v>
      </c>
      <c r="BC5" s="41" t="s">
        <v>1933</v>
      </c>
      <c r="BD5" s="33" t="s">
        <v>1932</v>
      </c>
      <c r="BE5" s="41" t="str">
        <f t="shared" ref="BE5" si="1">_xlfn.CONCAT("""",C5,"""")</f>
        <v>"SubContinente"</v>
      </c>
    </row>
    <row r="6" spans="1:57" ht="7.5" customHeight="1" x14ac:dyDescent="0.25">
      <c r="A6" s="39">
        <v>6</v>
      </c>
      <c r="B6" s="67" t="s">
        <v>738</v>
      </c>
      <c r="C6" s="38" t="s">
        <v>624</v>
      </c>
      <c r="D6" s="18" t="s">
        <v>735</v>
      </c>
      <c r="E6" s="20" t="s">
        <v>734</v>
      </c>
      <c r="F6" s="18" t="s">
        <v>1</v>
      </c>
      <c r="G6" s="20" t="s">
        <v>1</v>
      </c>
      <c r="H6" s="18" t="s">
        <v>1</v>
      </c>
      <c r="I6" s="20" t="s">
        <v>1</v>
      </c>
      <c r="J6" s="18" t="s">
        <v>1</v>
      </c>
      <c r="K6" s="20" t="s">
        <v>1</v>
      </c>
      <c r="L6" s="18" t="s">
        <v>1</v>
      </c>
      <c r="M6" s="20" t="s">
        <v>1</v>
      </c>
      <c r="N6" s="40" t="s">
        <v>78</v>
      </c>
      <c r="O6" s="31" t="s">
        <v>739</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1821</v>
      </c>
      <c r="AY6" s="41" t="s">
        <v>1935</v>
      </c>
      <c r="AZ6" s="33" t="s">
        <v>1234</v>
      </c>
      <c r="BA6" s="41" t="s">
        <v>1935</v>
      </c>
      <c r="BB6" s="33" t="s">
        <v>1931</v>
      </c>
      <c r="BC6" s="41" t="s">
        <v>1933</v>
      </c>
      <c r="BD6" s="33" t="s">
        <v>1932</v>
      </c>
      <c r="BE6" s="41" t="str">
        <f t="shared" ref="BE6:BE10" si="2">_xlfn.CONCAT("""",C6,"""")</f>
        <v>"País"</v>
      </c>
    </row>
    <row r="7" spans="1:57" ht="7.5" customHeight="1" x14ac:dyDescent="0.25">
      <c r="A7" s="39">
        <v>7</v>
      </c>
      <c r="B7" s="68" t="s">
        <v>744</v>
      </c>
      <c r="C7" s="38" t="s">
        <v>627</v>
      </c>
      <c r="D7" s="46" t="s">
        <v>735</v>
      </c>
      <c r="E7" s="47" t="s">
        <v>738</v>
      </c>
      <c r="F7" s="18" t="s">
        <v>1</v>
      </c>
      <c r="G7" s="20" t="s">
        <v>1</v>
      </c>
      <c r="H7" s="18" t="s">
        <v>1</v>
      </c>
      <c r="I7" s="20" t="s">
        <v>1</v>
      </c>
      <c r="J7" s="18" t="s">
        <v>1</v>
      </c>
      <c r="K7" s="20" t="s">
        <v>1</v>
      </c>
      <c r="L7" s="18" t="s">
        <v>1</v>
      </c>
      <c r="M7" s="42" t="s">
        <v>1</v>
      </c>
      <c r="N7" s="40" t="s">
        <v>78</v>
      </c>
      <c r="O7" s="28" t="s">
        <v>749</v>
      </c>
      <c r="P7" s="40" t="s">
        <v>1</v>
      </c>
      <c r="Q7" s="28" t="s">
        <v>1</v>
      </c>
      <c r="R7" s="40" t="s">
        <v>747</v>
      </c>
      <c r="S7" s="28" t="s">
        <v>748</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1821</v>
      </c>
      <c r="AY7" s="41" t="s">
        <v>1935</v>
      </c>
      <c r="AZ7" s="33" t="s">
        <v>1234</v>
      </c>
      <c r="BA7" s="41" t="s">
        <v>1935</v>
      </c>
      <c r="BB7" s="33" t="s">
        <v>1931</v>
      </c>
      <c r="BC7" s="41" t="s">
        <v>1933</v>
      </c>
      <c r="BD7" s="33" t="s">
        <v>1932</v>
      </c>
      <c r="BE7" s="41" t="str">
        <f t="shared" ref="BE7:BE8" si="3">_xlfn.CONCAT("""",C7,"""")</f>
        <v>"Região"</v>
      </c>
    </row>
    <row r="8" spans="1:57" ht="7.5" customHeight="1" x14ac:dyDescent="0.25">
      <c r="A8" s="39">
        <v>8</v>
      </c>
      <c r="B8" s="68" t="s">
        <v>743</v>
      </c>
      <c r="C8" s="38" t="s">
        <v>627</v>
      </c>
      <c r="D8" s="46" t="s">
        <v>735</v>
      </c>
      <c r="E8" s="47" t="s">
        <v>738</v>
      </c>
      <c r="F8" s="18" t="s">
        <v>1</v>
      </c>
      <c r="G8" s="20" t="s">
        <v>1</v>
      </c>
      <c r="H8" s="18" t="s">
        <v>1</v>
      </c>
      <c r="I8" s="20" t="s">
        <v>1</v>
      </c>
      <c r="J8" s="18" t="s">
        <v>1</v>
      </c>
      <c r="K8" s="20" t="s">
        <v>1</v>
      </c>
      <c r="L8" s="18" t="s">
        <v>1</v>
      </c>
      <c r="M8" s="42" t="s">
        <v>1</v>
      </c>
      <c r="N8" s="40" t="s">
        <v>78</v>
      </c>
      <c r="O8" s="28" t="s">
        <v>750</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1821</v>
      </c>
      <c r="AY8" s="41" t="s">
        <v>1935</v>
      </c>
      <c r="AZ8" s="33" t="s">
        <v>1234</v>
      </c>
      <c r="BA8" s="41" t="s">
        <v>1935</v>
      </c>
      <c r="BB8" s="33" t="s">
        <v>1931</v>
      </c>
      <c r="BC8" s="41" t="s">
        <v>1933</v>
      </c>
      <c r="BD8" s="33" t="s">
        <v>1932</v>
      </c>
      <c r="BE8" s="41" t="str">
        <f t="shared" si="3"/>
        <v>"Região"</v>
      </c>
    </row>
    <row r="9" spans="1:57" ht="7.5" customHeight="1" x14ac:dyDescent="0.25">
      <c r="A9" s="39">
        <v>9</v>
      </c>
      <c r="B9" s="67" t="s">
        <v>741</v>
      </c>
      <c r="C9" s="38" t="s">
        <v>629</v>
      </c>
      <c r="D9" s="18" t="s">
        <v>735</v>
      </c>
      <c r="E9" s="42" t="s">
        <v>738</v>
      </c>
      <c r="F9" s="18" t="s">
        <v>1</v>
      </c>
      <c r="G9" s="20" t="s">
        <v>1</v>
      </c>
      <c r="H9" s="18" t="s">
        <v>1</v>
      </c>
      <c r="I9" s="20" t="s">
        <v>1</v>
      </c>
      <c r="J9" s="18" t="s">
        <v>1</v>
      </c>
      <c r="K9" s="20" t="s">
        <v>1</v>
      </c>
      <c r="L9" s="18" t="s">
        <v>1</v>
      </c>
      <c r="M9" s="20" t="s">
        <v>1</v>
      </c>
      <c r="N9" s="40" t="s">
        <v>78</v>
      </c>
      <c r="O9" s="31" t="s">
        <v>740</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1821</v>
      </c>
      <c r="AY9" s="41" t="s">
        <v>1935</v>
      </c>
      <c r="AZ9" s="33" t="s">
        <v>1234</v>
      </c>
      <c r="BA9" s="41" t="s">
        <v>1935</v>
      </c>
      <c r="BB9" s="33" t="s">
        <v>1931</v>
      </c>
      <c r="BC9" s="41" t="s">
        <v>1933</v>
      </c>
      <c r="BD9" s="33" t="s">
        <v>1932</v>
      </c>
      <c r="BE9" s="41" t="str">
        <f t="shared" si="2"/>
        <v>"Estado"</v>
      </c>
    </row>
    <row r="10" spans="1:57" ht="7.5" customHeight="1" x14ac:dyDescent="0.25">
      <c r="A10" s="39">
        <v>10</v>
      </c>
      <c r="B10" s="68" t="s">
        <v>745</v>
      </c>
      <c r="C10" s="38" t="s">
        <v>634</v>
      </c>
      <c r="D10" s="46" t="s">
        <v>735</v>
      </c>
      <c r="E10" s="47" t="s">
        <v>746</v>
      </c>
      <c r="F10" s="18" t="s">
        <v>1</v>
      </c>
      <c r="G10" s="20" t="s">
        <v>1</v>
      </c>
      <c r="H10" s="18" t="s">
        <v>1</v>
      </c>
      <c r="I10" s="20" t="s">
        <v>1</v>
      </c>
      <c r="J10" s="18" t="s">
        <v>742</v>
      </c>
      <c r="K10" s="42" t="s">
        <v>741</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1953</v>
      </c>
      <c r="AW10" s="41" t="s">
        <v>1954</v>
      </c>
      <c r="AX10" s="33" t="s">
        <v>1821</v>
      </c>
      <c r="AY10" s="41" t="s">
        <v>1955</v>
      </c>
      <c r="AZ10" s="33" t="s">
        <v>1234</v>
      </c>
      <c r="BA10" s="41" t="s">
        <v>1956</v>
      </c>
      <c r="BB10" s="33" t="s">
        <v>1931</v>
      </c>
      <c r="BC10" s="41" t="s">
        <v>1933</v>
      </c>
      <c r="BD10" s="33" t="s">
        <v>1932</v>
      </c>
      <c r="BE10" s="41" t="str">
        <f t="shared" si="2"/>
        <v>"Capital"</v>
      </c>
    </row>
    <row r="11" spans="1:57" ht="7.5" customHeight="1" x14ac:dyDescent="0.25">
      <c r="A11" s="39">
        <v>11</v>
      </c>
      <c r="B11" s="68" t="s">
        <v>754</v>
      </c>
      <c r="C11" s="38" t="s">
        <v>630</v>
      </c>
      <c r="D11" s="18" t="s">
        <v>735</v>
      </c>
      <c r="E11" s="42" t="s">
        <v>738</v>
      </c>
      <c r="F11" s="18" t="s">
        <v>1</v>
      </c>
      <c r="G11" s="20" t="s">
        <v>1</v>
      </c>
      <c r="H11" s="18" t="s">
        <v>1</v>
      </c>
      <c r="I11" s="20" t="s">
        <v>1</v>
      </c>
      <c r="J11" s="18" t="s">
        <v>1</v>
      </c>
      <c r="K11" s="20" t="s">
        <v>1</v>
      </c>
      <c r="L11" s="18" t="s">
        <v>1</v>
      </c>
      <c r="M11" s="20" t="s">
        <v>1</v>
      </c>
      <c r="N11" s="40" t="s">
        <v>78</v>
      </c>
      <c r="O11" s="31" t="s">
        <v>1960</v>
      </c>
      <c r="P11" s="40" t="s">
        <v>1</v>
      </c>
      <c r="Q11" s="28" t="s">
        <v>1</v>
      </c>
      <c r="R11" s="40" t="s">
        <v>751</v>
      </c>
      <c r="S11" s="48" t="s">
        <v>755</v>
      </c>
      <c r="T11" s="40" t="s">
        <v>752</v>
      </c>
      <c r="U11" s="43" t="s">
        <v>756</v>
      </c>
      <c r="V11" s="40" t="s">
        <v>753</v>
      </c>
      <c r="W11" s="28" t="s">
        <v>757</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1821</v>
      </c>
      <c r="AY11" s="41" t="s">
        <v>1935</v>
      </c>
      <c r="AZ11" s="33" t="s">
        <v>1234</v>
      </c>
      <c r="BA11" s="41" t="s">
        <v>1935</v>
      </c>
      <c r="BB11" s="33" t="s">
        <v>1931</v>
      </c>
      <c r="BC11" s="41" t="s">
        <v>1933</v>
      </c>
      <c r="BD11" s="33" t="s">
        <v>1932</v>
      </c>
      <c r="BE11" s="41" t="str">
        <f t="shared" ref="BE11" si="5">_xlfn.CONCAT("""",C11,"""")</f>
        <v>"UF"</v>
      </c>
    </row>
    <row r="12" spans="1:57" ht="7.5" customHeight="1" x14ac:dyDescent="0.25">
      <c r="A12" s="39">
        <v>12</v>
      </c>
      <c r="B12" s="67" t="s">
        <v>746</v>
      </c>
      <c r="C12" s="38" t="s">
        <v>630</v>
      </c>
      <c r="D12" s="18" t="s">
        <v>735</v>
      </c>
      <c r="E12" s="42" t="s">
        <v>738</v>
      </c>
      <c r="F12" s="46" t="s">
        <v>758</v>
      </c>
      <c r="G12" s="47" t="s">
        <v>754</v>
      </c>
      <c r="H12" s="46" t="s">
        <v>758</v>
      </c>
      <c r="I12" s="42" t="s">
        <v>741</v>
      </c>
      <c r="J12" s="18" t="s">
        <v>1</v>
      </c>
      <c r="K12" s="20" t="s">
        <v>1</v>
      </c>
      <c r="L12" s="18" t="s">
        <v>1</v>
      </c>
      <c r="M12" s="20" t="s">
        <v>1</v>
      </c>
      <c r="N12" s="40" t="s">
        <v>78</v>
      </c>
      <c r="O12" s="31" t="s">
        <v>1960</v>
      </c>
      <c r="P12" s="40" t="s">
        <v>1</v>
      </c>
      <c r="Q12" s="28" t="s">
        <v>1</v>
      </c>
      <c r="R12" s="40" t="s">
        <v>751</v>
      </c>
      <c r="S12" s="48" t="s">
        <v>755</v>
      </c>
      <c r="T12" s="40" t="s">
        <v>752</v>
      </c>
      <c r="U12" s="43" t="s">
        <v>756</v>
      </c>
      <c r="V12" s="40" t="s">
        <v>753</v>
      </c>
      <c r="W12" s="28" t="s">
        <v>757</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1821</v>
      </c>
      <c r="AY12" s="41" t="s">
        <v>1935</v>
      </c>
      <c r="AZ12" s="33" t="s">
        <v>1234</v>
      </c>
      <c r="BA12" s="41" t="s">
        <v>1935</v>
      </c>
      <c r="BB12" s="33" t="s">
        <v>1931</v>
      </c>
      <c r="BC12" s="41" t="s">
        <v>1933</v>
      </c>
      <c r="BD12" s="33" t="s">
        <v>1932</v>
      </c>
      <c r="BE12" s="41" t="str">
        <f t="shared" ref="BE12:BE50" si="6">_xlfn.CONCAT("""",C12,"""")</f>
        <v>"UF"</v>
      </c>
    </row>
    <row r="13" spans="1:57" ht="7.5" customHeight="1" x14ac:dyDescent="0.25">
      <c r="A13" s="39">
        <v>13</v>
      </c>
      <c r="B13" s="67" t="s">
        <v>759</v>
      </c>
      <c r="C13" s="38" t="s">
        <v>644</v>
      </c>
      <c r="D13" s="18" t="s">
        <v>735</v>
      </c>
      <c r="E13" s="42" t="s">
        <v>745</v>
      </c>
      <c r="F13" s="18" t="s">
        <v>1</v>
      </c>
      <c r="G13" s="20" t="s">
        <v>1</v>
      </c>
      <c r="H13" s="18" t="s">
        <v>1</v>
      </c>
      <c r="I13" s="20" t="s">
        <v>1</v>
      </c>
      <c r="J13" s="18" t="s">
        <v>1</v>
      </c>
      <c r="K13" s="20" t="s">
        <v>1</v>
      </c>
      <c r="L13" s="18" t="s">
        <v>1</v>
      </c>
      <c r="M13" s="20" t="s">
        <v>1</v>
      </c>
      <c r="N13" s="40" t="s">
        <v>78</v>
      </c>
      <c r="O13" s="31" t="s">
        <v>760</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1821</v>
      </c>
      <c r="AY13" s="41" t="s">
        <v>1935</v>
      </c>
      <c r="AZ13" s="33" t="s">
        <v>1234</v>
      </c>
      <c r="BA13" s="41" t="s">
        <v>1935</v>
      </c>
      <c r="BB13" s="33" t="s">
        <v>1931</v>
      </c>
      <c r="BC13" s="41" t="s">
        <v>757</v>
      </c>
      <c r="BD13" s="33" t="s">
        <v>1932</v>
      </c>
      <c r="BE13" s="41" t="str">
        <f t="shared" si="6"/>
        <v>"Area.de.Planejamento"</v>
      </c>
    </row>
    <row r="14" spans="1:57" ht="7.5" customHeight="1" x14ac:dyDescent="0.25">
      <c r="A14" s="39">
        <v>14</v>
      </c>
      <c r="B14" s="67" t="s">
        <v>761</v>
      </c>
      <c r="C14" s="38" t="s">
        <v>644</v>
      </c>
      <c r="D14" s="18" t="s">
        <v>735</v>
      </c>
      <c r="E14" s="42" t="s">
        <v>745</v>
      </c>
      <c r="F14" s="18" t="s">
        <v>1</v>
      </c>
      <c r="G14" s="20" t="s">
        <v>1</v>
      </c>
      <c r="H14" s="18" t="s">
        <v>1</v>
      </c>
      <c r="I14" s="20" t="s">
        <v>1</v>
      </c>
      <c r="J14" s="18" t="s">
        <v>1</v>
      </c>
      <c r="K14" s="20" t="s">
        <v>1</v>
      </c>
      <c r="L14" s="18" t="s">
        <v>1</v>
      </c>
      <c r="M14" s="20" t="s">
        <v>1</v>
      </c>
      <c r="N14" s="40" t="s">
        <v>78</v>
      </c>
      <c r="O14" s="31" t="s">
        <v>762</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1821</v>
      </c>
      <c r="AY14" s="41" t="s">
        <v>1935</v>
      </c>
      <c r="AZ14" s="33" t="s">
        <v>1234</v>
      </c>
      <c r="BA14" s="41" t="s">
        <v>1935</v>
      </c>
      <c r="BB14" s="33" t="s">
        <v>1931</v>
      </c>
      <c r="BC14" s="41" t="s">
        <v>757</v>
      </c>
      <c r="BD14" s="33" t="s">
        <v>1932</v>
      </c>
      <c r="BE14" s="41" t="str">
        <f t="shared" si="6"/>
        <v>"Area.de.Planejamento"</v>
      </c>
    </row>
    <row r="15" spans="1:57" ht="7.5" customHeight="1" x14ac:dyDescent="0.25">
      <c r="A15" s="39">
        <v>15</v>
      </c>
      <c r="B15" s="67" t="s">
        <v>763</v>
      </c>
      <c r="C15" s="38" t="s">
        <v>644</v>
      </c>
      <c r="D15" s="18" t="s">
        <v>735</v>
      </c>
      <c r="E15" s="42" t="s">
        <v>745</v>
      </c>
      <c r="F15" s="18" t="s">
        <v>1</v>
      </c>
      <c r="G15" s="20" t="s">
        <v>1</v>
      </c>
      <c r="H15" s="18" t="s">
        <v>1</v>
      </c>
      <c r="I15" s="20" t="s">
        <v>1</v>
      </c>
      <c r="J15" s="18" t="s">
        <v>1</v>
      </c>
      <c r="K15" s="20" t="s">
        <v>1</v>
      </c>
      <c r="L15" s="18" t="s">
        <v>1</v>
      </c>
      <c r="M15" s="20" t="s">
        <v>1</v>
      </c>
      <c r="N15" s="40" t="s">
        <v>78</v>
      </c>
      <c r="O15" s="31" t="s">
        <v>764</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1821</v>
      </c>
      <c r="AY15" s="41" t="s">
        <v>1935</v>
      </c>
      <c r="AZ15" s="33" t="s">
        <v>1234</v>
      </c>
      <c r="BA15" s="41" t="s">
        <v>1935</v>
      </c>
      <c r="BB15" s="33" t="s">
        <v>1931</v>
      </c>
      <c r="BC15" s="41" t="s">
        <v>757</v>
      </c>
      <c r="BD15" s="33" t="s">
        <v>1932</v>
      </c>
      <c r="BE15" s="41" t="str">
        <f t="shared" si="6"/>
        <v>"Area.de.Planejamento"</v>
      </c>
    </row>
    <row r="16" spans="1:57" ht="7.5" customHeight="1" x14ac:dyDescent="0.25">
      <c r="A16" s="39">
        <v>16</v>
      </c>
      <c r="B16" s="67" t="s">
        <v>765</v>
      </c>
      <c r="C16" s="38" t="s">
        <v>644</v>
      </c>
      <c r="D16" s="18" t="s">
        <v>735</v>
      </c>
      <c r="E16" s="42" t="s">
        <v>745</v>
      </c>
      <c r="F16" s="18" t="s">
        <v>1</v>
      </c>
      <c r="G16" s="20" t="s">
        <v>1</v>
      </c>
      <c r="H16" s="18" t="s">
        <v>1</v>
      </c>
      <c r="I16" s="20" t="s">
        <v>1</v>
      </c>
      <c r="J16" s="18" t="s">
        <v>1</v>
      </c>
      <c r="K16" s="20" t="s">
        <v>1</v>
      </c>
      <c r="L16" s="18" t="s">
        <v>1</v>
      </c>
      <c r="M16" s="20" t="s">
        <v>1</v>
      </c>
      <c r="N16" s="40" t="s">
        <v>78</v>
      </c>
      <c r="O16" s="31" t="s">
        <v>766</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1821</v>
      </c>
      <c r="AY16" s="41" t="s">
        <v>1935</v>
      </c>
      <c r="AZ16" s="33" t="s">
        <v>1234</v>
      </c>
      <c r="BA16" s="41" t="s">
        <v>1935</v>
      </c>
      <c r="BB16" s="33" t="s">
        <v>1931</v>
      </c>
      <c r="BC16" s="41" t="s">
        <v>757</v>
      </c>
      <c r="BD16" s="33" t="s">
        <v>1932</v>
      </c>
      <c r="BE16" s="41" t="str">
        <f t="shared" si="6"/>
        <v>"Area.de.Planejamento"</v>
      </c>
    </row>
    <row r="17" spans="1:57" ht="7.5" customHeight="1" x14ac:dyDescent="0.25">
      <c r="A17" s="39">
        <v>17</v>
      </c>
      <c r="B17" s="67" t="s">
        <v>767</v>
      </c>
      <c r="C17" s="38" t="s">
        <v>644</v>
      </c>
      <c r="D17" s="18" t="s">
        <v>735</v>
      </c>
      <c r="E17" s="42" t="s">
        <v>745</v>
      </c>
      <c r="F17" s="18" t="s">
        <v>1</v>
      </c>
      <c r="G17" s="20" t="s">
        <v>1</v>
      </c>
      <c r="H17" s="18" t="s">
        <v>1</v>
      </c>
      <c r="I17" s="20" t="s">
        <v>1</v>
      </c>
      <c r="J17" s="18" t="s">
        <v>1</v>
      </c>
      <c r="K17" s="20" t="s">
        <v>1</v>
      </c>
      <c r="L17" s="18" t="s">
        <v>1</v>
      </c>
      <c r="M17" s="20" t="s">
        <v>1</v>
      </c>
      <c r="N17" s="40" t="s">
        <v>78</v>
      </c>
      <c r="O17" s="31" t="s">
        <v>768</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1821</v>
      </c>
      <c r="AY17" s="41" t="s">
        <v>1935</v>
      </c>
      <c r="AZ17" s="33" t="s">
        <v>1234</v>
      </c>
      <c r="BA17" s="41" t="s">
        <v>1935</v>
      </c>
      <c r="BB17" s="33" t="s">
        <v>1931</v>
      </c>
      <c r="BC17" s="41" t="s">
        <v>757</v>
      </c>
      <c r="BD17" s="33" t="s">
        <v>1932</v>
      </c>
      <c r="BE17" s="41" t="str">
        <f t="shared" si="6"/>
        <v>"Area.de.Planejamento"</v>
      </c>
    </row>
    <row r="18" spans="1:57" ht="7.5" customHeight="1" x14ac:dyDescent="0.25">
      <c r="A18" s="39">
        <v>18</v>
      </c>
      <c r="B18" s="67" t="s">
        <v>769</v>
      </c>
      <c r="C18" s="38" t="s">
        <v>646</v>
      </c>
      <c r="D18" s="18" t="s">
        <v>735</v>
      </c>
      <c r="E18" s="42" t="s">
        <v>759</v>
      </c>
      <c r="F18" s="18" t="s">
        <v>758</v>
      </c>
      <c r="G18" s="42" t="s">
        <v>770</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1821</v>
      </c>
      <c r="AY18" s="41" t="s">
        <v>1935</v>
      </c>
      <c r="AZ18" s="33" t="s">
        <v>1234</v>
      </c>
      <c r="BA18" s="41" t="s">
        <v>1935</v>
      </c>
      <c r="BB18" s="33" t="s">
        <v>1931</v>
      </c>
      <c r="BC18" s="41" t="s">
        <v>757</v>
      </c>
      <c r="BD18" s="33" t="s">
        <v>1932</v>
      </c>
      <c r="BE18" s="41" t="str">
        <f t="shared" si="6"/>
        <v>"Região.Administrativa"</v>
      </c>
    </row>
    <row r="19" spans="1:57" ht="7.5" customHeight="1" x14ac:dyDescent="0.25">
      <c r="A19" s="39">
        <v>19</v>
      </c>
      <c r="B19" s="67" t="s">
        <v>771</v>
      </c>
      <c r="C19" s="38" t="s">
        <v>646</v>
      </c>
      <c r="D19" s="18" t="s">
        <v>735</v>
      </c>
      <c r="E19" s="42" t="s">
        <v>759</v>
      </c>
      <c r="F19" s="18" t="s">
        <v>758</v>
      </c>
      <c r="G19" s="42" t="s">
        <v>772</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1821</v>
      </c>
      <c r="AY19" s="41" t="s">
        <v>1935</v>
      </c>
      <c r="AZ19" s="33" t="s">
        <v>1234</v>
      </c>
      <c r="BA19" s="41" t="s">
        <v>1935</v>
      </c>
      <c r="BB19" s="33" t="s">
        <v>1931</v>
      </c>
      <c r="BC19" s="41" t="s">
        <v>757</v>
      </c>
      <c r="BD19" s="33" t="s">
        <v>1932</v>
      </c>
      <c r="BE19" s="41" t="str">
        <f t="shared" si="6"/>
        <v>"Região.Administrativa"</v>
      </c>
    </row>
    <row r="20" spans="1:57" ht="7.5" customHeight="1" x14ac:dyDescent="0.25">
      <c r="A20" s="39">
        <v>20</v>
      </c>
      <c r="B20" s="67" t="s">
        <v>773</v>
      </c>
      <c r="C20" s="38" t="s">
        <v>646</v>
      </c>
      <c r="D20" s="18" t="s">
        <v>735</v>
      </c>
      <c r="E20" s="42" t="s">
        <v>759</v>
      </c>
      <c r="F20" s="18" t="s">
        <v>758</v>
      </c>
      <c r="G20" s="42" t="s">
        <v>774</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1821</v>
      </c>
      <c r="AY20" s="41" t="s">
        <v>1935</v>
      </c>
      <c r="AZ20" s="33" t="s">
        <v>1234</v>
      </c>
      <c r="BA20" s="41" t="s">
        <v>1935</v>
      </c>
      <c r="BB20" s="33" t="s">
        <v>1931</v>
      </c>
      <c r="BC20" s="41" t="s">
        <v>757</v>
      </c>
      <c r="BD20" s="33" t="s">
        <v>1932</v>
      </c>
      <c r="BE20" s="41" t="str">
        <f t="shared" si="6"/>
        <v>"Região.Administrativa"</v>
      </c>
    </row>
    <row r="21" spans="1:57" ht="7.5" customHeight="1" x14ac:dyDescent="0.25">
      <c r="A21" s="39">
        <v>21</v>
      </c>
      <c r="B21" s="67" t="s">
        <v>775</v>
      </c>
      <c r="C21" s="38" t="s">
        <v>646</v>
      </c>
      <c r="D21" s="18" t="s">
        <v>735</v>
      </c>
      <c r="E21" s="42" t="s">
        <v>761</v>
      </c>
      <c r="F21" s="18" t="s">
        <v>758</v>
      </c>
      <c r="G21" s="42" t="s">
        <v>776</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1821</v>
      </c>
      <c r="AY21" s="41" t="s">
        <v>1935</v>
      </c>
      <c r="AZ21" s="33" t="s">
        <v>1234</v>
      </c>
      <c r="BA21" s="41" t="s">
        <v>1935</v>
      </c>
      <c r="BB21" s="33" t="s">
        <v>1931</v>
      </c>
      <c r="BC21" s="41" t="s">
        <v>757</v>
      </c>
      <c r="BD21" s="33" t="s">
        <v>1932</v>
      </c>
      <c r="BE21" s="41" t="str">
        <f t="shared" si="6"/>
        <v>"Região.Administrativa"</v>
      </c>
    </row>
    <row r="22" spans="1:57" ht="7.5" customHeight="1" x14ac:dyDescent="0.25">
      <c r="A22" s="39">
        <v>22</v>
      </c>
      <c r="B22" s="67" t="s">
        <v>777</v>
      </c>
      <c r="C22" s="38" t="s">
        <v>646</v>
      </c>
      <c r="D22" s="18" t="s">
        <v>735</v>
      </c>
      <c r="E22" s="42" t="s">
        <v>761</v>
      </c>
      <c r="F22" s="18" t="s">
        <v>758</v>
      </c>
      <c r="G22" s="42" t="s">
        <v>778</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1821</v>
      </c>
      <c r="AY22" s="41" t="s">
        <v>1935</v>
      </c>
      <c r="AZ22" s="33" t="s">
        <v>1234</v>
      </c>
      <c r="BA22" s="41" t="s">
        <v>1935</v>
      </c>
      <c r="BB22" s="33" t="s">
        <v>1931</v>
      </c>
      <c r="BC22" s="41" t="s">
        <v>757</v>
      </c>
      <c r="BD22" s="33" t="s">
        <v>1932</v>
      </c>
      <c r="BE22" s="41" t="str">
        <f t="shared" si="6"/>
        <v>"Região.Administrativa"</v>
      </c>
    </row>
    <row r="23" spans="1:57" ht="7.5" customHeight="1" x14ac:dyDescent="0.25">
      <c r="A23" s="39">
        <v>23</v>
      </c>
      <c r="B23" s="67" t="s">
        <v>779</v>
      </c>
      <c r="C23" s="38" t="s">
        <v>646</v>
      </c>
      <c r="D23" s="18" t="s">
        <v>735</v>
      </c>
      <c r="E23" s="42" t="s">
        <v>761</v>
      </c>
      <c r="F23" s="18" t="s">
        <v>758</v>
      </c>
      <c r="G23" s="42" t="s">
        <v>780</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1821</v>
      </c>
      <c r="AY23" s="41" t="s">
        <v>1935</v>
      </c>
      <c r="AZ23" s="33" t="s">
        <v>1234</v>
      </c>
      <c r="BA23" s="41" t="s">
        <v>1935</v>
      </c>
      <c r="BB23" s="33" t="s">
        <v>1931</v>
      </c>
      <c r="BC23" s="41" t="s">
        <v>757</v>
      </c>
      <c r="BD23" s="33" t="s">
        <v>1932</v>
      </c>
      <c r="BE23" s="41" t="str">
        <f t="shared" si="6"/>
        <v>"Região.Administrativa"</v>
      </c>
    </row>
    <row r="24" spans="1:57" ht="7.5" customHeight="1" x14ac:dyDescent="0.25">
      <c r="A24" s="39">
        <v>24</v>
      </c>
      <c r="B24" s="67" t="s">
        <v>781</v>
      </c>
      <c r="C24" s="38" t="s">
        <v>646</v>
      </c>
      <c r="D24" s="18" t="s">
        <v>735</v>
      </c>
      <c r="E24" s="42" t="s">
        <v>759</v>
      </c>
      <c r="F24" s="18" t="s">
        <v>758</v>
      </c>
      <c r="G24" s="42" t="s">
        <v>782</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1821</v>
      </c>
      <c r="AY24" s="41" t="s">
        <v>1935</v>
      </c>
      <c r="AZ24" s="33" t="s">
        <v>1234</v>
      </c>
      <c r="BA24" s="41" t="s">
        <v>1935</v>
      </c>
      <c r="BB24" s="33" t="s">
        <v>1931</v>
      </c>
      <c r="BC24" s="41" t="s">
        <v>757</v>
      </c>
      <c r="BD24" s="33" t="s">
        <v>1932</v>
      </c>
      <c r="BE24" s="41" t="str">
        <f t="shared" si="6"/>
        <v>"Região.Administrativa"</v>
      </c>
    </row>
    <row r="25" spans="1:57" ht="7.5" customHeight="1" x14ac:dyDescent="0.25">
      <c r="A25" s="39">
        <v>25</v>
      </c>
      <c r="B25" s="67" t="s">
        <v>783</v>
      </c>
      <c r="C25" s="38" t="s">
        <v>646</v>
      </c>
      <c r="D25" s="18" t="s">
        <v>735</v>
      </c>
      <c r="E25" s="42" t="s">
        <v>761</v>
      </c>
      <c r="F25" s="18" t="s">
        <v>758</v>
      </c>
      <c r="G25" s="42" t="s">
        <v>784</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1821</v>
      </c>
      <c r="AY25" s="41" t="s">
        <v>1935</v>
      </c>
      <c r="AZ25" s="33" t="s">
        <v>1234</v>
      </c>
      <c r="BA25" s="41" t="s">
        <v>1935</v>
      </c>
      <c r="BB25" s="33" t="s">
        <v>1931</v>
      </c>
      <c r="BC25" s="41" t="s">
        <v>757</v>
      </c>
      <c r="BD25" s="33" t="s">
        <v>1932</v>
      </c>
      <c r="BE25" s="41" t="str">
        <f t="shared" si="6"/>
        <v>"Região.Administrativa"</v>
      </c>
    </row>
    <row r="26" spans="1:57" ht="7.5" customHeight="1" x14ac:dyDescent="0.25">
      <c r="A26" s="39">
        <v>26</v>
      </c>
      <c r="B26" s="67" t="s">
        <v>785</v>
      </c>
      <c r="C26" s="38" t="s">
        <v>646</v>
      </c>
      <c r="D26" s="18" t="s">
        <v>735</v>
      </c>
      <c r="E26" s="42" t="s">
        <v>761</v>
      </c>
      <c r="F26" s="18" t="s">
        <v>758</v>
      </c>
      <c r="G26" s="42" t="s">
        <v>786</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1821</v>
      </c>
      <c r="AY26" s="41" t="s">
        <v>1935</v>
      </c>
      <c r="AZ26" s="33" t="s">
        <v>1234</v>
      </c>
      <c r="BA26" s="41" t="s">
        <v>1935</v>
      </c>
      <c r="BB26" s="33" t="s">
        <v>1931</v>
      </c>
      <c r="BC26" s="41" t="s">
        <v>757</v>
      </c>
      <c r="BD26" s="33" t="s">
        <v>1932</v>
      </c>
      <c r="BE26" s="41" t="str">
        <f t="shared" si="6"/>
        <v>"Região.Administrativa"</v>
      </c>
    </row>
    <row r="27" spans="1:57" ht="7.5" customHeight="1" x14ac:dyDescent="0.25">
      <c r="A27" s="39">
        <v>27</v>
      </c>
      <c r="B27" s="67" t="s">
        <v>787</v>
      </c>
      <c r="C27" s="38" t="s">
        <v>646</v>
      </c>
      <c r="D27" s="18" t="s">
        <v>735</v>
      </c>
      <c r="E27" s="42" t="s">
        <v>763</v>
      </c>
      <c r="F27" s="18" t="s">
        <v>758</v>
      </c>
      <c r="G27" s="42" t="s">
        <v>788</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1821</v>
      </c>
      <c r="AY27" s="41" t="s">
        <v>1935</v>
      </c>
      <c r="AZ27" s="33" t="s">
        <v>1234</v>
      </c>
      <c r="BA27" s="41" t="s">
        <v>1935</v>
      </c>
      <c r="BB27" s="33" t="s">
        <v>1931</v>
      </c>
      <c r="BC27" s="41" t="s">
        <v>757</v>
      </c>
      <c r="BD27" s="33" t="s">
        <v>1932</v>
      </c>
      <c r="BE27" s="41" t="str">
        <f t="shared" si="6"/>
        <v>"Região.Administrativa"</v>
      </c>
    </row>
    <row r="28" spans="1:57" ht="7.5" customHeight="1" x14ac:dyDescent="0.25">
      <c r="A28" s="39">
        <v>28</v>
      </c>
      <c r="B28" s="67" t="s">
        <v>789</v>
      </c>
      <c r="C28" s="38" t="s">
        <v>646</v>
      </c>
      <c r="D28" s="18" t="s">
        <v>735</v>
      </c>
      <c r="E28" s="42" t="s">
        <v>763</v>
      </c>
      <c r="F28" s="18" t="s">
        <v>758</v>
      </c>
      <c r="G28" s="42" t="s">
        <v>790</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1821</v>
      </c>
      <c r="AY28" s="41" t="s">
        <v>1935</v>
      </c>
      <c r="AZ28" s="33" t="s">
        <v>1234</v>
      </c>
      <c r="BA28" s="41" t="s">
        <v>1935</v>
      </c>
      <c r="BB28" s="33" t="s">
        <v>1931</v>
      </c>
      <c r="BC28" s="41" t="s">
        <v>757</v>
      </c>
      <c r="BD28" s="33" t="s">
        <v>1932</v>
      </c>
      <c r="BE28" s="41" t="str">
        <f t="shared" si="6"/>
        <v>"Região.Administrativa"</v>
      </c>
    </row>
    <row r="29" spans="1:57" ht="7.5" customHeight="1" x14ac:dyDescent="0.25">
      <c r="A29" s="39">
        <v>29</v>
      </c>
      <c r="B29" s="67" t="s">
        <v>791</v>
      </c>
      <c r="C29" s="38" t="s">
        <v>646</v>
      </c>
      <c r="D29" s="18" t="s">
        <v>735</v>
      </c>
      <c r="E29" s="42" t="s">
        <v>763</v>
      </c>
      <c r="F29" s="18" t="s">
        <v>758</v>
      </c>
      <c r="G29" s="42" t="s">
        <v>792</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1821</v>
      </c>
      <c r="AY29" s="41" t="s">
        <v>1935</v>
      </c>
      <c r="AZ29" s="33" t="s">
        <v>1234</v>
      </c>
      <c r="BA29" s="41" t="s">
        <v>1935</v>
      </c>
      <c r="BB29" s="33" t="s">
        <v>1931</v>
      </c>
      <c r="BC29" s="41" t="s">
        <v>757</v>
      </c>
      <c r="BD29" s="33" t="s">
        <v>1932</v>
      </c>
      <c r="BE29" s="41" t="str">
        <f t="shared" si="6"/>
        <v>"Região.Administrativa"</v>
      </c>
    </row>
    <row r="30" spans="1:57" ht="7.5" customHeight="1" x14ac:dyDescent="0.25">
      <c r="A30" s="39">
        <v>30</v>
      </c>
      <c r="B30" s="67" t="s">
        <v>793</v>
      </c>
      <c r="C30" s="38" t="s">
        <v>646</v>
      </c>
      <c r="D30" s="18" t="s">
        <v>735</v>
      </c>
      <c r="E30" s="42" t="s">
        <v>763</v>
      </c>
      <c r="F30" s="18" t="s">
        <v>758</v>
      </c>
      <c r="G30" s="42" t="s">
        <v>794</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1821</v>
      </c>
      <c r="AY30" s="41" t="s">
        <v>1935</v>
      </c>
      <c r="AZ30" s="33" t="s">
        <v>1234</v>
      </c>
      <c r="BA30" s="41" t="s">
        <v>1935</v>
      </c>
      <c r="BB30" s="33" t="s">
        <v>1931</v>
      </c>
      <c r="BC30" s="41" t="s">
        <v>757</v>
      </c>
      <c r="BD30" s="33" t="s">
        <v>1932</v>
      </c>
      <c r="BE30" s="41" t="str">
        <f t="shared" si="6"/>
        <v>"Região.Administrativa"</v>
      </c>
    </row>
    <row r="31" spans="1:57" ht="7.5" customHeight="1" x14ac:dyDescent="0.25">
      <c r="A31" s="39">
        <v>31</v>
      </c>
      <c r="B31" s="67" t="s">
        <v>795</v>
      </c>
      <c r="C31" s="38" t="s">
        <v>646</v>
      </c>
      <c r="D31" s="18" t="s">
        <v>735</v>
      </c>
      <c r="E31" s="42" t="s">
        <v>763</v>
      </c>
      <c r="F31" s="18" t="s">
        <v>758</v>
      </c>
      <c r="G31" s="42" t="s">
        <v>796</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1821</v>
      </c>
      <c r="AY31" s="41" t="s">
        <v>1935</v>
      </c>
      <c r="AZ31" s="33" t="s">
        <v>1234</v>
      </c>
      <c r="BA31" s="41" t="s">
        <v>1935</v>
      </c>
      <c r="BB31" s="33" t="s">
        <v>1931</v>
      </c>
      <c r="BC31" s="41" t="s">
        <v>757</v>
      </c>
      <c r="BD31" s="33" t="s">
        <v>1932</v>
      </c>
      <c r="BE31" s="41" t="str">
        <f t="shared" si="6"/>
        <v>"Região.Administrativa"</v>
      </c>
    </row>
    <row r="32" spans="1:57" ht="7.5" customHeight="1" x14ac:dyDescent="0.25">
      <c r="A32" s="39">
        <v>32</v>
      </c>
      <c r="B32" s="67" t="s">
        <v>797</v>
      </c>
      <c r="C32" s="38" t="s">
        <v>646</v>
      </c>
      <c r="D32" s="18" t="s">
        <v>735</v>
      </c>
      <c r="E32" s="42" t="s">
        <v>763</v>
      </c>
      <c r="F32" s="18" t="s">
        <v>758</v>
      </c>
      <c r="G32" s="42" t="s">
        <v>798</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1821</v>
      </c>
      <c r="AY32" s="41" t="s">
        <v>1935</v>
      </c>
      <c r="AZ32" s="33" t="s">
        <v>1234</v>
      </c>
      <c r="BA32" s="41" t="s">
        <v>1935</v>
      </c>
      <c r="BB32" s="33" t="s">
        <v>1931</v>
      </c>
      <c r="BC32" s="41" t="s">
        <v>757</v>
      </c>
      <c r="BD32" s="33" t="s">
        <v>1932</v>
      </c>
      <c r="BE32" s="41" t="str">
        <f t="shared" si="6"/>
        <v>"Região.Administrativa"</v>
      </c>
    </row>
    <row r="33" spans="1:57" ht="7.5" customHeight="1" x14ac:dyDescent="0.25">
      <c r="A33" s="39">
        <v>33</v>
      </c>
      <c r="B33" s="67" t="s">
        <v>799</v>
      </c>
      <c r="C33" s="38" t="s">
        <v>646</v>
      </c>
      <c r="D33" s="18" t="s">
        <v>735</v>
      </c>
      <c r="E33" s="42" t="s">
        <v>765</v>
      </c>
      <c r="F33" s="18" t="s">
        <v>758</v>
      </c>
      <c r="G33" s="42" t="s">
        <v>800</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1821</v>
      </c>
      <c r="AY33" s="41" t="s">
        <v>1935</v>
      </c>
      <c r="AZ33" s="33" t="s">
        <v>1234</v>
      </c>
      <c r="BA33" s="41" t="s">
        <v>1935</v>
      </c>
      <c r="BB33" s="33" t="s">
        <v>1931</v>
      </c>
      <c r="BC33" s="41" t="s">
        <v>757</v>
      </c>
      <c r="BD33" s="33" t="s">
        <v>1932</v>
      </c>
      <c r="BE33" s="41" t="str">
        <f t="shared" si="6"/>
        <v>"Região.Administrativa"</v>
      </c>
    </row>
    <row r="34" spans="1:57" ht="7.5" customHeight="1" x14ac:dyDescent="0.25">
      <c r="A34" s="39">
        <v>34</v>
      </c>
      <c r="B34" s="67" t="s">
        <v>801</v>
      </c>
      <c r="C34" s="38" t="s">
        <v>646</v>
      </c>
      <c r="D34" s="18" t="s">
        <v>735</v>
      </c>
      <c r="E34" s="42" t="s">
        <v>767</v>
      </c>
      <c r="F34" s="18" t="s">
        <v>758</v>
      </c>
      <c r="G34" s="42" t="s">
        <v>802</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1821</v>
      </c>
      <c r="AY34" s="41" t="s">
        <v>1935</v>
      </c>
      <c r="AZ34" s="33" t="s">
        <v>1234</v>
      </c>
      <c r="BA34" s="41" t="s">
        <v>1935</v>
      </c>
      <c r="BB34" s="33" t="s">
        <v>1931</v>
      </c>
      <c r="BC34" s="41" t="s">
        <v>757</v>
      </c>
      <c r="BD34" s="33" t="s">
        <v>1932</v>
      </c>
      <c r="BE34" s="41" t="str">
        <f t="shared" si="6"/>
        <v>"Região.Administrativa"</v>
      </c>
    </row>
    <row r="35" spans="1:57" ht="7.5" customHeight="1" x14ac:dyDescent="0.25">
      <c r="A35" s="39">
        <v>35</v>
      </c>
      <c r="B35" s="67" t="s">
        <v>803</v>
      </c>
      <c r="C35" s="38" t="s">
        <v>646</v>
      </c>
      <c r="D35" s="18" t="s">
        <v>735</v>
      </c>
      <c r="E35" s="42" t="s">
        <v>767</v>
      </c>
      <c r="F35" s="18" t="s">
        <v>758</v>
      </c>
      <c r="G35" s="42" t="s">
        <v>804</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1821</v>
      </c>
      <c r="AY35" s="41" t="s">
        <v>1935</v>
      </c>
      <c r="AZ35" s="33" t="s">
        <v>1234</v>
      </c>
      <c r="BA35" s="41" t="s">
        <v>1935</v>
      </c>
      <c r="BB35" s="33" t="s">
        <v>1931</v>
      </c>
      <c r="BC35" s="41" t="s">
        <v>757</v>
      </c>
      <c r="BD35" s="33" t="s">
        <v>1932</v>
      </c>
      <c r="BE35" s="41" t="str">
        <f t="shared" si="6"/>
        <v>"Região.Administrativa"</v>
      </c>
    </row>
    <row r="36" spans="1:57" ht="7.5" customHeight="1" x14ac:dyDescent="0.25">
      <c r="A36" s="39">
        <v>36</v>
      </c>
      <c r="B36" s="67" t="s">
        <v>805</v>
      </c>
      <c r="C36" s="38" t="s">
        <v>646</v>
      </c>
      <c r="D36" s="18" t="s">
        <v>735</v>
      </c>
      <c r="E36" s="42" t="s">
        <v>767</v>
      </c>
      <c r="F36" s="18" t="s">
        <v>758</v>
      </c>
      <c r="G36" s="42" t="s">
        <v>806</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1821</v>
      </c>
      <c r="AY36" s="41" t="s">
        <v>1935</v>
      </c>
      <c r="AZ36" s="33" t="s">
        <v>1234</v>
      </c>
      <c r="BA36" s="41" t="s">
        <v>1935</v>
      </c>
      <c r="BB36" s="33" t="s">
        <v>1931</v>
      </c>
      <c r="BC36" s="41" t="s">
        <v>757</v>
      </c>
      <c r="BD36" s="33" t="s">
        <v>1932</v>
      </c>
      <c r="BE36" s="41" t="str">
        <f t="shared" si="6"/>
        <v>"Região.Administrativa"</v>
      </c>
    </row>
    <row r="37" spans="1:57" ht="7.5" customHeight="1" x14ac:dyDescent="0.25">
      <c r="A37" s="39">
        <v>37</v>
      </c>
      <c r="B37" s="67" t="s">
        <v>807</v>
      </c>
      <c r="C37" s="38" t="s">
        <v>646</v>
      </c>
      <c r="D37" s="18" t="s">
        <v>735</v>
      </c>
      <c r="E37" s="42" t="s">
        <v>763</v>
      </c>
      <c r="F37" s="18" t="s">
        <v>758</v>
      </c>
      <c r="G37" s="42" t="s">
        <v>808</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1821</v>
      </c>
      <c r="AY37" s="41" t="s">
        <v>1935</v>
      </c>
      <c r="AZ37" s="33" t="s">
        <v>1234</v>
      </c>
      <c r="BA37" s="41" t="s">
        <v>1935</v>
      </c>
      <c r="BB37" s="33" t="s">
        <v>1931</v>
      </c>
      <c r="BC37" s="41" t="s">
        <v>757</v>
      </c>
      <c r="BD37" s="33" t="s">
        <v>1932</v>
      </c>
      <c r="BE37" s="41" t="str">
        <f t="shared" si="6"/>
        <v>"Região.Administrativa"</v>
      </c>
    </row>
    <row r="38" spans="1:57" ht="7.5" customHeight="1" x14ac:dyDescent="0.25">
      <c r="A38" s="39">
        <v>38</v>
      </c>
      <c r="B38" s="67" t="s">
        <v>809</v>
      </c>
      <c r="C38" s="38" t="s">
        <v>646</v>
      </c>
      <c r="D38" s="18" t="s">
        <v>735</v>
      </c>
      <c r="E38" s="42" t="s">
        <v>759</v>
      </c>
      <c r="F38" s="18" t="s">
        <v>758</v>
      </c>
      <c r="G38" s="42" t="s">
        <v>810</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1821</v>
      </c>
      <c r="AY38" s="41" t="s">
        <v>1935</v>
      </c>
      <c r="AZ38" s="33" t="s">
        <v>1234</v>
      </c>
      <c r="BA38" s="41" t="s">
        <v>1935</v>
      </c>
      <c r="BB38" s="33" t="s">
        <v>1931</v>
      </c>
      <c r="BC38" s="41" t="s">
        <v>757</v>
      </c>
      <c r="BD38" s="33" t="s">
        <v>1932</v>
      </c>
      <c r="BE38" s="41" t="str">
        <f t="shared" si="6"/>
        <v>"Região.Administrativa"</v>
      </c>
    </row>
    <row r="39" spans="1:57" ht="7.5" customHeight="1" x14ac:dyDescent="0.25">
      <c r="A39" s="39">
        <v>39</v>
      </c>
      <c r="B39" s="67" t="s">
        <v>811</v>
      </c>
      <c r="C39" s="38" t="s">
        <v>646</v>
      </c>
      <c r="D39" s="18" t="s">
        <v>735</v>
      </c>
      <c r="E39" s="42" t="s">
        <v>763</v>
      </c>
      <c r="F39" s="18" t="s">
        <v>758</v>
      </c>
      <c r="G39" s="42" t="s">
        <v>812</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1821</v>
      </c>
      <c r="AY39" s="41" t="s">
        <v>1935</v>
      </c>
      <c r="AZ39" s="33" t="s">
        <v>1234</v>
      </c>
      <c r="BA39" s="41" t="s">
        <v>1935</v>
      </c>
      <c r="BB39" s="33" t="s">
        <v>1931</v>
      </c>
      <c r="BC39" s="41" t="s">
        <v>757</v>
      </c>
      <c r="BD39" s="33" t="s">
        <v>1932</v>
      </c>
      <c r="BE39" s="41" t="str">
        <f t="shared" si="6"/>
        <v>"Região.Administrativa"</v>
      </c>
    </row>
    <row r="40" spans="1:57" ht="7.5" customHeight="1" x14ac:dyDescent="0.25">
      <c r="A40" s="39">
        <v>40</v>
      </c>
      <c r="B40" s="67" t="s">
        <v>813</v>
      </c>
      <c r="C40" s="38" t="s">
        <v>646</v>
      </c>
      <c r="D40" s="18" t="s">
        <v>735</v>
      </c>
      <c r="E40" s="42" t="s">
        <v>759</v>
      </c>
      <c r="F40" s="18" t="s">
        <v>758</v>
      </c>
      <c r="G40" s="42" t="s">
        <v>814</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1821</v>
      </c>
      <c r="AY40" s="41" t="s">
        <v>1935</v>
      </c>
      <c r="AZ40" s="33" t="s">
        <v>1234</v>
      </c>
      <c r="BA40" s="41" t="s">
        <v>1935</v>
      </c>
      <c r="BB40" s="33" t="s">
        <v>1931</v>
      </c>
      <c r="BC40" s="41" t="s">
        <v>757</v>
      </c>
      <c r="BD40" s="33" t="s">
        <v>1932</v>
      </c>
      <c r="BE40" s="41" t="str">
        <f t="shared" si="6"/>
        <v>"Região.Administrativa"</v>
      </c>
    </row>
    <row r="41" spans="1:57" ht="7.5" customHeight="1" x14ac:dyDescent="0.25">
      <c r="A41" s="39">
        <v>41</v>
      </c>
      <c r="B41" s="67" t="s">
        <v>815</v>
      </c>
      <c r="C41" s="38" t="s">
        <v>646</v>
      </c>
      <c r="D41" s="18" t="s">
        <v>735</v>
      </c>
      <c r="E41" s="42" t="s">
        <v>765</v>
      </c>
      <c r="F41" s="18" t="s">
        <v>758</v>
      </c>
      <c r="G41" s="42" t="s">
        <v>816</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1821</v>
      </c>
      <c r="AY41" s="41" t="s">
        <v>1935</v>
      </c>
      <c r="AZ41" s="33" t="s">
        <v>1234</v>
      </c>
      <c r="BA41" s="41" t="s">
        <v>1935</v>
      </c>
      <c r="BB41" s="33" t="s">
        <v>1931</v>
      </c>
      <c r="BC41" s="41" t="s">
        <v>757</v>
      </c>
      <c r="BD41" s="33" t="s">
        <v>1932</v>
      </c>
      <c r="BE41" s="41" t="str">
        <f t="shared" si="6"/>
        <v>"Região.Administrativa"</v>
      </c>
    </row>
    <row r="42" spans="1:57" ht="7.5" customHeight="1" x14ac:dyDescent="0.25">
      <c r="A42" s="39">
        <v>42</v>
      </c>
      <c r="B42" s="67" t="s">
        <v>817</v>
      </c>
      <c r="C42" s="38" t="s">
        <v>646</v>
      </c>
      <c r="D42" s="18" t="s">
        <v>735</v>
      </c>
      <c r="E42" s="42" t="s">
        <v>763</v>
      </c>
      <c r="F42" s="18" t="s">
        <v>758</v>
      </c>
      <c r="G42" s="42" t="s">
        <v>818</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1821</v>
      </c>
      <c r="AY42" s="41" t="s">
        <v>1935</v>
      </c>
      <c r="AZ42" s="33" t="s">
        <v>1234</v>
      </c>
      <c r="BA42" s="41" t="s">
        <v>1935</v>
      </c>
      <c r="BB42" s="33" t="s">
        <v>1931</v>
      </c>
      <c r="BC42" s="41" t="s">
        <v>757</v>
      </c>
      <c r="BD42" s="33" t="s">
        <v>1932</v>
      </c>
      <c r="BE42" s="41" t="str">
        <f t="shared" si="6"/>
        <v>"Região.Administrativa"</v>
      </c>
    </row>
    <row r="43" spans="1:57" ht="7.5" customHeight="1" x14ac:dyDescent="0.25">
      <c r="A43" s="39">
        <v>43</v>
      </c>
      <c r="B43" s="67" t="s">
        <v>819</v>
      </c>
      <c r="C43" s="38" t="s">
        <v>646</v>
      </c>
      <c r="D43" s="18" t="s">
        <v>735</v>
      </c>
      <c r="E43" s="42" t="s">
        <v>767</v>
      </c>
      <c r="F43" s="18" t="s">
        <v>758</v>
      </c>
      <c r="G43" s="42" t="s">
        <v>820</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1821</v>
      </c>
      <c r="AY43" s="41" t="s">
        <v>1935</v>
      </c>
      <c r="AZ43" s="33" t="s">
        <v>1234</v>
      </c>
      <c r="BA43" s="41" t="s">
        <v>1935</v>
      </c>
      <c r="BB43" s="33" t="s">
        <v>1931</v>
      </c>
      <c r="BC43" s="41" t="s">
        <v>757</v>
      </c>
      <c r="BD43" s="33" t="s">
        <v>1932</v>
      </c>
      <c r="BE43" s="41" t="str">
        <f t="shared" si="6"/>
        <v>"Região.Administrativa"</v>
      </c>
    </row>
    <row r="44" spans="1:57" ht="7.5" customHeight="1" x14ac:dyDescent="0.25">
      <c r="A44" s="39">
        <v>44</v>
      </c>
      <c r="B44" s="67" t="s">
        <v>821</v>
      </c>
      <c r="C44" s="38" t="s">
        <v>646</v>
      </c>
      <c r="D44" s="18" t="s">
        <v>735</v>
      </c>
      <c r="E44" s="42" t="s">
        <v>761</v>
      </c>
      <c r="F44" s="18" t="s">
        <v>758</v>
      </c>
      <c r="G44" s="42" t="s">
        <v>822</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1821</v>
      </c>
      <c r="AY44" s="41" t="s">
        <v>1935</v>
      </c>
      <c r="AZ44" s="33" t="s">
        <v>1234</v>
      </c>
      <c r="BA44" s="41" t="s">
        <v>1935</v>
      </c>
      <c r="BB44" s="33" t="s">
        <v>1931</v>
      </c>
      <c r="BC44" s="41" t="s">
        <v>757</v>
      </c>
      <c r="BD44" s="33" t="s">
        <v>1932</v>
      </c>
      <c r="BE44" s="41" t="str">
        <f t="shared" si="6"/>
        <v>"Região.Administrativa"</v>
      </c>
    </row>
    <row r="45" spans="1:57" ht="7.5" customHeight="1" x14ac:dyDescent="0.25">
      <c r="A45" s="39">
        <v>45</v>
      </c>
      <c r="B45" s="67" t="s">
        <v>823</v>
      </c>
      <c r="C45" s="38" t="s">
        <v>646</v>
      </c>
      <c r="D45" s="18" t="s">
        <v>735</v>
      </c>
      <c r="E45" s="42" t="s">
        <v>763</v>
      </c>
      <c r="F45" s="18" t="s">
        <v>758</v>
      </c>
      <c r="G45" s="42" t="s">
        <v>824</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1821</v>
      </c>
      <c r="AY45" s="41" t="s">
        <v>1935</v>
      </c>
      <c r="AZ45" s="33" t="s">
        <v>1234</v>
      </c>
      <c r="BA45" s="41" t="s">
        <v>1935</v>
      </c>
      <c r="BB45" s="33" t="s">
        <v>1931</v>
      </c>
      <c r="BC45" s="41" t="s">
        <v>757</v>
      </c>
      <c r="BD45" s="33" t="s">
        <v>1932</v>
      </c>
      <c r="BE45" s="41" t="str">
        <f t="shared" si="6"/>
        <v>"Região.Administrativa"</v>
      </c>
    </row>
    <row r="46" spans="1:57" ht="7.5" customHeight="1" x14ac:dyDescent="0.25">
      <c r="A46" s="39">
        <v>46</v>
      </c>
      <c r="B46" s="67" t="s">
        <v>825</v>
      </c>
      <c r="C46" s="38" t="s">
        <v>646</v>
      </c>
      <c r="D46" s="18" t="s">
        <v>735</v>
      </c>
      <c r="E46" s="42" t="s">
        <v>763</v>
      </c>
      <c r="F46" s="18" t="s">
        <v>758</v>
      </c>
      <c r="G46" s="42" t="s">
        <v>826</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1821</v>
      </c>
      <c r="AY46" s="41" t="s">
        <v>1935</v>
      </c>
      <c r="AZ46" s="33" t="s">
        <v>1234</v>
      </c>
      <c r="BA46" s="41" t="s">
        <v>1935</v>
      </c>
      <c r="BB46" s="33" t="s">
        <v>1931</v>
      </c>
      <c r="BC46" s="41" t="s">
        <v>757</v>
      </c>
      <c r="BD46" s="33" t="s">
        <v>1932</v>
      </c>
      <c r="BE46" s="41" t="str">
        <f t="shared" si="6"/>
        <v>"Região.Administrativa"</v>
      </c>
    </row>
    <row r="47" spans="1:57" ht="7.5" customHeight="1" x14ac:dyDescent="0.25">
      <c r="A47" s="39">
        <v>47</v>
      </c>
      <c r="B47" s="67" t="s">
        <v>827</v>
      </c>
      <c r="C47" s="38" t="s">
        <v>646</v>
      </c>
      <c r="D47" s="18" t="s">
        <v>735</v>
      </c>
      <c r="E47" s="42" t="s">
        <v>763</v>
      </c>
      <c r="F47" s="18" t="s">
        <v>758</v>
      </c>
      <c r="G47" s="42" t="s">
        <v>828</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1821</v>
      </c>
      <c r="AY47" s="41" t="s">
        <v>1935</v>
      </c>
      <c r="AZ47" s="33" t="s">
        <v>1234</v>
      </c>
      <c r="BA47" s="41" t="s">
        <v>1935</v>
      </c>
      <c r="BB47" s="33" t="s">
        <v>1931</v>
      </c>
      <c r="BC47" s="41" t="s">
        <v>757</v>
      </c>
      <c r="BD47" s="33" t="s">
        <v>1932</v>
      </c>
      <c r="BE47" s="41" t="str">
        <f t="shared" si="6"/>
        <v>"Região.Administrativa"</v>
      </c>
    </row>
    <row r="48" spans="1:57" ht="7.5" customHeight="1" x14ac:dyDescent="0.25">
      <c r="A48" s="39">
        <v>48</v>
      </c>
      <c r="B48" s="67" t="s">
        <v>829</v>
      </c>
      <c r="C48" s="38" t="s">
        <v>646</v>
      </c>
      <c r="D48" s="18" t="s">
        <v>735</v>
      </c>
      <c r="E48" s="42" t="s">
        <v>763</v>
      </c>
      <c r="F48" s="18" t="s">
        <v>758</v>
      </c>
      <c r="G48" s="42" t="s">
        <v>830</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1821</v>
      </c>
      <c r="AY48" s="41" t="s">
        <v>1935</v>
      </c>
      <c r="AZ48" s="33" t="s">
        <v>1234</v>
      </c>
      <c r="BA48" s="41" t="s">
        <v>1935</v>
      </c>
      <c r="BB48" s="33" t="s">
        <v>1931</v>
      </c>
      <c r="BC48" s="41" t="s">
        <v>757</v>
      </c>
      <c r="BD48" s="33" t="s">
        <v>1932</v>
      </c>
      <c r="BE48" s="41" t="str">
        <f t="shared" si="6"/>
        <v>"Região.Administrativa"</v>
      </c>
    </row>
    <row r="49" spans="1:57" ht="7.5" customHeight="1" x14ac:dyDescent="0.25">
      <c r="A49" s="39">
        <v>49</v>
      </c>
      <c r="B49" s="67" t="s">
        <v>831</v>
      </c>
      <c r="C49" s="38" t="s">
        <v>646</v>
      </c>
      <c r="D49" s="18" t="s">
        <v>735</v>
      </c>
      <c r="E49" s="42" t="s">
        <v>767</v>
      </c>
      <c r="F49" s="18" t="s">
        <v>758</v>
      </c>
      <c r="G49" s="42" t="s">
        <v>832</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1821</v>
      </c>
      <c r="AY49" s="41" t="s">
        <v>1935</v>
      </c>
      <c r="AZ49" s="33" t="s">
        <v>1234</v>
      </c>
      <c r="BA49" s="41" t="s">
        <v>1935</v>
      </c>
      <c r="BB49" s="33" t="s">
        <v>1931</v>
      </c>
      <c r="BC49" s="41" t="s">
        <v>757</v>
      </c>
      <c r="BD49" s="33" t="s">
        <v>1932</v>
      </c>
      <c r="BE49" s="41" t="str">
        <f t="shared" si="6"/>
        <v>"Região.Administrativa"</v>
      </c>
    </row>
    <row r="50" spans="1:57" ht="7.5" customHeight="1" x14ac:dyDescent="0.25">
      <c r="A50" s="39">
        <v>50</v>
      </c>
      <c r="B50" s="67" t="s">
        <v>833</v>
      </c>
      <c r="C50" s="38" t="s">
        <v>646</v>
      </c>
      <c r="D50" s="18" t="s">
        <v>735</v>
      </c>
      <c r="E50" s="42" t="s">
        <v>765</v>
      </c>
      <c r="F50" s="18" t="s">
        <v>758</v>
      </c>
      <c r="G50" s="42" t="s">
        <v>834</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1821</v>
      </c>
      <c r="AY50" s="41" t="s">
        <v>1935</v>
      </c>
      <c r="AZ50" s="33" t="s">
        <v>1234</v>
      </c>
      <c r="BA50" s="41" t="s">
        <v>1935</v>
      </c>
      <c r="BB50" s="33" t="s">
        <v>1931</v>
      </c>
      <c r="BC50" s="41" t="s">
        <v>757</v>
      </c>
      <c r="BD50" s="33" t="s">
        <v>1932</v>
      </c>
      <c r="BE50" s="41" t="str">
        <f t="shared" si="6"/>
        <v>"Região.Administrativa"</v>
      </c>
    </row>
    <row r="51" spans="1:57" ht="7.5" customHeight="1" x14ac:dyDescent="0.25">
      <c r="A51" s="39">
        <v>51</v>
      </c>
      <c r="B51" s="67" t="s">
        <v>835</v>
      </c>
      <c r="C51" s="38" t="s">
        <v>655</v>
      </c>
      <c r="D51" s="18" t="s">
        <v>735</v>
      </c>
      <c r="E51" s="42" t="s">
        <v>745</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1821</v>
      </c>
      <c r="AY51" s="41" t="s">
        <v>1935</v>
      </c>
      <c r="AZ51" s="33" t="s">
        <v>1234</v>
      </c>
      <c r="BA51" s="41" t="s">
        <v>1935</v>
      </c>
      <c r="BB51" s="33" t="s">
        <v>1931</v>
      </c>
      <c r="BC51" s="41" t="s">
        <v>757</v>
      </c>
      <c r="BD51" s="33" t="s">
        <v>1932</v>
      </c>
      <c r="BE51" s="41" t="str">
        <f t="shared" ref="BE51:BE114" si="8">_xlfn.CONCAT("""",C51,"""")</f>
        <v>"Bairro"</v>
      </c>
    </row>
    <row r="52" spans="1:57" ht="7.5" customHeight="1" x14ac:dyDescent="0.25">
      <c r="A52" s="39">
        <v>52</v>
      </c>
      <c r="B52" s="67" t="s">
        <v>836</v>
      </c>
      <c r="C52" s="38" t="s">
        <v>655</v>
      </c>
      <c r="D52" s="18" t="s">
        <v>735</v>
      </c>
      <c r="E52" s="42" t="s">
        <v>745</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1821</v>
      </c>
      <c r="AY52" s="41" t="s">
        <v>1935</v>
      </c>
      <c r="AZ52" s="33" t="s">
        <v>1234</v>
      </c>
      <c r="BA52" s="41" t="s">
        <v>1935</v>
      </c>
      <c r="BB52" s="33" t="s">
        <v>1931</v>
      </c>
      <c r="BC52" s="41" t="s">
        <v>757</v>
      </c>
      <c r="BD52" s="33" t="s">
        <v>1932</v>
      </c>
      <c r="BE52" s="41" t="str">
        <f t="shared" si="8"/>
        <v>"Bairro"</v>
      </c>
    </row>
    <row r="53" spans="1:57" ht="7.5" customHeight="1" x14ac:dyDescent="0.25">
      <c r="A53" s="39">
        <v>53</v>
      </c>
      <c r="B53" s="67" t="s">
        <v>837</v>
      </c>
      <c r="C53" s="38" t="s">
        <v>655</v>
      </c>
      <c r="D53" s="18" t="s">
        <v>735</v>
      </c>
      <c r="E53" s="42" t="s">
        <v>745</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1821</v>
      </c>
      <c r="AY53" s="41" t="s">
        <v>1935</v>
      </c>
      <c r="AZ53" s="33" t="s">
        <v>1234</v>
      </c>
      <c r="BA53" s="41" t="s">
        <v>1935</v>
      </c>
      <c r="BB53" s="33" t="s">
        <v>1931</v>
      </c>
      <c r="BC53" s="41" t="s">
        <v>757</v>
      </c>
      <c r="BD53" s="33" t="s">
        <v>1932</v>
      </c>
      <c r="BE53" s="41" t="str">
        <f t="shared" si="8"/>
        <v>"Bairro"</v>
      </c>
    </row>
    <row r="54" spans="1:57" ht="7.5" customHeight="1" x14ac:dyDescent="0.25">
      <c r="A54" s="39">
        <v>54</v>
      </c>
      <c r="B54" s="67" t="s">
        <v>838</v>
      </c>
      <c r="C54" s="38" t="s">
        <v>655</v>
      </c>
      <c r="D54" s="18" t="s">
        <v>735</v>
      </c>
      <c r="E54" s="42" t="s">
        <v>745</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1821</v>
      </c>
      <c r="AY54" s="41" t="s">
        <v>1935</v>
      </c>
      <c r="AZ54" s="33" t="s">
        <v>1234</v>
      </c>
      <c r="BA54" s="41" t="s">
        <v>1935</v>
      </c>
      <c r="BB54" s="33" t="s">
        <v>1931</v>
      </c>
      <c r="BC54" s="41" t="s">
        <v>757</v>
      </c>
      <c r="BD54" s="33" t="s">
        <v>1932</v>
      </c>
      <c r="BE54" s="41" t="str">
        <f t="shared" si="8"/>
        <v>"Bairro"</v>
      </c>
    </row>
    <row r="55" spans="1:57" ht="7.5" customHeight="1" x14ac:dyDescent="0.25">
      <c r="A55" s="39">
        <v>55</v>
      </c>
      <c r="B55" s="67" t="s">
        <v>839</v>
      </c>
      <c r="C55" s="38" t="s">
        <v>655</v>
      </c>
      <c r="D55" s="18" t="s">
        <v>735</v>
      </c>
      <c r="E55" s="42" t="s">
        <v>745</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1821</v>
      </c>
      <c r="AY55" s="41" t="s">
        <v>1935</v>
      </c>
      <c r="AZ55" s="33" t="s">
        <v>1234</v>
      </c>
      <c r="BA55" s="41" t="s">
        <v>1935</v>
      </c>
      <c r="BB55" s="33" t="s">
        <v>1931</v>
      </c>
      <c r="BC55" s="41" t="s">
        <v>757</v>
      </c>
      <c r="BD55" s="33" t="s">
        <v>1932</v>
      </c>
      <c r="BE55" s="41" t="str">
        <f t="shared" si="8"/>
        <v>"Bairro"</v>
      </c>
    </row>
    <row r="56" spans="1:57" ht="7.5" customHeight="1" x14ac:dyDescent="0.25">
      <c r="A56" s="39">
        <v>56</v>
      </c>
      <c r="B56" s="67" t="s">
        <v>840</v>
      </c>
      <c r="C56" s="38" t="s">
        <v>655</v>
      </c>
      <c r="D56" s="18" t="s">
        <v>735</v>
      </c>
      <c r="E56" s="42" t="s">
        <v>745</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1821</v>
      </c>
      <c r="AY56" s="41" t="s">
        <v>1935</v>
      </c>
      <c r="AZ56" s="33" t="s">
        <v>1234</v>
      </c>
      <c r="BA56" s="41" t="s">
        <v>1935</v>
      </c>
      <c r="BB56" s="33" t="s">
        <v>1931</v>
      </c>
      <c r="BC56" s="41" t="s">
        <v>757</v>
      </c>
      <c r="BD56" s="33" t="s">
        <v>1932</v>
      </c>
      <c r="BE56" s="41" t="str">
        <f t="shared" si="8"/>
        <v>"Bairro"</v>
      </c>
    </row>
    <row r="57" spans="1:57" ht="7.5" customHeight="1" x14ac:dyDescent="0.25">
      <c r="A57" s="39">
        <v>57</v>
      </c>
      <c r="B57" s="67" t="s">
        <v>841</v>
      </c>
      <c r="C57" s="38" t="s">
        <v>655</v>
      </c>
      <c r="D57" s="18" t="s">
        <v>735</v>
      </c>
      <c r="E57" s="42" t="s">
        <v>745</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1821</v>
      </c>
      <c r="AY57" s="41" t="s">
        <v>1935</v>
      </c>
      <c r="AZ57" s="33" t="s">
        <v>1234</v>
      </c>
      <c r="BA57" s="41" t="s">
        <v>1935</v>
      </c>
      <c r="BB57" s="33" t="s">
        <v>1931</v>
      </c>
      <c r="BC57" s="41" t="s">
        <v>757</v>
      </c>
      <c r="BD57" s="33" t="s">
        <v>1932</v>
      </c>
      <c r="BE57" s="41" t="str">
        <f t="shared" si="8"/>
        <v>"Bairro"</v>
      </c>
    </row>
    <row r="58" spans="1:57" ht="7.5" customHeight="1" x14ac:dyDescent="0.25">
      <c r="A58" s="39">
        <v>58</v>
      </c>
      <c r="B58" s="67" t="s">
        <v>842</v>
      </c>
      <c r="C58" s="38" t="s">
        <v>655</v>
      </c>
      <c r="D58" s="18" t="s">
        <v>735</v>
      </c>
      <c r="E58" s="42" t="s">
        <v>745</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1821</v>
      </c>
      <c r="AY58" s="41" t="s">
        <v>1935</v>
      </c>
      <c r="AZ58" s="33" t="s">
        <v>1234</v>
      </c>
      <c r="BA58" s="41" t="s">
        <v>1935</v>
      </c>
      <c r="BB58" s="33" t="s">
        <v>1931</v>
      </c>
      <c r="BC58" s="41" t="s">
        <v>757</v>
      </c>
      <c r="BD58" s="33" t="s">
        <v>1932</v>
      </c>
      <c r="BE58" s="41" t="str">
        <f t="shared" si="8"/>
        <v>"Bairro"</v>
      </c>
    </row>
    <row r="59" spans="1:57" ht="7.5" customHeight="1" x14ac:dyDescent="0.25">
      <c r="A59" s="39">
        <v>59</v>
      </c>
      <c r="B59" s="67" t="s">
        <v>843</v>
      </c>
      <c r="C59" s="38" t="s">
        <v>655</v>
      </c>
      <c r="D59" s="18" t="s">
        <v>735</v>
      </c>
      <c r="E59" s="42" t="s">
        <v>745</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1821</v>
      </c>
      <c r="AY59" s="41" t="s">
        <v>1935</v>
      </c>
      <c r="AZ59" s="33" t="s">
        <v>1234</v>
      </c>
      <c r="BA59" s="41" t="s">
        <v>1935</v>
      </c>
      <c r="BB59" s="33" t="s">
        <v>1931</v>
      </c>
      <c r="BC59" s="41" t="s">
        <v>757</v>
      </c>
      <c r="BD59" s="33" t="s">
        <v>1932</v>
      </c>
      <c r="BE59" s="41" t="str">
        <f t="shared" si="8"/>
        <v>"Bairro"</v>
      </c>
    </row>
    <row r="60" spans="1:57" ht="7.5" customHeight="1" x14ac:dyDescent="0.25">
      <c r="A60" s="39">
        <v>60</v>
      </c>
      <c r="B60" s="67" t="s">
        <v>844</v>
      </c>
      <c r="C60" s="38" t="s">
        <v>655</v>
      </c>
      <c r="D60" s="18" t="s">
        <v>735</v>
      </c>
      <c r="E60" s="42" t="s">
        <v>745</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1821</v>
      </c>
      <c r="AY60" s="41" t="s">
        <v>1935</v>
      </c>
      <c r="AZ60" s="33" t="s">
        <v>1234</v>
      </c>
      <c r="BA60" s="41" t="s">
        <v>1935</v>
      </c>
      <c r="BB60" s="33" t="s">
        <v>1931</v>
      </c>
      <c r="BC60" s="41" t="s">
        <v>757</v>
      </c>
      <c r="BD60" s="33" t="s">
        <v>1932</v>
      </c>
      <c r="BE60" s="41" t="str">
        <f t="shared" si="8"/>
        <v>"Bairro"</v>
      </c>
    </row>
    <row r="61" spans="1:57" ht="7.5" customHeight="1" x14ac:dyDescent="0.25">
      <c r="A61" s="39">
        <v>61</v>
      </c>
      <c r="B61" s="67" t="s">
        <v>845</v>
      </c>
      <c r="C61" s="38" t="s">
        <v>655</v>
      </c>
      <c r="D61" s="18" t="s">
        <v>735</v>
      </c>
      <c r="E61" s="42" t="s">
        <v>745</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1821</v>
      </c>
      <c r="AY61" s="41" t="s">
        <v>1935</v>
      </c>
      <c r="AZ61" s="33" t="s">
        <v>1234</v>
      </c>
      <c r="BA61" s="41" t="s">
        <v>1935</v>
      </c>
      <c r="BB61" s="33" t="s">
        <v>1931</v>
      </c>
      <c r="BC61" s="41" t="s">
        <v>757</v>
      </c>
      <c r="BD61" s="33" t="s">
        <v>1932</v>
      </c>
      <c r="BE61" s="41" t="str">
        <f t="shared" si="8"/>
        <v>"Bairro"</v>
      </c>
    </row>
    <row r="62" spans="1:57" ht="7.5" customHeight="1" x14ac:dyDescent="0.25">
      <c r="A62" s="39">
        <v>62</v>
      </c>
      <c r="B62" s="67" t="s">
        <v>846</v>
      </c>
      <c r="C62" s="38" t="s">
        <v>655</v>
      </c>
      <c r="D62" s="18" t="s">
        <v>735</v>
      </c>
      <c r="E62" s="42" t="s">
        <v>745</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1821</v>
      </c>
      <c r="AY62" s="41" t="s">
        <v>1935</v>
      </c>
      <c r="AZ62" s="33" t="s">
        <v>1234</v>
      </c>
      <c r="BA62" s="41" t="s">
        <v>1935</v>
      </c>
      <c r="BB62" s="33" t="s">
        <v>1931</v>
      </c>
      <c r="BC62" s="41" t="s">
        <v>757</v>
      </c>
      <c r="BD62" s="33" t="s">
        <v>1932</v>
      </c>
      <c r="BE62" s="41" t="str">
        <f t="shared" si="8"/>
        <v>"Bairro"</v>
      </c>
    </row>
    <row r="63" spans="1:57" ht="7.5" customHeight="1" x14ac:dyDescent="0.25">
      <c r="A63" s="39">
        <v>63</v>
      </c>
      <c r="B63" s="67" t="s">
        <v>847</v>
      </c>
      <c r="C63" s="38" t="s">
        <v>655</v>
      </c>
      <c r="D63" s="18" t="s">
        <v>735</v>
      </c>
      <c r="E63" s="42" t="s">
        <v>745</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1821</v>
      </c>
      <c r="AY63" s="41" t="s">
        <v>1935</v>
      </c>
      <c r="AZ63" s="33" t="s">
        <v>1234</v>
      </c>
      <c r="BA63" s="41" t="s">
        <v>1935</v>
      </c>
      <c r="BB63" s="33" t="s">
        <v>1931</v>
      </c>
      <c r="BC63" s="41" t="s">
        <v>757</v>
      </c>
      <c r="BD63" s="33" t="s">
        <v>1932</v>
      </c>
      <c r="BE63" s="41" t="str">
        <f t="shared" si="8"/>
        <v>"Bairro"</v>
      </c>
    </row>
    <row r="64" spans="1:57" ht="7.5" customHeight="1" x14ac:dyDescent="0.25">
      <c r="A64" s="39">
        <v>64</v>
      </c>
      <c r="B64" s="67" t="s">
        <v>848</v>
      </c>
      <c r="C64" s="38" t="s">
        <v>655</v>
      </c>
      <c r="D64" s="18" t="s">
        <v>735</v>
      </c>
      <c r="E64" s="42" t="s">
        <v>745</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1821</v>
      </c>
      <c r="AY64" s="41" t="s">
        <v>1935</v>
      </c>
      <c r="AZ64" s="33" t="s">
        <v>1234</v>
      </c>
      <c r="BA64" s="41" t="s">
        <v>1935</v>
      </c>
      <c r="BB64" s="33" t="s">
        <v>1931</v>
      </c>
      <c r="BC64" s="41" t="s">
        <v>757</v>
      </c>
      <c r="BD64" s="33" t="s">
        <v>1932</v>
      </c>
      <c r="BE64" s="41" t="str">
        <f t="shared" si="8"/>
        <v>"Bairro"</v>
      </c>
    </row>
    <row r="65" spans="1:57" ht="7.5" customHeight="1" x14ac:dyDescent="0.25">
      <c r="A65" s="39">
        <v>65</v>
      </c>
      <c r="B65" s="67" t="s">
        <v>849</v>
      </c>
      <c r="C65" s="38" t="s">
        <v>655</v>
      </c>
      <c r="D65" s="18" t="s">
        <v>735</v>
      </c>
      <c r="E65" s="42" t="s">
        <v>745</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1821</v>
      </c>
      <c r="AY65" s="41" t="s">
        <v>1935</v>
      </c>
      <c r="AZ65" s="33" t="s">
        <v>1234</v>
      </c>
      <c r="BA65" s="41" t="s">
        <v>1935</v>
      </c>
      <c r="BB65" s="33" t="s">
        <v>1931</v>
      </c>
      <c r="BC65" s="41" t="s">
        <v>757</v>
      </c>
      <c r="BD65" s="33" t="s">
        <v>1932</v>
      </c>
      <c r="BE65" s="41" t="str">
        <f t="shared" si="8"/>
        <v>"Bairro"</v>
      </c>
    </row>
    <row r="66" spans="1:57" ht="7.5" customHeight="1" x14ac:dyDescent="0.25">
      <c r="A66" s="39">
        <v>66</v>
      </c>
      <c r="B66" s="67" t="s">
        <v>850</v>
      </c>
      <c r="C66" s="38" t="s">
        <v>655</v>
      </c>
      <c r="D66" s="18" t="s">
        <v>735</v>
      </c>
      <c r="E66" s="42" t="s">
        <v>745</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1821</v>
      </c>
      <c r="AY66" s="41" t="s">
        <v>1935</v>
      </c>
      <c r="AZ66" s="33" t="s">
        <v>1234</v>
      </c>
      <c r="BA66" s="41" t="s">
        <v>1935</v>
      </c>
      <c r="BB66" s="33" t="s">
        <v>1931</v>
      </c>
      <c r="BC66" s="41" t="s">
        <v>757</v>
      </c>
      <c r="BD66" s="33" t="s">
        <v>1932</v>
      </c>
      <c r="BE66" s="41" t="str">
        <f t="shared" si="8"/>
        <v>"Bairro"</v>
      </c>
    </row>
    <row r="67" spans="1:57" ht="7.5" customHeight="1" x14ac:dyDescent="0.25">
      <c r="A67" s="39">
        <v>67</v>
      </c>
      <c r="B67" s="67" t="s">
        <v>851</v>
      </c>
      <c r="C67" s="38" t="s">
        <v>655</v>
      </c>
      <c r="D67" s="18" t="s">
        <v>735</v>
      </c>
      <c r="E67" s="42" t="s">
        <v>745</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1821</v>
      </c>
      <c r="AY67" s="41" t="s">
        <v>1935</v>
      </c>
      <c r="AZ67" s="33" t="s">
        <v>1234</v>
      </c>
      <c r="BA67" s="41" t="s">
        <v>1935</v>
      </c>
      <c r="BB67" s="33" t="s">
        <v>1931</v>
      </c>
      <c r="BC67" s="41" t="s">
        <v>757</v>
      </c>
      <c r="BD67" s="33" t="s">
        <v>1932</v>
      </c>
      <c r="BE67" s="41" t="str">
        <f t="shared" si="8"/>
        <v>"Bairro"</v>
      </c>
    </row>
    <row r="68" spans="1:57" ht="7.5" customHeight="1" x14ac:dyDescent="0.25">
      <c r="A68" s="39">
        <v>68</v>
      </c>
      <c r="B68" s="67" t="s">
        <v>852</v>
      </c>
      <c r="C68" s="38" t="s">
        <v>655</v>
      </c>
      <c r="D68" s="18" t="s">
        <v>735</v>
      </c>
      <c r="E68" s="42" t="s">
        <v>745</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1821</v>
      </c>
      <c r="AY68" s="41" t="s">
        <v>1935</v>
      </c>
      <c r="AZ68" s="33" t="s">
        <v>1234</v>
      </c>
      <c r="BA68" s="41" t="s">
        <v>1935</v>
      </c>
      <c r="BB68" s="33" t="s">
        <v>1931</v>
      </c>
      <c r="BC68" s="41" t="s">
        <v>757</v>
      </c>
      <c r="BD68" s="33" t="s">
        <v>1932</v>
      </c>
      <c r="BE68" s="41" t="str">
        <f t="shared" si="8"/>
        <v>"Bairro"</v>
      </c>
    </row>
    <row r="69" spans="1:57" ht="7.5" customHeight="1" x14ac:dyDescent="0.25">
      <c r="A69" s="39">
        <v>69</v>
      </c>
      <c r="B69" s="67" t="s">
        <v>853</v>
      </c>
      <c r="C69" s="38" t="s">
        <v>655</v>
      </c>
      <c r="D69" s="18" t="s">
        <v>735</v>
      </c>
      <c r="E69" s="42" t="s">
        <v>745</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1821</v>
      </c>
      <c r="AY69" s="41" t="s">
        <v>1935</v>
      </c>
      <c r="AZ69" s="33" t="s">
        <v>1234</v>
      </c>
      <c r="BA69" s="41" t="s">
        <v>1935</v>
      </c>
      <c r="BB69" s="33" t="s">
        <v>1931</v>
      </c>
      <c r="BC69" s="41" t="s">
        <v>757</v>
      </c>
      <c r="BD69" s="33" t="s">
        <v>1932</v>
      </c>
      <c r="BE69" s="41" t="str">
        <f t="shared" si="8"/>
        <v>"Bairro"</v>
      </c>
    </row>
    <row r="70" spans="1:57" ht="7.5" customHeight="1" x14ac:dyDescent="0.25">
      <c r="A70" s="39">
        <v>70</v>
      </c>
      <c r="B70" s="67" t="s">
        <v>854</v>
      </c>
      <c r="C70" s="38" t="s">
        <v>655</v>
      </c>
      <c r="D70" s="18" t="s">
        <v>735</v>
      </c>
      <c r="E70" s="42" t="s">
        <v>745</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1821</v>
      </c>
      <c r="AY70" s="41" t="s">
        <v>1935</v>
      </c>
      <c r="AZ70" s="33" t="s">
        <v>1234</v>
      </c>
      <c r="BA70" s="41" t="s">
        <v>1935</v>
      </c>
      <c r="BB70" s="33" t="s">
        <v>1931</v>
      </c>
      <c r="BC70" s="41" t="s">
        <v>757</v>
      </c>
      <c r="BD70" s="33" t="s">
        <v>1932</v>
      </c>
      <c r="BE70" s="41" t="str">
        <f t="shared" si="8"/>
        <v>"Bairro"</v>
      </c>
    </row>
    <row r="71" spans="1:57" ht="7.5" customHeight="1" x14ac:dyDescent="0.25">
      <c r="A71" s="39">
        <v>71</v>
      </c>
      <c r="B71" s="67" t="s">
        <v>855</v>
      </c>
      <c r="C71" s="38" t="s">
        <v>655</v>
      </c>
      <c r="D71" s="18" t="s">
        <v>735</v>
      </c>
      <c r="E71" s="42" t="s">
        <v>745</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1821</v>
      </c>
      <c r="AY71" s="41" t="s">
        <v>1935</v>
      </c>
      <c r="AZ71" s="33" t="s">
        <v>1234</v>
      </c>
      <c r="BA71" s="41" t="s">
        <v>1935</v>
      </c>
      <c r="BB71" s="33" t="s">
        <v>1931</v>
      </c>
      <c r="BC71" s="41" t="s">
        <v>757</v>
      </c>
      <c r="BD71" s="33" t="s">
        <v>1932</v>
      </c>
      <c r="BE71" s="41" t="str">
        <f t="shared" si="8"/>
        <v>"Bairro"</v>
      </c>
    </row>
    <row r="72" spans="1:57" ht="7.5" customHeight="1" x14ac:dyDescent="0.25">
      <c r="A72" s="39">
        <v>72</v>
      </c>
      <c r="B72" s="67" t="s">
        <v>856</v>
      </c>
      <c r="C72" s="38" t="s">
        <v>655</v>
      </c>
      <c r="D72" s="18" t="s">
        <v>735</v>
      </c>
      <c r="E72" s="42" t="s">
        <v>745</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1821</v>
      </c>
      <c r="AY72" s="41" t="s">
        <v>1935</v>
      </c>
      <c r="AZ72" s="33" t="s">
        <v>1234</v>
      </c>
      <c r="BA72" s="41" t="s">
        <v>1935</v>
      </c>
      <c r="BB72" s="33" t="s">
        <v>1931</v>
      </c>
      <c r="BC72" s="41" t="s">
        <v>757</v>
      </c>
      <c r="BD72" s="33" t="s">
        <v>1932</v>
      </c>
      <c r="BE72" s="41" t="str">
        <f t="shared" si="8"/>
        <v>"Bairro"</v>
      </c>
    </row>
    <row r="73" spans="1:57" ht="7.5" customHeight="1" x14ac:dyDescent="0.25">
      <c r="A73" s="39">
        <v>73</v>
      </c>
      <c r="B73" s="67" t="s">
        <v>857</v>
      </c>
      <c r="C73" s="38" t="s">
        <v>655</v>
      </c>
      <c r="D73" s="18" t="s">
        <v>735</v>
      </c>
      <c r="E73" s="42" t="s">
        <v>745</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1821</v>
      </c>
      <c r="AY73" s="41" t="s">
        <v>1935</v>
      </c>
      <c r="AZ73" s="33" t="s">
        <v>1234</v>
      </c>
      <c r="BA73" s="41" t="s">
        <v>1935</v>
      </c>
      <c r="BB73" s="33" t="s">
        <v>1931</v>
      </c>
      <c r="BC73" s="41" t="s">
        <v>757</v>
      </c>
      <c r="BD73" s="33" t="s">
        <v>1932</v>
      </c>
      <c r="BE73" s="41" t="str">
        <f t="shared" si="8"/>
        <v>"Bairro"</v>
      </c>
    </row>
    <row r="74" spans="1:57" ht="7.5" customHeight="1" x14ac:dyDescent="0.25">
      <c r="A74" s="39">
        <v>74</v>
      </c>
      <c r="B74" s="67" t="s">
        <v>858</v>
      </c>
      <c r="C74" s="38" t="s">
        <v>655</v>
      </c>
      <c r="D74" s="18" t="s">
        <v>735</v>
      </c>
      <c r="E74" s="42" t="s">
        <v>745</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1821</v>
      </c>
      <c r="AY74" s="41" t="s">
        <v>1935</v>
      </c>
      <c r="AZ74" s="33" t="s">
        <v>1234</v>
      </c>
      <c r="BA74" s="41" t="s">
        <v>1935</v>
      </c>
      <c r="BB74" s="33" t="s">
        <v>1931</v>
      </c>
      <c r="BC74" s="41" t="s">
        <v>757</v>
      </c>
      <c r="BD74" s="33" t="s">
        <v>1932</v>
      </c>
      <c r="BE74" s="41" t="str">
        <f t="shared" si="8"/>
        <v>"Bairro"</v>
      </c>
    </row>
    <row r="75" spans="1:57" ht="7.5" customHeight="1" x14ac:dyDescent="0.25">
      <c r="A75" s="39">
        <v>75</v>
      </c>
      <c r="B75" s="67" t="s">
        <v>859</v>
      </c>
      <c r="C75" s="38" t="s">
        <v>655</v>
      </c>
      <c r="D75" s="18" t="s">
        <v>735</v>
      </c>
      <c r="E75" s="42" t="s">
        <v>745</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1821</v>
      </c>
      <c r="AY75" s="41" t="s">
        <v>1935</v>
      </c>
      <c r="AZ75" s="33" t="s">
        <v>1234</v>
      </c>
      <c r="BA75" s="41" t="s">
        <v>1935</v>
      </c>
      <c r="BB75" s="33" t="s">
        <v>1931</v>
      </c>
      <c r="BC75" s="41" t="s">
        <v>757</v>
      </c>
      <c r="BD75" s="33" t="s">
        <v>1932</v>
      </c>
      <c r="BE75" s="41" t="str">
        <f t="shared" si="8"/>
        <v>"Bairro"</v>
      </c>
    </row>
    <row r="76" spans="1:57" ht="7.5" customHeight="1" x14ac:dyDescent="0.25">
      <c r="A76" s="39">
        <v>76</v>
      </c>
      <c r="B76" s="67" t="s">
        <v>860</v>
      </c>
      <c r="C76" s="38" t="s">
        <v>655</v>
      </c>
      <c r="D76" s="18" t="s">
        <v>735</v>
      </c>
      <c r="E76" s="42" t="s">
        <v>745</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1821</v>
      </c>
      <c r="AY76" s="41" t="s">
        <v>1935</v>
      </c>
      <c r="AZ76" s="33" t="s">
        <v>1234</v>
      </c>
      <c r="BA76" s="41" t="s">
        <v>1935</v>
      </c>
      <c r="BB76" s="33" t="s">
        <v>1931</v>
      </c>
      <c r="BC76" s="41" t="s">
        <v>757</v>
      </c>
      <c r="BD76" s="33" t="s">
        <v>1932</v>
      </c>
      <c r="BE76" s="41" t="str">
        <f t="shared" si="8"/>
        <v>"Bairro"</v>
      </c>
    </row>
    <row r="77" spans="1:57" ht="7.5" customHeight="1" x14ac:dyDescent="0.25">
      <c r="A77" s="39">
        <v>77</v>
      </c>
      <c r="B77" s="67" t="s">
        <v>861</v>
      </c>
      <c r="C77" s="38" t="s">
        <v>655</v>
      </c>
      <c r="D77" s="18" t="s">
        <v>735</v>
      </c>
      <c r="E77" s="42" t="s">
        <v>745</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1821</v>
      </c>
      <c r="AY77" s="41" t="s">
        <v>1935</v>
      </c>
      <c r="AZ77" s="33" t="s">
        <v>1234</v>
      </c>
      <c r="BA77" s="41" t="s">
        <v>1935</v>
      </c>
      <c r="BB77" s="33" t="s">
        <v>1931</v>
      </c>
      <c r="BC77" s="41" t="s">
        <v>757</v>
      </c>
      <c r="BD77" s="33" t="s">
        <v>1932</v>
      </c>
      <c r="BE77" s="41" t="str">
        <f t="shared" si="8"/>
        <v>"Bairro"</v>
      </c>
    </row>
    <row r="78" spans="1:57" ht="7.5" customHeight="1" x14ac:dyDescent="0.25">
      <c r="A78" s="39">
        <v>78</v>
      </c>
      <c r="B78" s="67" t="s">
        <v>862</v>
      </c>
      <c r="C78" s="38" t="s">
        <v>655</v>
      </c>
      <c r="D78" s="18" t="s">
        <v>735</v>
      </c>
      <c r="E78" s="42" t="s">
        <v>745</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1821</v>
      </c>
      <c r="AY78" s="41" t="s">
        <v>1935</v>
      </c>
      <c r="AZ78" s="33" t="s">
        <v>1234</v>
      </c>
      <c r="BA78" s="41" t="s">
        <v>1935</v>
      </c>
      <c r="BB78" s="33" t="s">
        <v>1931</v>
      </c>
      <c r="BC78" s="41" t="s">
        <v>757</v>
      </c>
      <c r="BD78" s="33" t="s">
        <v>1932</v>
      </c>
      <c r="BE78" s="41" t="str">
        <f t="shared" si="8"/>
        <v>"Bairro"</v>
      </c>
    </row>
    <row r="79" spans="1:57" ht="7.5" customHeight="1" x14ac:dyDescent="0.25">
      <c r="A79" s="39">
        <v>79</v>
      </c>
      <c r="B79" s="67" t="s">
        <v>863</v>
      </c>
      <c r="C79" s="38" t="s">
        <v>655</v>
      </c>
      <c r="D79" s="18" t="s">
        <v>735</v>
      </c>
      <c r="E79" s="42" t="s">
        <v>745</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1821</v>
      </c>
      <c r="AY79" s="41" t="s">
        <v>1935</v>
      </c>
      <c r="AZ79" s="33" t="s">
        <v>1234</v>
      </c>
      <c r="BA79" s="41" t="s">
        <v>1935</v>
      </c>
      <c r="BB79" s="33" t="s">
        <v>1931</v>
      </c>
      <c r="BC79" s="41" t="s">
        <v>757</v>
      </c>
      <c r="BD79" s="33" t="s">
        <v>1932</v>
      </c>
      <c r="BE79" s="41" t="str">
        <f t="shared" si="8"/>
        <v>"Bairro"</v>
      </c>
    </row>
    <row r="80" spans="1:57" ht="7.5" customHeight="1" x14ac:dyDescent="0.25">
      <c r="A80" s="39">
        <v>80</v>
      </c>
      <c r="B80" s="67" t="s">
        <v>864</v>
      </c>
      <c r="C80" s="38" t="s">
        <v>655</v>
      </c>
      <c r="D80" s="18" t="s">
        <v>735</v>
      </c>
      <c r="E80" s="42" t="s">
        <v>745</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1821</v>
      </c>
      <c r="AY80" s="41" t="s">
        <v>1935</v>
      </c>
      <c r="AZ80" s="33" t="s">
        <v>1234</v>
      </c>
      <c r="BA80" s="41" t="s">
        <v>1935</v>
      </c>
      <c r="BB80" s="33" t="s">
        <v>1931</v>
      </c>
      <c r="BC80" s="41" t="s">
        <v>757</v>
      </c>
      <c r="BD80" s="33" t="s">
        <v>1932</v>
      </c>
      <c r="BE80" s="41" t="str">
        <f t="shared" si="8"/>
        <v>"Bairro"</v>
      </c>
    </row>
    <row r="81" spans="1:57" ht="7.5" customHeight="1" x14ac:dyDescent="0.25">
      <c r="A81" s="39">
        <v>81</v>
      </c>
      <c r="B81" s="67" t="s">
        <v>865</v>
      </c>
      <c r="C81" s="38" t="s">
        <v>655</v>
      </c>
      <c r="D81" s="18" t="s">
        <v>735</v>
      </c>
      <c r="E81" s="42" t="s">
        <v>745</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1821</v>
      </c>
      <c r="AY81" s="41" t="s">
        <v>1935</v>
      </c>
      <c r="AZ81" s="33" t="s">
        <v>1234</v>
      </c>
      <c r="BA81" s="41" t="s">
        <v>1935</v>
      </c>
      <c r="BB81" s="33" t="s">
        <v>1931</v>
      </c>
      <c r="BC81" s="41" t="s">
        <v>757</v>
      </c>
      <c r="BD81" s="33" t="s">
        <v>1932</v>
      </c>
      <c r="BE81" s="41" t="str">
        <f t="shared" si="8"/>
        <v>"Bairro"</v>
      </c>
    </row>
    <row r="82" spans="1:57" ht="7.5" customHeight="1" x14ac:dyDescent="0.25">
      <c r="A82" s="39">
        <v>82</v>
      </c>
      <c r="B82" s="67" t="s">
        <v>866</v>
      </c>
      <c r="C82" s="38" t="s">
        <v>655</v>
      </c>
      <c r="D82" s="18" t="s">
        <v>735</v>
      </c>
      <c r="E82" s="42" t="s">
        <v>745</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1821</v>
      </c>
      <c r="AY82" s="41" t="s">
        <v>1935</v>
      </c>
      <c r="AZ82" s="33" t="s">
        <v>1234</v>
      </c>
      <c r="BA82" s="41" t="s">
        <v>1935</v>
      </c>
      <c r="BB82" s="33" t="s">
        <v>1931</v>
      </c>
      <c r="BC82" s="41" t="s">
        <v>757</v>
      </c>
      <c r="BD82" s="33" t="s">
        <v>1932</v>
      </c>
      <c r="BE82" s="41" t="str">
        <f t="shared" si="8"/>
        <v>"Bairro"</v>
      </c>
    </row>
    <row r="83" spans="1:57" ht="7.5" customHeight="1" x14ac:dyDescent="0.25">
      <c r="A83" s="39">
        <v>83</v>
      </c>
      <c r="B83" s="67" t="s">
        <v>867</v>
      </c>
      <c r="C83" s="38" t="s">
        <v>655</v>
      </c>
      <c r="D83" s="18" t="s">
        <v>735</v>
      </c>
      <c r="E83" s="42" t="s">
        <v>745</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1821</v>
      </c>
      <c r="AY83" s="41" t="s">
        <v>1935</v>
      </c>
      <c r="AZ83" s="33" t="s">
        <v>1234</v>
      </c>
      <c r="BA83" s="41" t="s">
        <v>1935</v>
      </c>
      <c r="BB83" s="33" t="s">
        <v>1931</v>
      </c>
      <c r="BC83" s="41" t="s">
        <v>757</v>
      </c>
      <c r="BD83" s="33" t="s">
        <v>1932</v>
      </c>
      <c r="BE83" s="41" t="str">
        <f t="shared" si="8"/>
        <v>"Bairro"</v>
      </c>
    </row>
    <row r="84" spans="1:57" ht="7.5" customHeight="1" x14ac:dyDescent="0.25">
      <c r="A84" s="39">
        <v>84</v>
      </c>
      <c r="B84" s="67" t="s">
        <v>868</v>
      </c>
      <c r="C84" s="38" t="s">
        <v>655</v>
      </c>
      <c r="D84" s="18" t="s">
        <v>735</v>
      </c>
      <c r="E84" s="42" t="s">
        <v>745</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1821</v>
      </c>
      <c r="AY84" s="41" t="s">
        <v>1935</v>
      </c>
      <c r="AZ84" s="33" t="s">
        <v>1234</v>
      </c>
      <c r="BA84" s="41" t="s">
        <v>1935</v>
      </c>
      <c r="BB84" s="33" t="s">
        <v>1931</v>
      </c>
      <c r="BC84" s="41" t="s">
        <v>757</v>
      </c>
      <c r="BD84" s="33" t="s">
        <v>1932</v>
      </c>
      <c r="BE84" s="41" t="str">
        <f t="shared" si="8"/>
        <v>"Bairro"</v>
      </c>
    </row>
    <row r="85" spans="1:57" ht="7.5" customHeight="1" x14ac:dyDescent="0.25">
      <c r="A85" s="39">
        <v>85</v>
      </c>
      <c r="B85" s="67" t="s">
        <v>869</v>
      </c>
      <c r="C85" s="38" t="s">
        <v>655</v>
      </c>
      <c r="D85" s="18" t="s">
        <v>735</v>
      </c>
      <c r="E85" s="42" t="s">
        <v>745</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1821</v>
      </c>
      <c r="AY85" s="41" t="s">
        <v>1935</v>
      </c>
      <c r="AZ85" s="33" t="s">
        <v>1234</v>
      </c>
      <c r="BA85" s="41" t="s">
        <v>1935</v>
      </c>
      <c r="BB85" s="33" t="s">
        <v>1931</v>
      </c>
      <c r="BC85" s="41" t="s">
        <v>757</v>
      </c>
      <c r="BD85" s="33" t="s">
        <v>1932</v>
      </c>
      <c r="BE85" s="41" t="str">
        <f t="shared" si="8"/>
        <v>"Bairro"</v>
      </c>
    </row>
    <row r="86" spans="1:57" ht="7.5" customHeight="1" x14ac:dyDescent="0.25">
      <c r="A86" s="39">
        <v>86</v>
      </c>
      <c r="B86" s="67" t="s">
        <v>870</v>
      </c>
      <c r="C86" s="38" t="s">
        <v>655</v>
      </c>
      <c r="D86" s="18" t="s">
        <v>735</v>
      </c>
      <c r="E86" s="42" t="s">
        <v>745</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1821</v>
      </c>
      <c r="AY86" s="41" t="s">
        <v>1935</v>
      </c>
      <c r="AZ86" s="33" t="s">
        <v>1234</v>
      </c>
      <c r="BA86" s="41" t="s">
        <v>1935</v>
      </c>
      <c r="BB86" s="33" t="s">
        <v>1931</v>
      </c>
      <c r="BC86" s="41" t="s">
        <v>757</v>
      </c>
      <c r="BD86" s="33" t="s">
        <v>1932</v>
      </c>
      <c r="BE86" s="41" t="str">
        <f t="shared" si="8"/>
        <v>"Bairro"</v>
      </c>
    </row>
    <row r="87" spans="1:57" ht="7.5" customHeight="1" x14ac:dyDescent="0.25">
      <c r="A87" s="39">
        <v>87</v>
      </c>
      <c r="B87" s="67" t="s">
        <v>871</v>
      </c>
      <c r="C87" s="38" t="s">
        <v>655</v>
      </c>
      <c r="D87" s="18" t="s">
        <v>735</v>
      </c>
      <c r="E87" s="42" t="s">
        <v>745</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1821</v>
      </c>
      <c r="AY87" s="41" t="s">
        <v>1935</v>
      </c>
      <c r="AZ87" s="33" t="s">
        <v>1234</v>
      </c>
      <c r="BA87" s="41" t="s">
        <v>1935</v>
      </c>
      <c r="BB87" s="33" t="s">
        <v>1931</v>
      </c>
      <c r="BC87" s="41" t="s">
        <v>757</v>
      </c>
      <c r="BD87" s="33" t="s">
        <v>1932</v>
      </c>
      <c r="BE87" s="41" t="str">
        <f t="shared" si="8"/>
        <v>"Bairro"</v>
      </c>
    </row>
    <row r="88" spans="1:57" ht="7.5" customHeight="1" x14ac:dyDescent="0.25">
      <c r="A88" s="39">
        <v>88</v>
      </c>
      <c r="B88" s="67" t="s">
        <v>872</v>
      </c>
      <c r="C88" s="38" t="s">
        <v>655</v>
      </c>
      <c r="D88" s="18" t="s">
        <v>735</v>
      </c>
      <c r="E88" s="42" t="s">
        <v>745</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1821</v>
      </c>
      <c r="AY88" s="41" t="s">
        <v>1935</v>
      </c>
      <c r="AZ88" s="33" t="s">
        <v>1234</v>
      </c>
      <c r="BA88" s="41" t="s">
        <v>1935</v>
      </c>
      <c r="BB88" s="33" t="s">
        <v>1931</v>
      </c>
      <c r="BC88" s="41" t="s">
        <v>757</v>
      </c>
      <c r="BD88" s="33" t="s">
        <v>1932</v>
      </c>
      <c r="BE88" s="41" t="str">
        <f t="shared" si="8"/>
        <v>"Bairro"</v>
      </c>
    </row>
    <row r="89" spans="1:57" ht="7.5" customHeight="1" x14ac:dyDescent="0.25">
      <c r="A89" s="39">
        <v>89</v>
      </c>
      <c r="B89" s="67" t="s">
        <v>873</v>
      </c>
      <c r="C89" s="38" t="s">
        <v>655</v>
      </c>
      <c r="D89" s="18" t="s">
        <v>735</v>
      </c>
      <c r="E89" s="42" t="s">
        <v>745</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1821</v>
      </c>
      <c r="AY89" s="41" t="s">
        <v>1935</v>
      </c>
      <c r="AZ89" s="33" t="s">
        <v>1234</v>
      </c>
      <c r="BA89" s="41" t="s">
        <v>1935</v>
      </c>
      <c r="BB89" s="33" t="s">
        <v>1931</v>
      </c>
      <c r="BC89" s="41" t="s">
        <v>757</v>
      </c>
      <c r="BD89" s="33" t="s">
        <v>1932</v>
      </c>
      <c r="BE89" s="41" t="str">
        <f t="shared" si="8"/>
        <v>"Bairro"</v>
      </c>
    </row>
    <row r="90" spans="1:57" ht="7.5" customHeight="1" x14ac:dyDescent="0.25">
      <c r="A90" s="39">
        <v>90</v>
      </c>
      <c r="B90" s="67" t="s">
        <v>874</v>
      </c>
      <c r="C90" s="38" t="s">
        <v>655</v>
      </c>
      <c r="D90" s="18" t="s">
        <v>735</v>
      </c>
      <c r="E90" s="42" t="s">
        <v>745</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1821</v>
      </c>
      <c r="AY90" s="41" t="s">
        <v>1935</v>
      </c>
      <c r="AZ90" s="33" t="s">
        <v>1234</v>
      </c>
      <c r="BA90" s="41" t="s">
        <v>1935</v>
      </c>
      <c r="BB90" s="33" t="s">
        <v>1931</v>
      </c>
      <c r="BC90" s="41" t="s">
        <v>757</v>
      </c>
      <c r="BD90" s="33" t="s">
        <v>1932</v>
      </c>
      <c r="BE90" s="41" t="str">
        <f t="shared" si="8"/>
        <v>"Bairro"</v>
      </c>
    </row>
    <row r="91" spans="1:57" ht="7.5" customHeight="1" x14ac:dyDescent="0.25">
      <c r="A91" s="39">
        <v>91</v>
      </c>
      <c r="B91" s="67" t="s">
        <v>875</v>
      </c>
      <c r="C91" s="38" t="s">
        <v>655</v>
      </c>
      <c r="D91" s="18" t="s">
        <v>735</v>
      </c>
      <c r="E91" s="42" t="s">
        <v>745</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1821</v>
      </c>
      <c r="AY91" s="41" t="s">
        <v>1935</v>
      </c>
      <c r="AZ91" s="33" t="s">
        <v>1234</v>
      </c>
      <c r="BA91" s="41" t="s">
        <v>1935</v>
      </c>
      <c r="BB91" s="33" t="s">
        <v>1931</v>
      </c>
      <c r="BC91" s="41" t="s">
        <v>757</v>
      </c>
      <c r="BD91" s="33" t="s">
        <v>1932</v>
      </c>
      <c r="BE91" s="41" t="str">
        <f t="shared" si="8"/>
        <v>"Bairro"</v>
      </c>
    </row>
    <row r="92" spans="1:57" ht="7.5" customHeight="1" x14ac:dyDescent="0.25">
      <c r="A92" s="39">
        <v>92</v>
      </c>
      <c r="B92" s="67" t="s">
        <v>876</v>
      </c>
      <c r="C92" s="38" t="s">
        <v>655</v>
      </c>
      <c r="D92" s="18" t="s">
        <v>735</v>
      </c>
      <c r="E92" s="42" t="s">
        <v>745</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1821</v>
      </c>
      <c r="AY92" s="41" t="s">
        <v>1935</v>
      </c>
      <c r="AZ92" s="33" t="s">
        <v>1234</v>
      </c>
      <c r="BA92" s="41" t="s">
        <v>1935</v>
      </c>
      <c r="BB92" s="33" t="s">
        <v>1931</v>
      </c>
      <c r="BC92" s="41" t="s">
        <v>757</v>
      </c>
      <c r="BD92" s="33" t="s">
        <v>1932</v>
      </c>
      <c r="BE92" s="41" t="str">
        <f t="shared" si="8"/>
        <v>"Bairro"</v>
      </c>
    </row>
    <row r="93" spans="1:57" ht="7.5" customHeight="1" x14ac:dyDescent="0.25">
      <c r="A93" s="39">
        <v>93</v>
      </c>
      <c r="B93" s="67" t="s">
        <v>877</v>
      </c>
      <c r="C93" s="38" t="s">
        <v>655</v>
      </c>
      <c r="D93" s="18" t="s">
        <v>735</v>
      </c>
      <c r="E93" s="42" t="s">
        <v>745</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1821</v>
      </c>
      <c r="AY93" s="41" t="s">
        <v>1935</v>
      </c>
      <c r="AZ93" s="33" t="s">
        <v>1234</v>
      </c>
      <c r="BA93" s="41" t="s">
        <v>1935</v>
      </c>
      <c r="BB93" s="33" t="s">
        <v>1931</v>
      </c>
      <c r="BC93" s="41" t="s">
        <v>757</v>
      </c>
      <c r="BD93" s="33" t="s">
        <v>1932</v>
      </c>
      <c r="BE93" s="41" t="str">
        <f t="shared" si="8"/>
        <v>"Bairro"</v>
      </c>
    </row>
    <row r="94" spans="1:57" ht="7.5" customHeight="1" x14ac:dyDescent="0.25">
      <c r="A94" s="39">
        <v>94</v>
      </c>
      <c r="B94" s="67" t="s">
        <v>878</v>
      </c>
      <c r="C94" s="38" t="s">
        <v>655</v>
      </c>
      <c r="D94" s="18" t="s">
        <v>735</v>
      </c>
      <c r="E94" s="42" t="s">
        <v>745</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1821</v>
      </c>
      <c r="AY94" s="41" t="s">
        <v>1935</v>
      </c>
      <c r="AZ94" s="33" t="s">
        <v>1234</v>
      </c>
      <c r="BA94" s="41" t="s">
        <v>1935</v>
      </c>
      <c r="BB94" s="33" t="s">
        <v>1931</v>
      </c>
      <c r="BC94" s="41" t="s">
        <v>757</v>
      </c>
      <c r="BD94" s="33" t="s">
        <v>1932</v>
      </c>
      <c r="BE94" s="41" t="str">
        <f t="shared" si="8"/>
        <v>"Bairro"</v>
      </c>
    </row>
    <row r="95" spans="1:57" ht="7.5" customHeight="1" x14ac:dyDescent="0.25">
      <c r="A95" s="39">
        <v>95</v>
      </c>
      <c r="B95" s="67" t="s">
        <v>879</v>
      </c>
      <c r="C95" s="38" t="s">
        <v>655</v>
      </c>
      <c r="D95" s="18" t="s">
        <v>735</v>
      </c>
      <c r="E95" s="42" t="s">
        <v>745</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1821</v>
      </c>
      <c r="AY95" s="41" t="s">
        <v>1935</v>
      </c>
      <c r="AZ95" s="33" t="s">
        <v>1234</v>
      </c>
      <c r="BA95" s="41" t="s">
        <v>1935</v>
      </c>
      <c r="BB95" s="33" t="s">
        <v>1931</v>
      </c>
      <c r="BC95" s="41" t="s">
        <v>757</v>
      </c>
      <c r="BD95" s="33" t="s">
        <v>1932</v>
      </c>
      <c r="BE95" s="41" t="str">
        <f t="shared" si="8"/>
        <v>"Bairro"</v>
      </c>
    </row>
    <row r="96" spans="1:57" ht="7.5" customHeight="1" x14ac:dyDescent="0.25">
      <c r="A96" s="39">
        <v>96</v>
      </c>
      <c r="B96" s="67" t="s">
        <v>880</v>
      </c>
      <c r="C96" s="38" t="s">
        <v>655</v>
      </c>
      <c r="D96" s="18" t="s">
        <v>735</v>
      </c>
      <c r="E96" s="42" t="s">
        <v>745</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1821</v>
      </c>
      <c r="AY96" s="41" t="s">
        <v>1935</v>
      </c>
      <c r="AZ96" s="33" t="s">
        <v>1234</v>
      </c>
      <c r="BA96" s="41" t="s">
        <v>1935</v>
      </c>
      <c r="BB96" s="33" t="s">
        <v>1931</v>
      </c>
      <c r="BC96" s="41" t="s">
        <v>757</v>
      </c>
      <c r="BD96" s="33" t="s">
        <v>1932</v>
      </c>
      <c r="BE96" s="41" t="str">
        <f t="shared" si="8"/>
        <v>"Bairro"</v>
      </c>
    </row>
    <row r="97" spans="1:57" ht="7.5" customHeight="1" x14ac:dyDescent="0.25">
      <c r="A97" s="39">
        <v>97</v>
      </c>
      <c r="B97" s="67" t="s">
        <v>881</v>
      </c>
      <c r="C97" s="38" t="s">
        <v>655</v>
      </c>
      <c r="D97" s="18" t="s">
        <v>735</v>
      </c>
      <c r="E97" s="42" t="s">
        <v>745</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1821</v>
      </c>
      <c r="AY97" s="41" t="s">
        <v>1935</v>
      </c>
      <c r="AZ97" s="33" t="s">
        <v>1234</v>
      </c>
      <c r="BA97" s="41" t="s">
        <v>1935</v>
      </c>
      <c r="BB97" s="33" t="s">
        <v>1931</v>
      </c>
      <c r="BC97" s="41" t="s">
        <v>757</v>
      </c>
      <c r="BD97" s="33" t="s">
        <v>1932</v>
      </c>
      <c r="BE97" s="41" t="str">
        <f t="shared" si="8"/>
        <v>"Bairro"</v>
      </c>
    </row>
    <row r="98" spans="1:57" ht="7.5" customHeight="1" x14ac:dyDescent="0.25">
      <c r="A98" s="39">
        <v>98</v>
      </c>
      <c r="B98" s="67" t="s">
        <v>882</v>
      </c>
      <c r="C98" s="38" t="s">
        <v>655</v>
      </c>
      <c r="D98" s="18" t="s">
        <v>735</v>
      </c>
      <c r="E98" s="42" t="s">
        <v>745</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1821</v>
      </c>
      <c r="AY98" s="41" t="s">
        <v>1935</v>
      </c>
      <c r="AZ98" s="33" t="s">
        <v>1234</v>
      </c>
      <c r="BA98" s="41" t="s">
        <v>1935</v>
      </c>
      <c r="BB98" s="33" t="s">
        <v>1931</v>
      </c>
      <c r="BC98" s="41" t="s">
        <v>757</v>
      </c>
      <c r="BD98" s="33" t="s">
        <v>1932</v>
      </c>
      <c r="BE98" s="41" t="str">
        <f t="shared" si="8"/>
        <v>"Bairro"</v>
      </c>
    </row>
    <row r="99" spans="1:57" ht="7.5" customHeight="1" x14ac:dyDescent="0.25">
      <c r="A99" s="39">
        <v>99</v>
      </c>
      <c r="B99" s="67" t="s">
        <v>883</v>
      </c>
      <c r="C99" s="38" t="s">
        <v>655</v>
      </c>
      <c r="D99" s="18" t="s">
        <v>735</v>
      </c>
      <c r="E99" s="42" t="s">
        <v>745</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1821</v>
      </c>
      <c r="AY99" s="41" t="s">
        <v>1935</v>
      </c>
      <c r="AZ99" s="33" t="s">
        <v>1234</v>
      </c>
      <c r="BA99" s="41" t="s">
        <v>1935</v>
      </c>
      <c r="BB99" s="33" t="s">
        <v>1931</v>
      </c>
      <c r="BC99" s="41" t="s">
        <v>757</v>
      </c>
      <c r="BD99" s="33" t="s">
        <v>1932</v>
      </c>
      <c r="BE99" s="41" t="str">
        <f t="shared" si="8"/>
        <v>"Bairro"</v>
      </c>
    </row>
    <row r="100" spans="1:57" ht="7.5" customHeight="1" x14ac:dyDescent="0.25">
      <c r="A100" s="39">
        <v>100</v>
      </c>
      <c r="B100" s="67" t="s">
        <v>884</v>
      </c>
      <c r="C100" s="38" t="s">
        <v>655</v>
      </c>
      <c r="D100" s="18" t="s">
        <v>735</v>
      </c>
      <c r="E100" s="42" t="s">
        <v>745</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1821</v>
      </c>
      <c r="AY100" s="41" t="s">
        <v>1935</v>
      </c>
      <c r="AZ100" s="33" t="s">
        <v>1234</v>
      </c>
      <c r="BA100" s="41" t="s">
        <v>1935</v>
      </c>
      <c r="BB100" s="33" t="s">
        <v>1931</v>
      </c>
      <c r="BC100" s="41" t="s">
        <v>757</v>
      </c>
      <c r="BD100" s="33" t="s">
        <v>1932</v>
      </c>
      <c r="BE100" s="41" t="str">
        <f t="shared" si="8"/>
        <v>"Bairro"</v>
      </c>
    </row>
    <row r="101" spans="1:57" ht="7.5" customHeight="1" x14ac:dyDescent="0.25">
      <c r="A101" s="39">
        <v>101</v>
      </c>
      <c r="B101" s="67" t="s">
        <v>885</v>
      </c>
      <c r="C101" s="38" t="s">
        <v>655</v>
      </c>
      <c r="D101" s="18" t="s">
        <v>735</v>
      </c>
      <c r="E101" s="42" t="s">
        <v>745</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1821</v>
      </c>
      <c r="AY101" s="41" t="s">
        <v>1935</v>
      </c>
      <c r="AZ101" s="33" t="s">
        <v>1234</v>
      </c>
      <c r="BA101" s="41" t="s">
        <v>1935</v>
      </c>
      <c r="BB101" s="33" t="s">
        <v>1931</v>
      </c>
      <c r="BC101" s="41" t="s">
        <v>757</v>
      </c>
      <c r="BD101" s="33" t="s">
        <v>1932</v>
      </c>
      <c r="BE101" s="41" t="str">
        <f t="shared" si="8"/>
        <v>"Bairro"</v>
      </c>
    </row>
    <row r="102" spans="1:57" ht="7.5" customHeight="1" x14ac:dyDescent="0.25">
      <c r="A102" s="39">
        <v>102</v>
      </c>
      <c r="B102" s="67" t="s">
        <v>886</v>
      </c>
      <c r="C102" s="38" t="s">
        <v>655</v>
      </c>
      <c r="D102" s="18" t="s">
        <v>735</v>
      </c>
      <c r="E102" s="42" t="s">
        <v>745</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1821</v>
      </c>
      <c r="AY102" s="41" t="s">
        <v>1935</v>
      </c>
      <c r="AZ102" s="33" t="s">
        <v>1234</v>
      </c>
      <c r="BA102" s="41" t="s">
        <v>1935</v>
      </c>
      <c r="BB102" s="33" t="s">
        <v>1931</v>
      </c>
      <c r="BC102" s="41" t="s">
        <v>757</v>
      </c>
      <c r="BD102" s="33" t="s">
        <v>1932</v>
      </c>
      <c r="BE102" s="41" t="str">
        <f t="shared" si="8"/>
        <v>"Bairro"</v>
      </c>
    </row>
    <row r="103" spans="1:57" ht="7.5" customHeight="1" x14ac:dyDescent="0.25">
      <c r="A103" s="39">
        <v>103</v>
      </c>
      <c r="B103" s="67" t="s">
        <v>887</v>
      </c>
      <c r="C103" s="38" t="s">
        <v>655</v>
      </c>
      <c r="D103" s="18" t="s">
        <v>735</v>
      </c>
      <c r="E103" s="42" t="s">
        <v>745</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1821</v>
      </c>
      <c r="AY103" s="41" t="s">
        <v>1935</v>
      </c>
      <c r="AZ103" s="33" t="s">
        <v>1234</v>
      </c>
      <c r="BA103" s="41" t="s">
        <v>1935</v>
      </c>
      <c r="BB103" s="33" t="s">
        <v>1931</v>
      </c>
      <c r="BC103" s="41" t="s">
        <v>757</v>
      </c>
      <c r="BD103" s="33" t="s">
        <v>1932</v>
      </c>
      <c r="BE103" s="41" t="str">
        <f t="shared" si="8"/>
        <v>"Bairro"</v>
      </c>
    </row>
    <row r="104" spans="1:57" ht="7.5" customHeight="1" x14ac:dyDescent="0.25">
      <c r="A104" s="39">
        <v>104</v>
      </c>
      <c r="B104" s="67" t="s">
        <v>888</v>
      </c>
      <c r="C104" s="38" t="s">
        <v>655</v>
      </c>
      <c r="D104" s="18" t="s">
        <v>735</v>
      </c>
      <c r="E104" s="42" t="s">
        <v>745</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1821</v>
      </c>
      <c r="AY104" s="41" t="s">
        <v>1935</v>
      </c>
      <c r="AZ104" s="33" t="s">
        <v>1234</v>
      </c>
      <c r="BA104" s="41" t="s">
        <v>1935</v>
      </c>
      <c r="BB104" s="33" t="s">
        <v>1931</v>
      </c>
      <c r="BC104" s="41" t="s">
        <v>757</v>
      </c>
      <c r="BD104" s="33" t="s">
        <v>1932</v>
      </c>
      <c r="BE104" s="41" t="str">
        <f t="shared" si="8"/>
        <v>"Bairro"</v>
      </c>
    </row>
    <row r="105" spans="1:57" ht="7.5" customHeight="1" x14ac:dyDescent="0.25">
      <c r="A105" s="39">
        <v>105</v>
      </c>
      <c r="B105" s="67" t="s">
        <v>889</v>
      </c>
      <c r="C105" s="38" t="s">
        <v>655</v>
      </c>
      <c r="D105" s="18" t="s">
        <v>735</v>
      </c>
      <c r="E105" s="42" t="s">
        <v>745</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1821</v>
      </c>
      <c r="AY105" s="41" t="s">
        <v>1935</v>
      </c>
      <c r="AZ105" s="33" t="s">
        <v>1234</v>
      </c>
      <c r="BA105" s="41" t="s">
        <v>1935</v>
      </c>
      <c r="BB105" s="33" t="s">
        <v>1931</v>
      </c>
      <c r="BC105" s="41" t="s">
        <v>757</v>
      </c>
      <c r="BD105" s="33" t="s">
        <v>1932</v>
      </c>
      <c r="BE105" s="41" t="str">
        <f t="shared" si="8"/>
        <v>"Bairro"</v>
      </c>
    </row>
    <row r="106" spans="1:57" ht="7.5" customHeight="1" x14ac:dyDescent="0.25">
      <c r="A106" s="39">
        <v>106</v>
      </c>
      <c r="B106" s="67" t="s">
        <v>890</v>
      </c>
      <c r="C106" s="38" t="s">
        <v>655</v>
      </c>
      <c r="D106" s="18" t="s">
        <v>735</v>
      </c>
      <c r="E106" s="42" t="s">
        <v>745</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1821</v>
      </c>
      <c r="AY106" s="41" t="s">
        <v>1935</v>
      </c>
      <c r="AZ106" s="33" t="s">
        <v>1234</v>
      </c>
      <c r="BA106" s="41" t="s">
        <v>1935</v>
      </c>
      <c r="BB106" s="33" t="s">
        <v>1931</v>
      </c>
      <c r="BC106" s="41" t="s">
        <v>757</v>
      </c>
      <c r="BD106" s="33" t="s">
        <v>1932</v>
      </c>
      <c r="BE106" s="41" t="str">
        <f t="shared" si="8"/>
        <v>"Bairro"</v>
      </c>
    </row>
    <row r="107" spans="1:57" ht="7.5" customHeight="1" x14ac:dyDescent="0.25">
      <c r="A107" s="39">
        <v>107</v>
      </c>
      <c r="B107" s="67" t="s">
        <v>891</v>
      </c>
      <c r="C107" s="38" t="s">
        <v>655</v>
      </c>
      <c r="D107" s="18" t="s">
        <v>735</v>
      </c>
      <c r="E107" s="42" t="s">
        <v>745</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1821</v>
      </c>
      <c r="AY107" s="41" t="s">
        <v>1935</v>
      </c>
      <c r="AZ107" s="33" t="s">
        <v>1234</v>
      </c>
      <c r="BA107" s="41" t="s">
        <v>1935</v>
      </c>
      <c r="BB107" s="33" t="s">
        <v>1931</v>
      </c>
      <c r="BC107" s="41" t="s">
        <v>757</v>
      </c>
      <c r="BD107" s="33" t="s">
        <v>1932</v>
      </c>
      <c r="BE107" s="41" t="str">
        <f t="shared" si="8"/>
        <v>"Bairro"</v>
      </c>
    </row>
    <row r="108" spans="1:57" ht="7.5" customHeight="1" x14ac:dyDescent="0.25">
      <c r="A108" s="39">
        <v>108</v>
      </c>
      <c r="B108" s="67" t="s">
        <v>892</v>
      </c>
      <c r="C108" s="38" t="s">
        <v>655</v>
      </c>
      <c r="D108" s="18" t="s">
        <v>735</v>
      </c>
      <c r="E108" s="42" t="s">
        <v>745</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1821</v>
      </c>
      <c r="AY108" s="41" t="s">
        <v>1935</v>
      </c>
      <c r="AZ108" s="33" t="s">
        <v>1234</v>
      </c>
      <c r="BA108" s="41" t="s">
        <v>1935</v>
      </c>
      <c r="BB108" s="33" t="s">
        <v>1931</v>
      </c>
      <c r="BC108" s="41" t="s">
        <v>757</v>
      </c>
      <c r="BD108" s="33" t="s">
        <v>1932</v>
      </c>
      <c r="BE108" s="41" t="str">
        <f t="shared" si="8"/>
        <v>"Bairro"</v>
      </c>
    </row>
    <row r="109" spans="1:57" ht="7.5" customHeight="1" x14ac:dyDescent="0.25">
      <c r="A109" s="39">
        <v>109</v>
      </c>
      <c r="B109" s="67" t="s">
        <v>893</v>
      </c>
      <c r="C109" s="38" t="s">
        <v>655</v>
      </c>
      <c r="D109" s="18" t="s">
        <v>735</v>
      </c>
      <c r="E109" s="42" t="s">
        <v>745</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1821</v>
      </c>
      <c r="AY109" s="41" t="s">
        <v>1935</v>
      </c>
      <c r="AZ109" s="33" t="s">
        <v>1234</v>
      </c>
      <c r="BA109" s="41" t="s">
        <v>1935</v>
      </c>
      <c r="BB109" s="33" t="s">
        <v>1931</v>
      </c>
      <c r="BC109" s="41" t="s">
        <v>757</v>
      </c>
      <c r="BD109" s="33" t="s">
        <v>1932</v>
      </c>
      <c r="BE109" s="41" t="str">
        <f t="shared" si="8"/>
        <v>"Bairro"</v>
      </c>
    </row>
    <row r="110" spans="1:57" ht="7.5" customHeight="1" x14ac:dyDescent="0.25">
      <c r="A110" s="39">
        <v>110</v>
      </c>
      <c r="B110" s="67" t="s">
        <v>894</v>
      </c>
      <c r="C110" s="38" t="s">
        <v>655</v>
      </c>
      <c r="D110" s="18" t="s">
        <v>735</v>
      </c>
      <c r="E110" s="42" t="s">
        <v>745</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1821</v>
      </c>
      <c r="AY110" s="41" t="s">
        <v>1935</v>
      </c>
      <c r="AZ110" s="33" t="s">
        <v>1234</v>
      </c>
      <c r="BA110" s="41" t="s">
        <v>1935</v>
      </c>
      <c r="BB110" s="33" t="s">
        <v>1931</v>
      </c>
      <c r="BC110" s="41" t="s">
        <v>757</v>
      </c>
      <c r="BD110" s="33" t="s">
        <v>1932</v>
      </c>
      <c r="BE110" s="41" t="str">
        <f t="shared" si="8"/>
        <v>"Bairro"</v>
      </c>
    </row>
    <row r="111" spans="1:57" ht="7.5" customHeight="1" x14ac:dyDescent="0.25">
      <c r="A111" s="39">
        <v>111</v>
      </c>
      <c r="B111" s="67" t="s">
        <v>895</v>
      </c>
      <c r="C111" s="38" t="s">
        <v>655</v>
      </c>
      <c r="D111" s="18" t="s">
        <v>735</v>
      </c>
      <c r="E111" s="42" t="s">
        <v>745</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1821</v>
      </c>
      <c r="AY111" s="41" t="s">
        <v>1935</v>
      </c>
      <c r="AZ111" s="33" t="s">
        <v>1234</v>
      </c>
      <c r="BA111" s="41" t="s">
        <v>1935</v>
      </c>
      <c r="BB111" s="33" t="s">
        <v>1931</v>
      </c>
      <c r="BC111" s="41" t="s">
        <v>757</v>
      </c>
      <c r="BD111" s="33" t="s">
        <v>1932</v>
      </c>
      <c r="BE111" s="41" t="str">
        <f t="shared" si="8"/>
        <v>"Bairro"</v>
      </c>
    </row>
    <row r="112" spans="1:57" ht="7.5" customHeight="1" x14ac:dyDescent="0.25">
      <c r="A112" s="39">
        <v>112</v>
      </c>
      <c r="B112" s="67" t="s">
        <v>896</v>
      </c>
      <c r="C112" s="38" t="s">
        <v>655</v>
      </c>
      <c r="D112" s="18" t="s">
        <v>735</v>
      </c>
      <c r="E112" s="42" t="s">
        <v>745</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1821</v>
      </c>
      <c r="AY112" s="41" t="s">
        <v>1935</v>
      </c>
      <c r="AZ112" s="33" t="s">
        <v>1234</v>
      </c>
      <c r="BA112" s="41" t="s">
        <v>1935</v>
      </c>
      <c r="BB112" s="33" t="s">
        <v>1931</v>
      </c>
      <c r="BC112" s="41" t="s">
        <v>757</v>
      </c>
      <c r="BD112" s="33" t="s">
        <v>1932</v>
      </c>
      <c r="BE112" s="41" t="str">
        <f t="shared" si="8"/>
        <v>"Bairro"</v>
      </c>
    </row>
    <row r="113" spans="1:57" ht="7.5" customHeight="1" x14ac:dyDescent="0.25">
      <c r="A113" s="39">
        <v>113</v>
      </c>
      <c r="B113" s="67" t="s">
        <v>897</v>
      </c>
      <c r="C113" s="38" t="s">
        <v>655</v>
      </c>
      <c r="D113" s="18" t="s">
        <v>735</v>
      </c>
      <c r="E113" s="42" t="s">
        <v>745</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1821</v>
      </c>
      <c r="AY113" s="41" t="s">
        <v>1935</v>
      </c>
      <c r="AZ113" s="33" t="s">
        <v>1234</v>
      </c>
      <c r="BA113" s="41" t="s">
        <v>1935</v>
      </c>
      <c r="BB113" s="33" t="s">
        <v>1931</v>
      </c>
      <c r="BC113" s="41" t="s">
        <v>757</v>
      </c>
      <c r="BD113" s="33" t="s">
        <v>1932</v>
      </c>
      <c r="BE113" s="41" t="str">
        <f t="shared" si="8"/>
        <v>"Bairro"</v>
      </c>
    </row>
    <row r="114" spans="1:57" ht="7.5" customHeight="1" x14ac:dyDescent="0.25">
      <c r="A114" s="39">
        <v>114</v>
      </c>
      <c r="B114" s="67" t="s">
        <v>898</v>
      </c>
      <c r="C114" s="38" t="s">
        <v>655</v>
      </c>
      <c r="D114" s="18" t="s">
        <v>735</v>
      </c>
      <c r="E114" s="42" t="s">
        <v>745</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1821</v>
      </c>
      <c r="AY114" s="41" t="s">
        <v>1935</v>
      </c>
      <c r="AZ114" s="33" t="s">
        <v>1234</v>
      </c>
      <c r="BA114" s="41" t="s">
        <v>1935</v>
      </c>
      <c r="BB114" s="33" t="s">
        <v>1931</v>
      </c>
      <c r="BC114" s="41" t="s">
        <v>757</v>
      </c>
      <c r="BD114" s="33" t="s">
        <v>1932</v>
      </c>
      <c r="BE114" s="41" t="str">
        <f t="shared" si="8"/>
        <v>"Bairro"</v>
      </c>
    </row>
    <row r="115" spans="1:57" ht="7.5" customHeight="1" x14ac:dyDescent="0.25">
      <c r="A115" s="39">
        <v>115</v>
      </c>
      <c r="B115" s="67" t="s">
        <v>899</v>
      </c>
      <c r="C115" s="38" t="s">
        <v>655</v>
      </c>
      <c r="D115" s="18" t="s">
        <v>735</v>
      </c>
      <c r="E115" s="42" t="s">
        <v>745</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1821</v>
      </c>
      <c r="AY115" s="41" t="s">
        <v>1935</v>
      </c>
      <c r="AZ115" s="33" t="s">
        <v>1234</v>
      </c>
      <c r="BA115" s="41" t="s">
        <v>1935</v>
      </c>
      <c r="BB115" s="33" t="s">
        <v>1931</v>
      </c>
      <c r="BC115" s="41" t="s">
        <v>757</v>
      </c>
      <c r="BD115" s="33" t="s">
        <v>1932</v>
      </c>
      <c r="BE115" s="41" t="str">
        <f t="shared" ref="BE115:BE178" si="10">_xlfn.CONCAT("""",C115,"""")</f>
        <v>"Bairro"</v>
      </c>
    </row>
    <row r="116" spans="1:57" ht="7.5" customHeight="1" x14ac:dyDescent="0.25">
      <c r="A116" s="39">
        <v>116</v>
      </c>
      <c r="B116" s="67" t="s">
        <v>900</v>
      </c>
      <c r="C116" s="38" t="s">
        <v>655</v>
      </c>
      <c r="D116" s="18" t="s">
        <v>735</v>
      </c>
      <c r="E116" s="42" t="s">
        <v>745</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1821</v>
      </c>
      <c r="AY116" s="41" t="s">
        <v>1935</v>
      </c>
      <c r="AZ116" s="33" t="s">
        <v>1234</v>
      </c>
      <c r="BA116" s="41" t="s">
        <v>1935</v>
      </c>
      <c r="BB116" s="33" t="s">
        <v>1931</v>
      </c>
      <c r="BC116" s="41" t="s">
        <v>757</v>
      </c>
      <c r="BD116" s="33" t="s">
        <v>1932</v>
      </c>
      <c r="BE116" s="41" t="str">
        <f t="shared" si="10"/>
        <v>"Bairro"</v>
      </c>
    </row>
    <row r="117" spans="1:57" ht="7.5" customHeight="1" x14ac:dyDescent="0.25">
      <c r="A117" s="39">
        <v>117</v>
      </c>
      <c r="B117" s="67" t="s">
        <v>901</v>
      </c>
      <c r="C117" s="38" t="s">
        <v>655</v>
      </c>
      <c r="D117" s="18" t="s">
        <v>735</v>
      </c>
      <c r="E117" s="42" t="s">
        <v>745</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1821</v>
      </c>
      <c r="AY117" s="41" t="s">
        <v>1935</v>
      </c>
      <c r="AZ117" s="33" t="s">
        <v>1234</v>
      </c>
      <c r="BA117" s="41" t="s">
        <v>1935</v>
      </c>
      <c r="BB117" s="33" t="s">
        <v>1931</v>
      </c>
      <c r="BC117" s="41" t="s">
        <v>757</v>
      </c>
      <c r="BD117" s="33" t="s">
        <v>1932</v>
      </c>
      <c r="BE117" s="41" t="str">
        <f t="shared" si="10"/>
        <v>"Bairro"</v>
      </c>
    </row>
    <row r="118" spans="1:57" ht="7.5" customHeight="1" x14ac:dyDescent="0.25">
      <c r="A118" s="39">
        <v>118</v>
      </c>
      <c r="B118" s="67" t="s">
        <v>902</v>
      </c>
      <c r="C118" s="38" t="s">
        <v>655</v>
      </c>
      <c r="D118" s="18" t="s">
        <v>735</v>
      </c>
      <c r="E118" s="42" t="s">
        <v>745</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1821</v>
      </c>
      <c r="AY118" s="41" t="s">
        <v>1935</v>
      </c>
      <c r="AZ118" s="33" t="s">
        <v>1234</v>
      </c>
      <c r="BA118" s="41" t="s">
        <v>1935</v>
      </c>
      <c r="BB118" s="33" t="s">
        <v>1931</v>
      </c>
      <c r="BC118" s="41" t="s">
        <v>757</v>
      </c>
      <c r="BD118" s="33" t="s">
        <v>1932</v>
      </c>
      <c r="BE118" s="41" t="str">
        <f t="shared" si="10"/>
        <v>"Bairro"</v>
      </c>
    </row>
    <row r="119" spans="1:57" ht="7.5" customHeight="1" x14ac:dyDescent="0.25">
      <c r="A119" s="39">
        <v>119</v>
      </c>
      <c r="B119" s="67" t="s">
        <v>903</v>
      </c>
      <c r="C119" s="38" t="s">
        <v>655</v>
      </c>
      <c r="D119" s="18" t="s">
        <v>735</v>
      </c>
      <c r="E119" s="42" t="s">
        <v>745</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1821</v>
      </c>
      <c r="AY119" s="41" t="s">
        <v>1935</v>
      </c>
      <c r="AZ119" s="33" t="s">
        <v>1234</v>
      </c>
      <c r="BA119" s="41" t="s">
        <v>1935</v>
      </c>
      <c r="BB119" s="33" t="s">
        <v>1931</v>
      </c>
      <c r="BC119" s="41" t="s">
        <v>757</v>
      </c>
      <c r="BD119" s="33" t="s">
        <v>1932</v>
      </c>
      <c r="BE119" s="41" t="str">
        <f t="shared" si="10"/>
        <v>"Bairro"</v>
      </c>
    </row>
    <row r="120" spans="1:57" ht="7.5" customHeight="1" x14ac:dyDescent="0.25">
      <c r="A120" s="39">
        <v>120</v>
      </c>
      <c r="B120" s="67" t="s">
        <v>904</v>
      </c>
      <c r="C120" s="38" t="s">
        <v>655</v>
      </c>
      <c r="D120" s="18" t="s">
        <v>735</v>
      </c>
      <c r="E120" s="42" t="s">
        <v>745</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1821</v>
      </c>
      <c r="AY120" s="41" t="s">
        <v>1935</v>
      </c>
      <c r="AZ120" s="33" t="s">
        <v>1234</v>
      </c>
      <c r="BA120" s="41" t="s">
        <v>1935</v>
      </c>
      <c r="BB120" s="33" t="s">
        <v>1931</v>
      </c>
      <c r="BC120" s="41" t="s">
        <v>757</v>
      </c>
      <c r="BD120" s="33" t="s">
        <v>1932</v>
      </c>
      <c r="BE120" s="41" t="str">
        <f t="shared" si="10"/>
        <v>"Bairro"</v>
      </c>
    </row>
    <row r="121" spans="1:57" ht="7.5" customHeight="1" x14ac:dyDescent="0.25">
      <c r="A121" s="39">
        <v>121</v>
      </c>
      <c r="B121" s="67" t="s">
        <v>905</v>
      </c>
      <c r="C121" s="38" t="s">
        <v>655</v>
      </c>
      <c r="D121" s="18" t="s">
        <v>735</v>
      </c>
      <c r="E121" s="42" t="s">
        <v>745</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1821</v>
      </c>
      <c r="AY121" s="41" t="s">
        <v>1935</v>
      </c>
      <c r="AZ121" s="33" t="s">
        <v>1234</v>
      </c>
      <c r="BA121" s="41" t="s">
        <v>1935</v>
      </c>
      <c r="BB121" s="33" t="s">
        <v>1931</v>
      </c>
      <c r="BC121" s="41" t="s">
        <v>757</v>
      </c>
      <c r="BD121" s="33" t="s">
        <v>1932</v>
      </c>
      <c r="BE121" s="41" t="str">
        <f t="shared" si="10"/>
        <v>"Bairro"</v>
      </c>
    </row>
    <row r="122" spans="1:57" ht="7.5" customHeight="1" x14ac:dyDescent="0.25">
      <c r="A122" s="39">
        <v>122</v>
      </c>
      <c r="B122" s="67" t="s">
        <v>906</v>
      </c>
      <c r="C122" s="38" t="s">
        <v>655</v>
      </c>
      <c r="D122" s="18" t="s">
        <v>735</v>
      </c>
      <c r="E122" s="42" t="s">
        <v>745</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1821</v>
      </c>
      <c r="AY122" s="41" t="s">
        <v>1935</v>
      </c>
      <c r="AZ122" s="33" t="s">
        <v>1234</v>
      </c>
      <c r="BA122" s="41" t="s">
        <v>1935</v>
      </c>
      <c r="BB122" s="33" t="s">
        <v>1931</v>
      </c>
      <c r="BC122" s="41" t="s">
        <v>757</v>
      </c>
      <c r="BD122" s="33" t="s">
        <v>1932</v>
      </c>
      <c r="BE122" s="41" t="str">
        <f t="shared" si="10"/>
        <v>"Bairro"</v>
      </c>
    </row>
    <row r="123" spans="1:57" ht="7.5" customHeight="1" x14ac:dyDescent="0.25">
      <c r="A123" s="39">
        <v>123</v>
      </c>
      <c r="B123" s="67" t="s">
        <v>907</v>
      </c>
      <c r="C123" s="38" t="s">
        <v>655</v>
      </c>
      <c r="D123" s="18" t="s">
        <v>735</v>
      </c>
      <c r="E123" s="42" t="s">
        <v>745</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1821</v>
      </c>
      <c r="AY123" s="41" t="s">
        <v>1935</v>
      </c>
      <c r="AZ123" s="33" t="s">
        <v>1234</v>
      </c>
      <c r="BA123" s="41" t="s">
        <v>1935</v>
      </c>
      <c r="BB123" s="33" t="s">
        <v>1931</v>
      </c>
      <c r="BC123" s="41" t="s">
        <v>757</v>
      </c>
      <c r="BD123" s="33" t="s">
        <v>1932</v>
      </c>
      <c r="BE123" s="41" t="str">
        <f t="shared" si="10"/>
        <v>"Bairro"</v>
      </c>
    </row>
    <row r="124" spans="1:57" ht="7.5" customHeight="1" x14ac:dyDescent="0.25">
      <c r="A124" s="39">
        <v>124</v>
      </c>
      <c r="B124" s="67" t="s">
        <v>908</v>
      </c>
      <c r="C124" s="38" t="s">
        <v>655</v>
      </c>
      <c r="D124" s="18" t="s">
        <v>735</v>
      </c>
      <c r="E124" s="42" t="s">
        <v>745</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1821</v>
      </c>
      <c r="AY124" s="41" t="s">
        <v>1935</v>
      </c>
      <c r="AZ124" s="33" t="s">
        <v>1234</v>
      </c>
      <c r="BA124" s="41" t="s">
        <v>1935</v>
      </c>
      <c r="BB124" s="33" t="s">
        <v>1931</v>
      </c>
      <c r="BC124" s="41" t="s">
        <v>757</v>
      </c>
      <c r="BD124" s="33" t="s">
        <v>1932</v>
      </c>
      <c r="BE124" s="41" t="str">
        <f t="shared" si="10"/>
        <v>"Bairro"</v>
      </c>
    </row>
    <row r="125" spans="1:57" ht="7.5" customHeight="1" x14ac:dyDescent="0.25">
      <c r="A125" s="39">
        <v>125</v>
      </c>
      <c r="B125" s="67" t="s">
        <v>909</v>
      </c>
      <c r="C125" s="38" t="s">
        <v>655</v>
      </c>
      <c r="D125" s="18" t="s">
        <v>735</v>
      </c>
      <c r="E125" s="42" t="s">
        <v>745</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1821</v>
      </c>
      <c r="AY125" s="41" t="s">
        <v>1935</v>
      </c>
      <c r="AZ125" s="33" t="s">
        <v>1234</v>
      </c>
      <c r="BA125" s="41" t="s">
        <v>1935</v>
      </c>
      <c r="BB125" s="33" t="s">
        <v>1931</v>
      </c>
      <c r="BC125" s="41" t="s">
        <v>757</v>
      </c>
      <c r="BD125" s="33" t="s">
        <v>1932</v>
      </c>
      <c r="BE125" s="41" t="str">
        <f t="shared" si="10"/>
        <v>"Bairro"</v>
      </c>
    </row>
    <row r="126" spans="1:57" ht="7.5" customHeight="1" x14ac:dyDescent="0.25">
      <c r="A126" s="39">
        <v>126</v>
      </c>
      <c r="B126" s="67" t="s">
        <v>910</v>
      </c>
      <c r="C126" s="38" t="s">
        <v>655</v>
      </c>
      <c r="D126" s="18" t="s">
        <v>735</v>
      </c>
      <c r="E126" s="42" t="s">
        <v>745</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1821</v>
      </c>
      <c r="AY126" s="41" t="s">
        <v>1935</v>
      </c>
      <c r="AZ126" s="33" t="s">
        <v>1234</v>
      </c>
      <c r="BA126" s="41" t="s">
        <v>1935</v>
      </c>
      <c r="BB126" s="33" t="s">
        <v>1931</v>
      </c>
      <c r="BC126" s="41" t="s">
        <v>757</v>
      </c>
      <c r="BD126" s="33" t="s">
        <v>1932</v>
      </c>
      <c r="BE126" s="41" t="str">
        <f t="shared" si="10"/>
        <v>"Bairro"</v>
      </c>
    </row>
    <row r="127" spans="1:57" ht="7.5" customHeight="1" x14ac:dyDescent="0.25">
      <c r="A127" s="39">
        <v>127</v>
      </c>
      <c r="B127" s="67" t="s">
        <v>911</v>
      </c>
      <c r="C127" s="38" t="s">
        <v>655</v>
      </c>
      <c r="D127" s="18" t="s">
        <v>735</v>
      </c>
      <c r="E127" s="42" t="s">
        <v>745</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1821</v>
      </c>
      <c r="AY127" s="41" t="s">
        <v>1935</v>
      </c>
      <c r="AZ127" s="33" t="s">
        <v>1234</v>
      </c>
      <c r="BA127" s="41" t="s">
        <v>1935</v>
      </c>
      <c r="BB127" s="33" t="s">
        <v>1931</v>
      </c>
      <c r="BC127" s="41" t="s">
        <v>757</v>
      </c>
      <c r="BD127" s="33" t="s">
        <v>1932</v>
      </c>
      <c r="BE127" s="41" t="str">
        <f t="shared" si="10"/>
        <v>"Bairro"</v>
      </c>
    </row>
    <row r="128" spans="1:57" ht="7.5" customHeight="1" x14ac:dyDescent="0.25">
      <c r="A128" s="39">
        <v>128</v>
      </c>
      <c r="B128" s="67" t="s">
        <v>912</v>
      </c>
      <c r="C128" s="38" t="s">
        <v>655</v>
      </c>
      <c r="D128" s="18" t="s">
        <v>735</v>
      </c>
      <c r="E128" s="42" t="s">
        <v>745</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1821</v>
      </c>
      <c r="AY128" s="41" t="s">
        <v>1935</v>
      </c>
      <c r="AZ128" s="33" t="s">
        <v>1234</v>
      </c>
      <c r="BA128" s="41" t="s">
        <v>1935</v>
      </c>
      <c r="BB128" s="33" t="s">
        <v>1931</v>
      </c>
      <c r="BC128" s="41" t="s">
        <v>757</v>
      </c>
      <c r="BD128" s="33" t="s">
        <v>1932</v>
      </c>
      <c r="BE128" s="41" t="str">
        <f t="shared" si="10"/>
        <v>"Bairro"</v>
      </c>
    </row>
    <row r="129" spans="1:57" ht="7.5" customHeight="1" x14ac:dyDescent="0.25">
      <c r="A129" s="39">
        <v>129</v>
      </c>
      <c r="B129" s="67" t="s">
        <v>913</v>
      </c>
      <c r="C129" s="38" t="s">
        <v>655</v>
      </c>
      <c r="D129" s="18" t="s">
        <v>735</v>
      </c>
      <c r="E129" s="42" t="s">
        <v>745</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1821</v>
      </c>
      <c r="AY129" s="41" t="s">
        <v>1935</v>
      </c>
      <c r="AZ129" s="33" t="s">
        <v>1234</v>
      </c>
      <c r="BA129" s="41" t="s">
        <v>1935</v>
      </c>
      <c r="BB129" s="33" t="s">
        <v>1931</v>
      </c>
      <c r="BC129" s="41" t="s">
        <v>757</v>
      </c>
      <c r="BD129" s="33" t="s">
        <v>1932</v>
      </c>
      <c r="BE129" s="41" t="str">
        <f t="shared" si="10"/>
        <v>"Bairro"</v>
      </c>
    </row>
    <row r="130" spans="1:57" ht="7.5" customHeight="1" x14ac:dyDescent="0.25">
      <c r="A130" s="39">
        <v>130</v>
      </c>
      <c r="B130" s="67" t="s">
        <v>914</v>
      </c>
      <c r="C130" s="38" t="s">
        <v>655</v>
      </c>
      <c r="D130" s="18" t="s">
        <v>735</v>
      </c>
      <c r="E130" s="42" t="s">
        <v>745</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1821</v>
      </c>
      <c r="AY130" s="41" t="s">
        <v>1935</v>
      </c>
      <c r="AZ130" s="33" t="s">
        <v>1234</v>
      </c>
      <c r="BA130" s="41" t="s">
        <v>1935</v>
      </c>
      <c r="BB130" s="33" t="s">
        <v>1931</v>
      </c>
      <c r="BC130" s="41" t="s">
        <v>757</v>
      </c>
      <c r="BD130" s="33" t="s">
        <v>1932</v>
      </c>
      <c r="BE130" s="41" t="str">
        <f t="shared" si="10"/>
        <v>"Bairro"</v>
      </c>
    </row>
    <row r="131" spans="1:57" ht="7.5" customHeight="1" x14ac:dyDescent="0.25">
      <c r="A131" s="39">
        <v>131</v>
      </c>
      <c r="B131" s="67" t="s">
        <v>915</v>
      </c>
      <c r="C131" s="38" t="s">
        <v>655</v>
      </c>
      <c r="D131" s="18" t="s">
        <v>735</v>
      </c>
      <c r="E131" s="42" t="s">
        <v>745</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1821</v>
      </c>
      <c r="AY131" s="41" t="s">
        <v>1935</v>
      </c>
      <c r="AZ131" s="33" t="s">
        <v>1234</v>
      </c>
      <c r="BA131" s="41" t="s">
        <v>1935</v>
      </c>
      <c r="BB131" s="33" t="s">
        <v>1931</v>
      </c>
      <c r="BC131" s="41" t="s">
        <v>757</v>
      </c>
      <c r="BD131" s="33" t="s">
        <v>1932</v>
      </c>
      <c r="BE131" s="41" t="str">
        <f t="shared" si="10"/>
        <v>"Bairro"</v>
      </c>
    </row>
    <row r="132" spans="1:57" ht="7.5" customHeight="1" x14ac:dyDescent="0.25">
      <c r="A132" s="39">
        <v>132</v>
      </c>
      <c r="B132" s="67" t="s">
        <v>916</v>
      </c>
      <c r="C132" s="38" t="s">
        <v>655</v>
      </c>
      <c r="D132" s="18" t="s">
        <v>735</v>
      </c>
      <c r="E132" s="42" t="s">
        <v>745</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1821</v>
      </c>
      <c r="AY132" s="41" t="s">
        <v>1935</v>
      </c>
      <c r="AZ132" s="33" t="s">
        <v>1234</v>
      </c>
      <c r="BA132" s="41" t="s">
        <v>1935</v>
      </c>
      <c r="BB132" s="33" t="s">
        <v>1931</v>
      </c>
      <c r="BC132" s="41" t="s">
        <v>757</v>
      </c>
      <c r="BD132" s="33" t="s">
        <v>1932</v>
      </c>
      <c r="BE132" s="41" t="str">
        <f t="shared" si="10"/>
        <v>"Bairro"</v>
      </c>
    </row>
    <row r="133" spans="1:57" ht="7.5" customHeight="1" x14ac:dyDescent="0.25">
      <c r="A133" s="39">
        <v>133</v>
      </c>
      <c r="B133" s="67" t="s">
        <v>917</v>
      </c>
      <c r="C133" s="38" t="s">
        <v>655</v>
      </c>
      <c r="D133" s="18" t="s">
        <v>735</v>
      </c>
      <c r="E133" s="42" t="s">
        <v>745</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1821</v>
      </c>
      <c r="AY133" s="41" t="s">
        <v>1935</v>
      </c>
      <c r="AZ133" s="33" t="s">
        <v>1234</v>
      </c>
      <c r="BA133" s="41" t="s">
        <v>1935</v>
      </c>
      <c r="BB133" s="33" t="s">
        <v>1931</v>
      </c>
      <c r="BC133" s="41" t="s">
        <v>757</v>
      </c>
      <c r="BD133" s="33" t="s">
        <v>1932</v>
      </c>
      <c r="BE133" s="41" t="str">
        <f t="shared" si="10"/>
        <v>"Bairro"</v>
      </c>
    </row>
    <row r="134" spans="1:57" ht="7.5" customHeight="1" x14ac:dyDescent="0.25">
      <c r="A134" s="39">
        <v>134</v>
      </c>
      <c r="B134" s="67" t="s">
        <v>918</v>
      </c>
      <c r="C134" s="38" t="s">
        <v>655</v>
      </c>
      <c r="D134" s="18" t="s">
        <v>735</v>
      </c>
      <c r="E134" s="42" t="s">
        <v>745</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1821</v>
      </c>
      <c r="AY134" s="41" t="s">
        <v>1935</v>
      </c>
      <c r="AZ134" s="33" t="s">
        <v>1234</v>
      </c>
      <c r="BA134" s="41" t="s">
        <v>1935</v>
      </c>
      <c r="BB134" s="33" t="s">
        <v>1931</v>
      </c>
      <c r="BC134" s="41" t="s">
        <v>757</v>
      </c>
      <c r="BD134" s="33" t="s">
        <v>1932</v>
      </c>
      <c r="BE134" s="41" t="str">
        <f t="shared" si="10"/>
        <v>"Bairro"</v>
      </c>
    </row>
    <row r="135" spans="1:57" ht="7.5" customHeight="1" x14ac:dyDescent="0.25">
      <c r="A135" s="39">
        <v>135</v>
      </c>
      <c r="B135" s="67" t="s">
        <v>919</v>
      </c>
      <c r="C135" s="38" t="s">
        <v>655</v>
      </c>
      <c r="D135" s="18" t="s">
        <v>735</v>
      </c>
      <c r="E135" s="42" t="s">
        <v>745</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1821</v>
      </c>
      <c r="AY135" s="41" t="s">
        <v>1935</v>
      </c>
      <c r="AZ135" s="33" t="s">
        <v>1234</v>
      </c>
      <c r="BA135" s="41" t="s">
        <v>1935</v>
      </c>
      <c r="BB135" s="33" t="s">
        <v>1931</v>
      </c>
      <c r="BC135" s="41" t="s">
        <v>757</v>
      </c>
      <c r="BD135" s="33" t="s">
        <v>1932</v>
      </c>
      <c r="BE135" s="41" t="str">
        <f t="shared" si="10"/>
        <v>"Bairro"</v>
      </c>
    </row>
    <row r="136" spans="1:57" ht="7.5" customHeight="1" x14ac:dyDescent="0.25">
      <c r="A136" s="39">
        <v>136</v>
      </c>
      <c r="B136" s="67" t="s">
        <v>920</v>
      </c>
      <c r="C136" s="38" t="s">
        <v>655</v>
      </c>
      <c r="D136" s="18" t="s">
        <v>735</v>
      </c>
      <c r="E136" s="42" t="s">
        <v>745</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1821</v>
      </c>
      <c r="AY136" s="41" t="s">
        <v>1935</v>
      </c>
      <c r="AZ136" s="33" t="s">
        <v>1234</v>
      </c>
      <c r="BA136" s="41" t="s">
        <v>1935</v>
      </c>
      <c r="BB136" s="33" t="s">
        <v>1931</v>
      </c>
      <c r="BC136" s="41" t="s">
        <v>757</v>
      </c>
      <c r="BD136" s="33" t="s">
        <v>1932</v>
      </c>
      <c r="BE136" s="41" t="str">
        <f t="shared" si="10"/>
        <v>"Bairro"</v>
      </c>
    </row>
    <row r="137" spans="1:57" ht="7.5" customHeight="1" x14ac:dyDescent="0.25">
      <c r="A137" s="39">
        <v>137</v>
      </c>
      <c r="B137" s="67" t="s">
        <v>921</v>
      </c>
      <c r="C137" s="38" t="s">
        <v>655</v>
      </c>
      <c r="D137" s="18" t="s">
        <v>735</v>
      </c>
      <c r="E137" s="42" t="s">
        <v>745</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1821</v>
      </c>
      <c r="AY137" s="41" t="s">
        <v>1935</v>
      </c>
      <c r="AZ137" s="33" t="s">
        <v>1234</v>
      </c>
      <c r="BA137" s="41" t="s">
        <v>1935</v>
      </c>
      <c r="BB137" s="33" t="s">
        <v>1931</v>
      </c>
      <c r="BC137" s="41" t="s">
        <v>757</v>
      </c>
      <c r="BD137" s="33" t="s">
        <v>1932</v>
      </c>
      <c r="BE137" s="41" t="str">
        <f t="shared" si="10"/>
        <v>"Bairro"</v>
      </c>
    </row>
    <row r="138" spans="1:57" ht="7.5" customHeight="1" x14ac:dyDescent="0.25">
      <c r="A138" s="39">
        <v>138</v>
      </c>
      <c r="B138" s="67" t="s">
        <v>922</v>
      </c>
      <c r="C138" s="38" t="s">
        <v>655</v>
      </c>
      <c r="D138" s="18" t="s">
        <v>735</v>
      </c>
      <c r="E138" s="42" t="s">
        <v>745</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1821</v>
      </c>
      <c r="AY138" s="41" t="s">
        <v>1935</v>
      </c>
      <c r="AZ138" s="33" t="s">
        <v>1234</v>
      </c>
      <c r="BA138" s="41" t="s">
        <v>1935</v>
      </c>
      <c r="BB138" s="33" t="s">
        <v>1931</v>
      </c>
      <c r="BC138" s="41" t="s">
        <v>757</v>
      </c>
      <c r="BD138" s="33" t="s">
        <v>1932</v>
      </c>
      <c r="BE138" s="41" t="str">
        <f t="shared" si="10"/>
        <v>"Bairro"</v>
      </c>
    </row>
    <row r="139" spans="1:57" ht="7.5" customHeight="1" x14ac:dyDescent="0.25">
      <c r="A139" s="39">
        <v>139</v>
      </c>
      <c r="B139" s="67" t="s">
        <v>923</v>
      </c>
      <c r="C139" s="38" t="s">
        <v>655</v>
      </c>
      <c r="D139" s="18" t="s">
        <v>735</v>
      </c>
      <c r="E139" s="42" t="s">
        <v>745</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1821</v>
      </c>
      <c r="AY139" s="41" t="s">
        <v>1935</v>
      </c>
      <c r="AZ139" s="33" t="s">
        <v>1234</v>
      </c>
      <c r="BA139" s="41" t="s">
        <v>1935</v>
      </c>
      <c r="BB139" s="33" t="s">
        <v>1931</v>
      </c>
      <c r="BC139" s="41" t="s">
        <v>757</v>
      </c>
      <c r="BD139" s="33" t="s">
        <v>1932</v>
      </c>
      <c r="BE139" s="41" t="str">
        <f t="shared" si="10"/>
        <v>"Bairro"</v>
      </c>
    </row>
    <row r="140" spans="1:57" ht="7.5" customHeight="1" x14ac:dyDescent="0.25">
      <c r="A140" s="39">
        <v>140</v>
      </c>
      <c r="B140" s="67" t="s">
        <v>924</v>
      </c>
      <c r="C140" s="38" t="s">
        <v>655</v>
      </c>
      <c r="D140" s="18" t="s">
        <v>735</v>
      </c>
      <c r="E140" s="42" t="s">
        <v>745</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1821</v>
      </c>
      <c r="AY140" s="41" t="s">
        <v>1935</v>
      </c>
      <c r="AZ140" s="33" t="s">
        <v>1234</v>
      </c>
      <c r="BA140" s="41" t="s">
        <v>1935</v>
      </c>
      <c r="BB140" s="33" t="s">
        <v>1931</v>
      </c>
      <c r="BC140" s="41" t="s">
        <v>757</v>
      </c>
      <c r="BD140" s="33" t="s">
        <v>1932</v>
      </c>
      <c r="BE140" s="41" t="str">
        <f t="shared" si="10"/>
        <v>"Bairro"</v>
      </c>
    </row>
    <row r="141" spans="1:57" ht="7.5" customHeight="1" x14ac:dyDescent="0.25">
      <c r="A141" s="39">
        <v>141</v>
      </c>
      <c r="B141" s="67" t="s">
        <v>925</v>
      </c>
      <c r="C141" s="38" t="s">
        <v>655</v>
      </c>
      <c r="D141" s="18" t="s">
        <v>735</v>
      </c>
      <c r="E141" s="42" t="s">
        <v>745</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1821</v>
      </c>
      <c r="AY141" s="41" t="s">
        <v>1935</v>
      </c>
      <c r="AZ141" s="33" t="s">
        <v>1234</v>
      </c>
      <c r="BA141" s="41" t="s">
        <v>1935</v>
      </c>
      <c r="BB141" s="33" t="s">
        <v>1931</v>
      </c>
      <c r="BC141" s="41" t="s">
        <v>757</v>
      </c>
      <c r="BD141" s="33" t="s">
        <v>1932</v>
      </c>
      <c r="BE141" s="41" t="str">
        <f t="shared" si="10"/>
        <v>"Bairro"</v>
      </c>
    </row>
    <row r="142" spans="1:57" ht="7.5" customHeight="1" x14ac:dyDescent="0.25">
      <c r="A142" s="39">
        <v>142</v>
      </c>
      <c r="B142" s="67" t="s">
        <v>926</v>
      </c>
      <c r="C142" s="38" t="s">
        <v>655</v>
      </c>
      <c r="D142" s="18" t="s">
        <v>735</v>
      </c>
      <c r="E142" s="42" t="s">
        <v>745</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1821</v>
      </c>
      <c r="AY142" s="41" t="s">
        <v>1935</v>
      </c>
      <c r="AZ142" s="33" t="s">
        <v>1234</v>
      </c>
      <c r="BA142" s="41" t="s">
        <v>1935</v>
      </c>
      <c r="BB142" s="33" t="s">
        <v>1931</v>
      </c>
      <c r="BC142" s="41" t="s">
        <v>757</v>
      </c>
      <c r="BD142" s="33" t="s">
        <v>1932</v>
      </c>
      <c r="BE142" s="41" t="str">
        <f t="shared" si="10"/>
        <v>"Bairro"</v>
      </c>
    </row>
    <row r="143" spans="1:57" ht="7.5" customHeight="1" x14ac:dyDescent="0.25">
      <c r="A143" s="39">
        <v>143</v>
      </c>
      <c r="B143" s="67" t="s">
        <v>927</v>
      </c>
      <c r="C143" s="38" t="s">
        <v>655</v>
      </c>
      <c r="D143" s="18" t="s">
        <v>735</v>
      </c>
      <c r="E143" s="42" t="s">
        <v>745</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1821</v>
      </c>
      <c r="AY143" s="41" t="s">
        <v>1935</v>
      </c>
      <c r="AZ143" s="33" t="s">
        <v>1234</v>
      </c>
      <c r="BA143" s="41" t="s">
        <v>1935</v>
      </c>
      <c r="BB143" s="33" t="s">
        <v>1931</v>
      </c>
      <c r="BC143" s="41" t="s">
        <v>757</v>
      </c>
      <c r="BD143" s="33" t="s">
        <v>1932</v>
      </c>
      <c r="BE143" s="41" t="str">
        <f t="shared" si="10"/>
        <v>"Bairro"</v>
      </c>
    </row>
    <row r="144" spans="1:57" ht="7.5" customHeight="1" x14ac:dyDescent="0.25">
      <c r="A144" s="39">
        <v>144</v>
      </c>
      <c r="B144" s="67" t="s">
        <v>928</v>
      </c>
      <c r="C144" s="38" t="s">
        <v>655</v>
      </c>
      <c r="D144" s="18" t="s">
        <v>735</v>
      </c>
      <c r="E144" s="42" t="s">
        <v>745</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1821</v>
      </c>
      <c r="AY144" s="41" t="s">
        <v>1935</v>
      </c>
      <c r="AZ144" s="33" t="s">
        <v>1234</v>
      </c>
      <c r="BA144" s="41" t="s">
        <v>1935</v>
      </c>
      <c r="BB144" s="33" t="s">
        <v>1931</v>
      </c>
      <c r="BC144" s="41" t="s">
        <v>757</v>
      </c>
      <c r="BD144" s="33" t="s">
        <v>1932</v>
      </c>
      <c r="BE144" s="41" t="str">
        <f t="shared" si="10"/>
        <v>"Bairro"</v>
      </c>
    </row>
    <row r="145" spans="1:57" ht="7.5" customHeight="1" x14ac:dyDescent="0.25">
      <c r="A145" s="39">
        <v>145</v>
      </c>
      <c r="B145" s="67" t="s">
        <v>929</v>
      </c>
      <c r="C145" s="38" t="s">
        <v>655</v>
      </c>
      <c r="D145" s="18" t="s">
        <v>735</v>
      </c>
      <c r="E145" s="42" t="s">
        <v>745</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1821</v>
      </c>
      <c r="AY145" s="41" t="s">
        <v>1935</v>
      </c>
      <c r="AZ145" s="33" t="s">
        <v>1234</v>
      </c>
      <c r="BA145" s="41" t="s">
        <v>1935</v>
      </c>
      <c r="BB145" s="33" t="s">
        <v>1931</v>
      </c>
      <c r="BC145" s="41" t="s">
        <v>757</v>
      </c>
      <c r="BD145" s="33" t="s">
        <v>1932</v>
      </c>
      <c r="BE145" s="41" t="str">
        <f t="shared" si="10"/>
        <v>"Bairro"</v>
      </c>
    </row>
    <row r="146" spans="1:57" ht="7.5" customHeight="1" x14ac:dyDescent="0.25">
      <c r="A146" s="39">
        <v>146</v>
      </c>
      <c r="B146" s="67" t="s">
        <v>930</v>
      </c>
      <c r="C146" s="38" t="s">
        <v>655</v>
      </c>
      <c r="D146" s="18" t="s">
        <v>735</v>
      </c>
      <c r="E146" s="42" t="s">
        <v>745</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1821</v>
      </c>
      <c r="AY146" s="41" t="s">
        <v>1935</v>
      </c>
      <c r="AZ146" s="33" t="s">
        <v>1234</v>
      </c>
      <c r="BA146" s="41" t="s">
        <v>1935</v>
      </c>
      <c r="BB146" s="33" t="s">
        <v>1931</v>
      </c>
      <c r="BC146" s="41" t="s">
        <v>757</v>
      </c>
      <c r="BD146" s="33" t="s">
        <v>1932</v>
      </c>
      <c r="BE146" s="41" t="str">
        <f t="shared" si="10"/>
        <v>"Bairro"</v>
      </c>
    </row>
    <row r="147" spans="1:57" ht="7.5" customHeight="1" x14ac:dyDescent="0.25">
      <c r="A147" s="39">
        <v>147</v>
      </c>
      <c r="B147" s="67" t="s">
        <v>931</v>
      </c>
      <c r="C147" s="38" t="s">
        <v>655</v>
      </c>
      <c r="D147" s="18" t="s">
        <v>735</v>
      </c>
      <c r="E147" s="42" t="s">
        <v>745</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1821</v>
      </c>
      <c r="AY147" s="41" t="s">
        <v>1935</v>
      </c>
      <c r="AZ147" s="33" t="s">
        <v>1234</v>
      </c>
      <c r="BA147" s="41" t="s">
        <v>1935</v>
      </c>
      <c r="BB147" s="33" t="s">
        <v>1931</v>
      </c>
      <c r="BC147" s="41" t="s">
        <v>757</v>
      </c>
      <c r="BD147" s="33" t="s">
        <v>1932</v>
      </c>
      <c r="BE147" s="41" t="str">
        <f t="shared" si="10"/>
        <v>"Bairro"</v>
      </c>
    </row>
    <row r="148" spans="1:57" ht="7.5" customHeight="1" x14ac:dyDescent="0.25">
      <c r="A148" s="39">
        <v>148</v>
      </c>
      <c r="B148" s="67" t="s">
        <v>932</v>
      </c>
      <c r="C148" s="38" t="s">
        <v>655</v>
      </c>
      <c r="D148" s="18" t="s">
        <v>735</v>
      </c>
      <c r="E148" s="42" t="s">
        <v>745</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1821</v>
      </c>
      <c r="AY148" s="41" t="s">
        <v>1935</v>
      </c>
      <c r="AZ148" s="33" t="s">
        <v>1234</v>
      </c>
      <c r="BA148" s="41" t="s">
        <v>1935</v>
      </c>
      <c r="BB148" s="33" t="s">
        <v>1931</v>
      </c>
      <c r="BC148" s="41" t="s">
        <v>757</v>
      </c>
      <c r="BD148" s="33" t="s">
        <v>1932</v>
      </c>
      <c r="BE148" s="41" t="str">
        <f t="shared" si="10"/>
        <v>"Bairro"</v>
      </c>
    </row>
    <row r="149" spans="1:57" ht="7.5" customHeight="1" x14ac:dyDescent="0.25">
      <c r="A149" s="39">
        <v>149</v>
      </c>
      <c r="B149" s="67" t="s">
        <v>933</v>
      </c>
      <c r="C149" s="38" t="s">
        <v>655</v>
      </c>
      <c r="D149" s="18" t="s">
        <v>735</v>
      </c>
      <c r="E149" s="42" t="s">
        <v>745</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1821</v>
      </c>
      <c r="AY149" s="41" t="s">
        <v>1935</v>
      </c>
      <c r="AZ149" s="33" t="s">
        <v>1234</v>
      </c>
      <c r="BA149" s="41" t="s">
        <v>1935</v>
      </c>
      <c r="BB149" s="33" t="s">
        <v>1931</v>
      </c>
      <c r="BC149" s="41" t="s">
        <v>757</v>
      </c>
      <c r="BD149" s="33" t="s">
        <v>1932</v>
      </c>
      <c r="BE149" s="41" t="str">
        <f t="shared" si="10"/>
        <v>"Bairro"</v>
      </c>
    </row>
    <row r="150" spans="1:57" ht="7.5" customHeight="1" x14ac:dyDescent="0.25">
      <c r="A150" s="39">
        <v>150</v>
      </c>
      <c r="B150" s="67" t="s">
        <v>934</v>
      </c>
      <c r="C150" s="38" t="s">
        <v>655</v>
      </c>
      <c r="D150" s="18" t="s">
        <v>735</v>
      </c>
      <c r="E150" s="42" t="s">
        <v>745</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1821</v>
      </c>
      <c r="AY150" s="41" t="s">
        <v>1935</v>
      </c>
      <c r="AZ150" s="33" t="s">
        <v>1234</v>
      </c>
      <c r="BA150" s="41" t="s">
        <v>1935</v>
      </c>
      <c r="BB150" s="33" t="s">
        <v>1931</v>
      </c>
      <c r="BC150" s="41" t="s">
        <v>757</v>
      </c>
      <c r="BD150" s="33" t="s">
        <v>1932</v>
      </c>
      <c r="BE150" s="41" t="str">
        <f t="shared" si="10"/>
        <v>"Bairro"</v>
      </c>
    </row>
    <row r="151" spans="1:57" ht="7.5" customHeight="1" x14ac:dyDescent="0.25">
      <c r="A151" s="39">
        <v>151</v>
      </c>
      <c r="B151" s="67" t="s">
        <v>935</v>
      </c>
      <c r="C151" s="38" t="s">
        <v>655</v>
      </c>
      <c r="D151" s="18" t="s">
        <v>735</v>
      </c>
      <c r="E151" s="42" t="s">
        <v>745</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1821</v>
      </c>
      <c r="AY151" s="41" t="s">
        <v>1935</v>
      </c>
      <c r="AZ151" s="33" t="s">
        <v>1234</v>
      </c>
      <c r="BA151" s="41" t="s">
        <v>1935</v>
      </c>
      <c r="BB151" s="33" t="s">
        <v>1931</v>
      </c>
      <c r="BC151" s="41" t="s">
        <v>757</v>
      </c>
      <c r="BD151" s="33" t="s">
        <v>1932</v>
      </c>
      <c r="BE151" s="41" t="str">
        <f t="shared" si="10"/>
        <v>"Bairro"</v>
      </c>
    </row>
    <row r="152" spans="1:57" ht="7.5" customHeight="1" x14ac:dyDescent="0.25">
      <c r="A152" s="39">
        <v>152</v>
      </c>
      <c r="B152" s="67" t="s">
        <v>936</v>
      </c>
      <c r="C152" s="38" t="s">
        <v>655</v>
      </c>
      <c r="D152" s="18" t="s">
        <v>735</v>
      </c>
      <c r="E152" s="42" t="s">
        <v>745</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1821</v>
      </c>
      <c r="AY152" s="41" t="s">
        <v>1935</v>
      </c>
      <c r="AZ152" s="33" t="s">
        <v>1234</v>
      </c>
      <c r="BA152" s="41" t="s">
        <v>1935</v>
      </c>
      <c r="BB152" s="33" t="s">
        <v>1931</v>
      </c>
      <c r="BC152" s="41" t="s">
        <v>757</v>
      </c>
      <c r="BD152" s="33" t="s">
        <v>1932</v>
      </c>
      <c r="BE152" s="41" t="str">
        <f t="shared" si="10"/>
        <v>"Bairro"</v>
      </c>
    </row>
    <row r="153" spans="1:57" ht="7.5" customHeight="1" x14ac:dyDescent="0.25">
      <c r="A153" s="39">
        <v>153</v>
      </c>
      <c r="B153" s="67" t="s">
        <v>937</v>
      </c>
      <c r="C153" s="38" t="s">
        <v>655</v>
      </c>
      <c r="D153" s="18" t="s">
        <v>735</v>
      </c>
      <c r="E153" s="42" t="s">
        <v>745</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1821</v>
      </c>
      <c r="AY153" s="41" t="s">
        <v>1935</v>
      </c>
      <c r="AZ153" s="33" t="s">
        <v>1234</v>
      </c>
      <c r="BA153" s="41" t="s">
        <v>1935</v>
      </c>
      <c r="BB153" s="33" t="s">
        <v>1931</v>
      </c>
      <c r="BC153" s="41" t="s">
        <v>757</v>
      </c>
      <c r="BD153" s="33" t="s">
        <v>1932</v>
      </c>
      <c r="BE153" s="41" t="str">
        <f t="shared" si="10"/>
        <v>"Bairro"</v>
      </c>
    </row>
    <row r="154" spans="1:57" ht="7.5" customHeight="1" x14ac:dyDescent="0.25">
      <c r="A154" s="39">
        <v>154</v>
      </c>
      <c r="B154" s="67" t="s">
        <v>938</v>
      </c>
      <c r="C154" s="38" t="s">
        <v>655</v>
      </c>
      <c r="D154" s="18" t="s">
        <v>735</v>
      </c>
      <c r="E154" s="42" t="s">
        <v>745</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1821</v>
      </c>
      <c r="AY154" s="41" t="s">
        <v>1935</v>
      </c>
      <c r="AZ154" s="33" t="s">
        <v>1234</v>
      </c>
      <c r="BA154" s="41" t="s">
        <v>1935</v>
      </c>
      <c r="BB154" s="33" t="s">
        <v>1931</v>
      </c>
      <c r="BC154" s="41" t="s">
        <v>757</v>
      </c>
      <c r="BD154" s="33" t="s">
        <v>1932</v>
      </c>
      <c r="BE154" s="41" t="str">
        <f t="shared" si="10"/>
        <v>"Bairro"</v>
      </c>
    </row>
    <row r="155" spans="1:57" ht="7.5" customHeight="1" x14ac:dyDescent="0.25">
      <c r="A155" s="39">
        <v>155</v>
      </c>
      <c r="B155" s="67" t="s">
        <v>939</v>
      </c>
      <c r="C155" s="38" t="s">
        <v>655</v>
      </c>
      <c r="D155" s="18" t="s">
        <v>735</v>
      </c>
      <c r="E155" s="42" t="s">
        <v>745</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1821</v>
      </c>
      <c r="AY155" s="41" t="s">
        <v>1935</v>
      </c>
      <c r="AZ155" s="33" t="s">
        <v>1234</v>
      </c>
      <c r="BA155" s="41" t="s">
        <v>1935</v>
      </c>
      <c r="BB155" s="33" t="s">
        <v>1931</v>
      </c>
      <c r="BC155" s="41" t="s">
        <v>757</v>
      </c>
      <c r="BD155" s="33" t="s">
        <v>1932</v>
      </c>
      <c r="BE155" s="41" t="str">
        <f t="shared" si="10"/>
        <v>"Bairro"</v>
      </c>
    </row>
    <row r="156" spans="1:57" ht="7.5" customHeight="1" x14ac:dyDescent="0.25">
      <c r="A156" s="39">
        <v>156</v>
      </c>
      <c r="B156" s="67" t="s">
        <v>940</v>
      </c>
      <c r="C156" s="38" t="s">
        <v>655</v>
      </c>
      <c r="D156" s="18" t="s">
        <v>735</v>
      </c>
      <c r="E156" s="42" t="s">
        <v>745</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1821</v>
      </c>
      <c r="AY156" s="41" t="s">
        <v>1935</v>
      </c>
      <c r="AZ156" s="33" t="s">
        <v>1234</v>
      </c>
      <c r="BA156" s="41" t="s">
        <v>1935</v>
      </c>
      <c r="BB156" s="33" t="s">
        <v>1931</v>
      </c>
      <c r="BC156" s="41" t="s">
        <v>757</v>
      </c>
      <c r="BD156" s="33" t="s">
        <v>1932</v>
      </c>
      <c r="BE156" s="41" t="str">
        <f t="shared" si="10"/>
        <v>"Bairro"</v>
      </c>
    </row>
    <row r="157" spans="1:57" ht="7.5" customHeight="1" x14ac:dyDescent="0.25">
      <c r="A157" s="39">
        <v>157</v>
      </c>
      <c r="B157" s="67" t="s">
        <v>941</v>
      </c>
      <c r="C157" s="38" t="s">
        <v>655</v>
      </c>
      <c r="D157" s="18" t="s">
        <v>735</v>
      </c>
      <c r="E157" s="42" t="s">
        <v>745</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1821</v>
      </c>
      <c r="AY157" s="41" t="s">
        <v>1935</v>
      </c>
      <c r="AZ157" s="33" t="s">
        <v>1234</v>
      </c>
      <c r="BA157" s="41" t="s">
        <v>1935</v>
      </c>
      <c r="BB157" s="33" t="s">
        <v>1931</v>
      </c>
      <c r="BC157" s="41" t="s">
        <v>757</v>
      </c>
      <c r="BD157" s="33" t="s">
        <v>1932</v>
      </c>
      <c r="BE157" s="41" t="str">
        <f t="shared" si="10"/>
        <v>"Bairro"</v>
      </c>
    </row>
    <row r="158" spans="1:57" ht="7.5" customHeight="1" x14ac:dyDescent="0.25">
      <c r="A158" s="39">
        <v>158</v>
      </c>
      <c r="B158" s="67" t="s">
        <v>942</v>
      </c>
      <c r="C158" s="38" t="s">
        <v>655</v>
      </c>
      <c r="D158" s="18" t="s">
        <v>735</v>
      </c>
      <c r="E158" s="42" t="s">
        <v>745</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1821</v>
      </c>
      <c r="AY158" s="41" t="s">
        <v>1935</v>
      </c>
      <c r="AZ158" s="33" t="s">
        <v>1234</v>
      </c>
      <c r="BA158" s="41" t="s">
        <v>1935</v>
      </c>
      <c r="BB158" s="33" t="s">
        <v>1931</v>
      </c>
      <c r="BC158" s="41" t="s">
        <v>757</v>
      </c>
      <c r="BD158" s="33" t="s">
        <v>1932</v>
      </c>
      <c r="BE158" s="41" t="str">
        <f t="shared" si="10"/>
        <v>"Bairro"</v>
      </c>
    </row>
    <row r="159" spans="1:57" ht="7.5" customHeight="1" x14ac:dyDescent="0.25">
      <c r="A159" s="39">
        <v>159</v>
      </c>
      <c r="B159" s="67" t="s">
        <v>943</v>
      </c>
      <c r="C159" s="38" t="s">
        <v>655</v>
      </c>
      <c r="D159" s="18" t="s">
        <v>735</v>
      </c>
      <c r="E159" s="42" t="s">
        <v>745</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1821</v>
      </c>
      <c r="AY159" s="41" t="s">
        <v>1935</v>
      </c>
      <c r="AZ159" s="33" t="s">
        <v>1234</v>
      </c>
      <c r="BA159" s="41" t="s">
        <v>1935</v>
      </c>
      <c r="BB159" s="33" t="s">
        <v>1931</v>
      </c>
      <c r="BC159" s="41" t="s">
        <v>757</v>
      </c>
      <c r="BD159" s="33" t="s">
        <v>1932</v>
      </c>
      <c r="BE159" s="41" t="str">
        <f t="shared" si="10"/>
        <v>"Bairro"</v>
      </c>
    </row>
    <row r="160" spans="1:57" ht="7.5" customHeight="1" x14ac:dyDescent="0.25">
      <c r="A160" s="39">
        <v>160</v>
      </c>
      <c r="B160" s="67" t="s">
        <v>944</v>
      </c>
      <c r="C160" s="38" t="s">
        <v>655</v>
      </c>
      <c r="D160" s="18" t="s">
        <v>735</v>
      </c>
      <c r="E160" s="42" t="s">
        <v>745</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1821</v>
      </c>
      <c r="AY160" s="41" t="s">
        <v>1935</v>
      </c>
      <c r="AZ160" s="33" t="s">
        <v>1234</v>
      </c>
      <c r="BA160" s="41" t="s">
        <v>1935</v>
      </c>
      <c r="BB160" s="33" t="s">
        <v>1931</v>
      </c>
      <c r="BC160" s="41" t="s">
        <v>757</v>
      </c>
      <c r="BD160" s="33" t="s">
        <v>1932</v>
      </c>
      <c r="BE160" s="41" t="str">
        <f t="shared" si="10"/>
        <v>"Bairro"</v>
      </c>
    </row>
    <row r="161" spans="1:57" ht="7.5" customHeight="1" x14ac:dyDescent="0.25">
      <c r="A161" s="39">
        <v>161</v>
      </c>
      <c r="B161" s="67" t="s">
        <v>945</v>
      </c>
      <c r="C161" s="38" t="s">
        <v>655</v>
      </c>
      <c r="D161" s="18" t="s">
        <v>735</v>
      </c>
      <c r="E161" s="42" t="s">
        <v>745</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1821</v>
      </c>
      <c r="AY161" s="41" t="s">
        <v>1935</v>
      </c>
      <c r="AZ161" s="33" t="s">
        <v>1234</v>
      </c>
      <c r="BA161" s="41" t="s">
        <v>1935</v>
      </c>
      <c r="BB161" s="33" t="s">
        <v>1931</v>
      </c>
      <c r="BC161" s="41" t="s">
        <v>757</v>
      </c>
      <c r="BD161" s="33" t="s">
        <v>1932</v>
      </c>
      <c r="BE161" s="41" t="str">
        <f t="shared" si="10"/>
        <v>"Bairro"</v>
      </c>
    </row>
    <row r="162" spans="1:57" ht="7.5" customHeight="1" x14ac:dyDescent="0.25">
      <c r="A162" s="39">
        <v>162</v>
      </c>
      <c r="B162" s="67" t="s">
        <v>946</v>
      </c>
      <c r="C162" s="38" t="s">
        <v>655</v>
      </c>
      <c r="D162" s="18" t="s">
        <v>735</v>
      </c>
      <c r="E162" s="42" t="s">
        <v>745</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1821</v>
      </c>
      <c r="AY162" s="41" t="s">
        <v>1935</v>
      </c>
      <c r="AZ162" s="33" t="s">
        <v>1234</v>
      </c>
      <c r="BA162" s="41" t="s">
        <v>1935</v>
      </c>
      <c r="BB162" s="33" t="s">
        <v>1931</v>
      </c>
      <c r="BC162" s="41" t="s">
        <v>757</v>
      </c>
      <c r="BD162" s="33" t="s">
        <v>1932</v>
      </c>
      <c r="BE162" s="41" t="str">
        <f t="shared" si="10"/>
        <v>"Bairro"</v>
      </c>
    </row>
    <row r="163" spans="1:57" ht="7.5" customHeight="1" x14ac:dyDescent="0.25">
      <c r="A163" s="39">
        <v>163</v>
      </c>
      <c r="B163" s="67" t="s">
        <v>947</v>
      </c>
      <c r="C163" s="38" t="s">
        <v>655</v>
      </c>
      <c r="D163" s="18" t="s">
        <v>735</v>
      </c>
      <c r="E163" s="42" t="s">
        <v>745</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1821</v>
      </c>
      <c r="AY163" s="41" t="s">
        <v>1935</v>
      </c>
      <c r="AZ163" s="33" t="s">
        <v>1234</v>
      </c>
      <c r="BA163" s="41" t="s">
        <v>1935</v>
      </c>
      <c r="BB163" s="33" t="s">
        <v>1931</v>
      </c>
      <c r="BC163" s="41" t="s">
        <v>757</v>
      </c>
      <c r="BD163" s="33" t="s">
        <v>1932</v>
      </c>
      <c r="BE163" s="41" t="str">
        <f t="shared" si="10"/>
        <v>"Bairro"</v>
      </c>
    </row>
    <row r="164" spans="1:57" ht="7.5" customHeight="1" x14ac:dyDescent="0.25">
      <c r="A164" s="39">
        <v>164</v>
      </c>
      <c r="B164" s="67" t="s">
        <v>948</v>
      </c>
      <c r="C164" s="38" t="s">
        <v>655</v>
      </c>
      <c r="D164" s="18" t="s">
        <v>735</v>
      </c>
      <c r="E164" s="42" t="s">
        <v>745</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1821</v>
      </c>
      <c r="AY164" s="41" t="s">
        <v>1935</v>
      </c>
      <c r="AZ164" s="33" t="s">
        <v>1234</v>
      </c>
      <c r="BA164" s="41" t="s">
        <v>1935</v>
      </c>
      <c r="BB164" s="33" t="s">
        <v>1931</v>
      </c>
      <c r="BC164" s="41" t="s">
        <v>757</v>
      </c>
      <c r="BD164" s="33" t="s">
        <v>1932</v>
      </c>
      <c r="BE164" s="41" t="str">
        <f t="shared" si="10"/>
        <v>"Bairro"</v>
      </c>
    </row>
    <row r="165" spans="1:57" ht="7.5" customHeight="1" x14ac:dyDescent="0.25">
      <c r="A165" s="39">
        <v>165</v>
      </c>
      <c r="B165" s="67" t="s">
        <v>949</v>
      </c>
      <c r="C165" s="38" t="s">
        <v>655</v>
      </c>
      <c r="D165" s="18" t="s">
        <v>735</v>
      </c>
      <c r="E165" s="42" t="s">
        <v>745</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1821</v>
      </c>
      <c r="AY165" s="41" t="s">
        <v>1935</v>
      </c>
      <c r="AZ165" s="33" t="s">
        <v>1234</v>
      </c>
      <c r="BA165" s="41" t="s">
        <v>1935</v>
      </c>
      <c r="BB165" s="33" t="s">
        <v>1931</v>
      </c>
      <c r="BC165" s="41" t="s">
        <v>757</v>
      </c>
      <c r="BD165" s="33" t="s">
        <v>1932</v>
      </c>
      <c r="BE165" s="41" t="str">
        <f t="shared" si="10"/>
        <v>"Bairro"</v>
      </c>
    </row>
    <row r="166" spans="1:57" ht="7.5" customHeight="1" x14ac:dyDescent="0.25">
      <c r="A166" s="39">
        <v>166</v>
      </c>
      <c r="B166" s="67" t="s">
        <v>950</v>
      </c>
      <c r="C166" s="38" t="s">
        <v>655</v>
      </c>
      <c r="D166" s="18" t="s">
        <v>735</v>
      </c>
      <c r="E166" s="42" t="s">
        <v>745</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1821</v>
      </c>
      <c r="AY166" s="41" t="s">
        <v>1935</v>
      </c>
      <c r="AZ166" s="33" t="s">
        <v>1234</v>
      </c>
      <c r="BA166" s="41" t="s">
        <v>1935</v>
      </c>
      <c r="BB166" s="33" t="s">
        <v>1931</v>
      </c>
      <c r="BC166" s="41" t="s">
        <v>757</v>
      </c>
      <c r="BD166" s="33" t="s">
        <v>1932</v>
      </c>
      <c r="BE166" s="41" t="str">
        <f t="shared" si="10"/>
        <v>"Bairro"</v>
      </c>
    </row>
    <row r="167" spans="1:57" ht="7.5" customHeight="1" x14ac:dyDescent="0.25">
      <c r="A167" s="39">
        <v>167</v>
      </c>
      <c r="B167" s="67" t="s">
        <v>951</v>
      </c>
      <c r="C167" s="38" t="s">
        <v>655</v>
      </c>
      <c r="D167" s="18" t="s">
        <v>735</v>
      </c>
      <c r="E167" s="42" t="s">
        <v>745</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1821</v>
      </c>
      <c r="AY167" s="41" t="s">
        <v>1935</v>
      </c>
      <c r="AZ167" s="33" t="s">
        <v>1234</v>
      </c>
      <c r="BA167" s="41" t="s">
        <v>1935</v>
      </c>
      <c r="BB167" s="33" t="s">
        <v>1931</v>
      </c>
      <c r="BC167" s="41" t="s">
        <v>757</v>
      </c>
      <c r="BD167" s="33" t="s">
        <v>1932</v>
      </c>
      <c r="BE167" s="41" t="str">
        <f t="shared" si="10"/>
        <v>"Bairro"</v>
      </c>
    </row>
    <row r="168" spans="1:57" ht="7.5" customHeight="1" x14ac:dyDescent="0.25">
      <c r="A168" s="39">
        <v>168</v>
      </c>
      <c r="B168" s="67" t="s">
        <v>952</v>
      </c>
      <c r="C168" s="38" t="s">
        <v>655</v>
      </c>
      <c r="D168" s="18" t="s">
        <v>735</v>
      </c>
      <c r="E168" s="42" t="s">
        <v>745</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1821</v>
      </c>
      <c r="AY168" s="41" t="s">
        <v>1935</v>
      </c>
      <c r="AZ168" s="33" t="s">
        <v>1234</v>
      </c>
      <c r="BA168" s="41" t="s">
        <v>1935</v>
      </c>
      <c r="BB168" s="33" t="s">
        <v>1931</v>
      </c>
      <c r="BC168" s="41" t="s">
        <v>757</v>
      </c>
      <c r="BD168" s="33" t="s">
        <v>1932</v>
      </c>
      <c r="BE168" s="41" t="str">
        <f t="shared" si="10"/>
        <v>"Bairro"</v>
      </c>
    </row>
    <row r="169" spans="1:57" ht="7.5" customHeight="1" x14ac:dyDescent="0.25">
      <c r="A169" s="39">
        <v>169</v>
      </c>
      <c r="B169" s="67" t="s">
        <v>953</v>
      </c>
      <c r="C169" s="38" t="s">
        <v>655</v>
      </c>
      <c r="D169" s="18" t="s">
        <v>735</v>
      </c>
      <c r="E169" s="42" t="s">
        <v>745</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1821</v>
      </c>
      <c r="AY169" s="41" t="s">
        <v>1935</v>
      </c>
      <c r="AZ169" s="33" t="s">
        <v>1234</v>
      </c>
      <c r="BA169" s="41" t="s">
        <v>1935</v>
      </c>
      <c r="BB169" s="33" t="s">
        <v>1931</v>
      </c>
      <c r="BC169" s="41" t="s">
        <v>757</v>
      </c>
      <c r="BD169" s="33" t="s">
        <v>1932</v>
      </c>
      <c r="BE169" s="41" t="str">
        <f t="shared" si="10"/>
        <v>"Bairro"</v>
      </c>
    </row>
    <row r="170" spans="1:57" ht="7.5" customHeight="1" x14ac:dyDescent="0.25">
      <c r="A170" s="39">
        <v>170</v>
      </c>
      <c r="B170" s="67" t="s">
        <v>954</v>
      </c>
      <c r="C170" s="38" t="s">
        <v>655</v>
      </c>
      <c r="D170" s="18" t="s">
        <v>735</v>
      </c>
      <c r="E170" s="42" t="s">
        <v>745</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1821</v>
      </c>
      <c r="AY170" s="41" t="s">
        <v>1935</v>
      </c>
      <c r="AZ170" s="33" t="s">
        <v>1234</v>
      </c>
      <c r="BA170" s="41" t="s">
        <v>1935</v>
      </c>
      <c r="BB170" s="33" t="s">
        <v>1931</v>
      </c>
      <c r="BC170" s="41" t="s">
        <v>757</v>
      </c>
      <c r="BD170" s="33" t="s">
        <v>1932</v>
      </c>
      <c r="BE170" s="41" t="str">
        <f t="shared" si="10"/>
        <v>"Bairro"</v>
      </c>
    </row>
    <row r="171" spans="1:57" ht="7.5" customHeight="1" x14ac:dyDescent="0.25">
      <c r="A171" s="39">
        <v>171</v>
      </c>
      <c r="B171" s="67" t="s">
        <v>955</v>
      </c>
      <c r="C171" s="38" t="s">
        <v>655</v>
      </c>
      <c r="D171" s="18" t="s">
        <v>735</v>
      </c>
      <c r="E171" s="42" t="s">
        <v>745</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1821</v>
      </c>
      <c r="AY171" s="41" t="s">
        <v>1935</v>
      </c>
      <c r="AZ171" s="33" t="s">
        <v>1234</v>
      </c>
      <c r="BA171" s="41" t="s">
        <v>1935</v>
      </c>
      <c r="BB171" s="33" t="s">
        <v>1931</v>
      </c>
      <c r="BC171" s="41" t="s">
        <v>757</v>
      </c>
      <c r="BD171" s="33" t="s">
        <v>1932</v>
      </c>
      <c r="BE171" s="41" t="str">
        <f t="shared" si="10"/>
        <v>"Bairro"</v>
      </c>
    </row>
    <row r="172" spans="1:57" ht="7.5" customHeight="1" x14ac:dyDescent="0.25">
      <c r="A172" s="39">
        <v>172</v>
      </c>
      <c r="B172" s="67" t="s">
        <v>956</v>
      </c>
      <c r="C172" s="38" t="s">
        <v>655</v>
      </c>
      <c r="D172" s="18" t="s">
        <v>735</v>
      </c>
      <c r="E172" s="42" t="s">
        <v>745</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1821</v>
      </c>
      <c r="AY172" s="41" t="s">
        <v>1935</v>
      </c>
      <c r="AZ172" s="33" t="s">
        <v>1234</v>
      </c>
      <c r="BA172" s="41" t="s">
        <v>1935</v>
      </c>
      <c r="BB172" s="33" t="s">
        <v>1931</v>
      </c>
      <c r="BC172" s="41" t="s">
        <v>757</v>
      </c>
      <c r="BD172" s="33" t="s">
        <v>1932</v>
      </c>
      <c r="BE172" s="41" t="str">
        <f t="shared" si="10"/>
        <v>"Bairro"</v>
      </c>
    </row>
    <row r="173" spans="1:57" ht="7.5" customHeight="1" x14ac:dyDescent="0.25">
      <c r="A173" s="39">
        <v>173</v>
      </c>
      <c r="B173" s="67" t="s">
        <v>957</v>
      </c>
      <c r="C173" s="38" t="s">
        <v>655</v>
      </c>
      <c r="D173" s="18" t="s">
        <v>735</v>
      </c>
      <c r="E173" s="42" t="s">
        <v>745</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1821</v>
      </c>
      <c r="AY173" s="41" t="s">
        <v>1935</v>
      </c>
      <c r="AZ173" s="33" t="s">
        <v>1234</v>
      </c>
      <c r="BA173" s="41" t="s">
        <v>1935</v>
      </c>
      <c r="BB173" s="33" t="s">
        <v>1931</v>
      </c>
      <c r="BC173" s="41" t="s">
        <v>757</v>
      </c>
      <c r="BD173" s="33" t="s">
        <v>1932</v>
      </c>
      <c r="BE173" s="41" t="str">
        <f t="shared" si="10"/>
        <v>"Bairro"</v>
      </c>
    </row>
    <row r="174" spans="1:57" ht="7.5" customHeight="1" x14ac:dyDescent="0.25">
      <c r="A174" s="39">
        <v>174</v>
      </c>
      <c r="B174" s="67" t="s">
        <v>958</v>
      </c>
      <c r="C174" s="38" t="s">
        <v>655</v>
      </c>
      <c r="D174" s="18" t="s">
        <v>735</v>
      </c>
      <c r="E174" s="42" t="s">
        <v>745</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1821</v>
      </c>
      <c r="AY174" s="41" t="s">
        <v>1935</v>
      </c>
      <c r="AZ174" s="33" t="s">
        <v>1234</v>
      </c>
      <c r="BA174" s="41" t="s">
        <v>1935</v>
      </c>
      <c r="BB174" s="33" t="s">
        <v>1931</v>
      </c>
      <c r="BC174" s="41" t="s">
        <v>757</v>
      </c>
      <c r="BD174" s="33" t="s">
        <v>1932</v>
      </c>
      <c r="BE174" s="41" t="str">
        <f t="shared" si="10"/>
        <v>"Bairro"</v>
      </c>
    </row>
    <row r="175" spans="1:57" ht="7.5" customHeight="1" x14ac:dyDescent="0.25">
      <c r="A175" s="39">
        <v>175</v>
      </c>
      <c r="B175" s="67" t="s">
        <v>959</v>
      </c>
      <c r="C175" s="38" t="s">
        <v>655</v>
      </c>
      <c r="D175" s="18" t="s">
        <v>735</v>
      </c>
      <c r="E175" s="42" t="s">
        <v>745</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1821</v>
      </c>
      <c r="AY175" s="41" t="s">
        <v>1935</v>
      </c>
      <c r="AZ175" s="33" t="s">
        <v>1234</v>
      </c>
      <c r="BA175" s="41" t="s">
        <v>1935</v>
      </c>
      <c r="BB175" s="33" t="s">
        <v>1931</v>
      </c>
      <c r="BC175" s="41" t="s">
        <v>757</v>
      </c>
      <c r="BD175" s="33" t="s">
        <v>1932</v>
      </c>
      <c r="BE175" s="41" t="str">
        <f t="shared" si="10"/>
        <v>"Bairro"</v>
      </c>
    </row>
    <row r="176" spans="1:57" ht="7.5" customHeight="1" x14ac:dyDescent="0.25">
      <c r="A176" s="39">
        <v>176</v>
      </c>
      <c r="B176" s="67" t="s">
        <v>960</v>
      </c>
      <c r="C176" s="38" t="s">
        <v>655</v>
      </c>
      <c r="D176" s="18" t="s">
        <v>735</v>
      </c>
      <c r="E176" s="42" t="s">
        <v>745</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1821</v>
      </c>
      <c r="AY176" s="41" t="s">
        <v>1935</v>
      </c>
      <c r="AZ176" s="33" t="s">
        <v>1234</v>
      </c>
      <c r="BA176" s="41" t="s">
        <v>1935</v>
      </c>
      <c r="BB176" s="33" t="s">
        <v>1931</v>
      </c>
      <c r="BC176" s="41" t="s">
        <v>757</v>
      </c>
      <c r="BD176" s="33" t="s">
        <v>1932</v>
      </c>
      <c r="BE176" s="41" t="str">
        <f t="shared" si="10"/>
        <v>"Bairro"</v>
      </c>
    </row>
    <row r="177" spans="1:57" ht="7.5" customHeight="1" x14ac:dyDescent="0.25">
      <c r="A177" s="39">
        <v>177</v>
      </c>
      <c r="B177" s="67" t="s">
        <v>961</v>
      </c>
      <c r="C177" s="38" t="s">
        <v>655</v>
      </c>
      <c r="D177" s="18" t="s">
        <v>735</v>
      </c>
      <c r="E177" s="42" t="s">
        <v>745</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1821</v>
      </c>
      <c r="AY177" s="41" t="s">
        <v>1935</v>
      </c>
      <c r="AZ177" s="33" t="s">
        <v>1234</v>
      </c>
      <c r="BA177" s="41" t="s">
        <v>1935</v>
      </c>
      <c r="BB177" s="33" t="s">
        <v>1931</v>
      </c>
      <c r="BC177" s="41" t="s">
        <v>757</v>
      </c>
      <c r="BD177" s="33" t="s">
        <v>1932</v>
      </c>
      <c r="BE177" s="41" t="str">
        <f t="shared" si="10"/>
        <v>"Bairro"</v>
      </c>
    </row>
    <row r="178" spans="1:57" ht="7.5" customHeight="1" x14ac:dyDescent="0.25">
      <c r="A178" s="39">
        <v>178</v>
      </c>
      <c r="B178" s="67" t="s">
        <v>962</v>
      </c>
      <c r="C178" s="38" t="s">
        <v>655</v>
      </c>
      <c r="D178" s="18" t="s">
        <v>735</v>
      </c>
      <c r="E178" s="42" t="s">
        <v>745</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1821</v>
      </c>
      <c r="AY178" s="41" t="s">
        <v>1935</v>
      </c>
      <c r="AZ178" s="33" t="s">
        <v>1234</v>
      </c>
      <c r="BA178" s="41" t="s">
        <v>1935</v>
      </c>
      <c r="BB178" s="33" t="s">
        <v>1931</v>
      </c>
      <c r="BC178" s="41" t="s">
        <v>757</v>
      </c>
      <c r="BD178" s="33" t="s">
        <v>1932</v>
      </c>
      <c r="BE178" s="41" t="str">
        <f t="shared" si="10"/>
        <v>"Bairro"</v>
      </c>
    </row>
    <row r="179" spans="1:57" ht="7.5" customHeight="1" x14ac:dyDescent="0.25">
      <c r="A179" s="39">
        <v>179</v>
      </c>
      <c r="B179" s="67" t="s">
        <v>963</v>
      </c>
      <c r="C179" s="38" t="s">
        <v>655</v>
      </c>
      <c r="D179" s="18" t="s">
        <v>735</v>
      </c>
      <c r="E179" s="42" t="s">
        <v>745</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1821</v>
      </c>
      <c r="AY179" s="41" t="s">
        <v>1935</v>
      </c>
      <c r="AZ179" s="33" t="s">
        <v>1234</v>
      </c>
      <c r="BA179" s="41" t="s">
        <v>1935</v>
      </c>
      <c r="BB179" s="33" t="s">
        <v>1931</v>
      </c>
      <c r="BC179" s="41" t="s">
        <v>757</v>
      </c>
      <c r="BD179" s="33" t="s">
        <v>1932</v>
      </c>
      <c r="BE179" s="41" t="str">
        <f t="shared" ref="BE179:BE242" si="12">_xlfn.CONCAT("""",C179,"""")</f>
        <v>"Bairro"</v>
      </c>
    </row>
    <row r="180" spans="1:57" ht="7.5" customHeight="1" x14ac:dyDescent="0.25">
      <c r="A180" s="39">
        <v>180</v>
      </c>
      <c r="B180" s="67" t="s">
        <v>964</v>
      </c>
      <c r="C180" s="38" t="s">
        <v>655</v>
      </c>
      <c r="D180" s="18" t="s">
        <v>735</v>
      </c>
      <c r="E180" s="42" t="s">
        <v>745</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1821</v>
      </c>
      <c r="AY180" s="41" t="s">
        <v>1935</v>
      </c>
      <c r="AZ180" s="33" t="s">
        <v>1234</v>
      </c>
      <c r="BA180" s="41" t="s">
        <v>1935</v>
      </c>
      <c r="BB180" s="33" t="s">
        <v>1931</v>
      </c>
      <c r="BC180" s="41" t="s">
        <v>757</v>
      </c>
      <c r="BD180" s="33" t="s">
        <v>1932</v>
      </c>
      <c r="BE180" s="41" t="str">
        <f t="shared" si="12"/>
        <v>"Bairro"</v>
      </c>
    </row>
    <row r="181" spans="1:57" ht="7.5" customHeight="1" x14ac:dyDescent="0.25">
      <c r="A181" s="39">
        <v>181</v>
      </c>
      <c r="B181" s="67" t="s">
        <v>965</v>
      </c>
      <c r="C181" s="38" t="s">
        <v>655</v>
      </c>
      <c r="D181" s="18" t="s">
        <v>735</v>
      </c>
      <c r="E181" s="42" t="s">
        <v>745</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1821</v>
      </c>
      <c r="AY181" s="41" t="s">
        <v>1935</v>
      </c>
      <c r="AZ181" s="33" t="s">
        <v>1234</v>
      </c>
      <c r="BA181" s="41" t="s">
        <v>1935</v>
      </c>
      <c r="BB181" s="33" t="s">
        <v>1931</v>
      </c>
      <c r="BC181" s="41" t="s">
        <v>757</v>
      </c>
      <c r="BD181" s="33" t="s">
        <v>1932</v>
      </c>
      <c r="BE181" s="41" t="str">
        <f t="shared" si="12"/>
        <v>"Bairro"</v>
      </c>
    </row>
    <row r="182" spans="1:57" ht="7.5" customHeight="1" x14ac:dyDescent="0.25">
      <c r="A182" s="39">
        <v>182</v>
      </c>
      <c r="B182" s="67" t="s">
        <v>966</v>
      </c>
      <c r="C182" s="38" t="s">
        <v>655</v>
      </c>
      <c r="D182" s="18" t="s">
        <v>735</v>
      </c>
      <c r="E182" s="42" t="s">
        <v>745</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1821</v>
      </c>
      <c r="AY182" s="41" t="s">
        <v>1935</v>
      </c>
      <c r="AZ182" s="33" t="s">
        <v>1234</v>
      </c>
      <c r="BA182" s="41" t="s">
        <v>1935</v>
      </c>
      <c r="BB182" s="33" t="s">
        <v>1931</v>
      </c>
      <c r="BC182" s="41" t="s">
        <v>757</v>
      </c>
      <c r="BD182" s="33" t="s">
        <v>1932</v>
      </c>
      <c r="BE182" s="41" t="str">
        <f t="shared" si="12"/>
        <v>"Bairro"</v>
      </c>
    </row>
    <row r="183" spans="1:57" ht="7.5" customHeight="1" x14ac:dyDescent="0.25">
      <c r="A183" s="39">
        <v>183</v>
      </c>
      <c r="B183" s="67" t="s">
        <v>967</v>
      </c>
      <c r="C183" s="38" t="s">
        <v>655</v>
      </c>
      <c r="D183" s="18" t="s">
        <v>735</v>
      </c>
      <c r="E183" s="42" t="s">
        <v>745</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1821</v>
      </c>
      <c r="AY183" s="41" t="s">
        <v>1935</v>
      </c>
      <c r="AZ183" s="33" t="s">
        <v>1234</v>
      </c>
      <c r="BA183" s="41" t="s">
        <v>1935</v>
      </c>
      <c r="BB183" s="33" t="s">
        <v>1931</v>
      </c>
      <c r="BC183" s="41" t="s">
        <v>757</v>
      </c>
      <c r="BD183" s="33" t="s">
        <v>1932</v>
      </c>
      <c r="BE183" s="41" t="str">
        <f t="shared" si="12"/>
        <v>"Bairro"</v>
      </c>
    </row>
    <row r="184" spans="1:57" ht="7.5" customHeight="1" x14ac:dyDescent="0.25">
      <c r="A184" s="39">
        <v>184</v>
      </c>
      <c r="B184" s="67" t="s">
        <v>968</v>
      </c>
      <c r="C184" s="38" t="s">
        <v>655</v>
      </c>
      <c r="D184" s="18" t="s">
        <v>735</v>
      </c>
      <c r="E184" s="42" t="s">
        <v>745</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1821</v>
      </c>
      <c r="AY184" s="41" t="s">
        <v>1935</v>
      </c>
      <c r="AZ184" s="33" t="s">
        <v>1234</v>
      </c>
      <c r="BA184" s="41" t="s">
        <v>1935</v>
      </c>
      <c r="BB184" s="33" t="s">
        <v>1931</v>
      </c>
      <c r="BC184" s="41" t="s">
        <v>757</v>
      </c>
      <c r="BD184" s="33" t="s">
        <v>1932</v>
      </c>
      <c r="BE184" s="41" t="str">
        <f t="shared" si="12"/>
        <v>"Bairro"</v>
      </c>
    </row>
    <row r="185" spans="1:57" ht="7.5" customHeight="1" x14ac:dyDescent="0.25">
      <c r="A185" s="39">
        <v>185</v>
      </c>
      <c r="B185" s="67" t="s">
        <v>969</v>
      </c>
      <c r="C185" s="38" t="s">
        <v>655</v>
      </c>
      <c r="D185" s="18" t="s">
        <v>735</v>
      </c>
      <c r="E185" s="42" t="s">
        <v>745</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1821</v>
      </c>
      <c r="AY185" s="41" t="s">
        <v>1935</v>
      </c>
      <c r="AZ185" s="33" t="s">
        <v>1234</v>
      </c>
      <c r="BA185" s="41" t="s">
        <v>1935</v>
      </c>
      <c r="BB185" s="33" t="s">
        <v>1931</v>
      </c>
      <c r="BC185" s="41" t="s">
        <v>757</v>
      </c>
      <c r="BD185" s="33" t="s">
        <v>1932</v>
      </c>
      <c r="BE185" s="41" t="str">
        <f t="shared" si="12"/>
        <v>"Bairro"</v>
      </c>
    </row>
    <row r="186" spans="1:57" ht="7.5" customHeight="1" x14ac:dyDescent="0.25">
      <c r="A186" s="39">
        <v>186</v>
      </c>
      <c r="B186" s="67" t="s">
        <v>970</v>
      </c>
      <c r="C186" s="38" t="s">
        <v>655</v>
      </c>
      <c r="D186" s="18" t="s">
        <v>735</v>
      </c>
      <c r="E186" s="42" t="s">
        <v>745</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1821</v>
      </c>
      <c r="AY186" s="41" t="s">
        <v>1935</v>
      </c>
      <c r="AZ186" s="33" t="s">
        <v>1234</v>
      </c>
      <c r="BA186" s="41" t="s">
        <v>1935</v>
      </c>
      <c r="BB186" s="33" t="s">
        <v>1931</v>
      </c>
      <c r="BC186" s="41" t="s">
        <v>757</v>
      </c>
      <c r="BD186" s="33" t="s">
        <v>1932</v>
      </c>
      <c r="BE186" s="41" t="str">
        <f t="shared" si="12"/>
        <v>"Bairro"</v>
      </c>
    </row>
    <row r="187" spans="1:57" ht="7.5" customHeight="1" x14ac:dyDescent="0.25">
      <c r="A187" s="39">
        <v>187</v>
      </c>
      <c r="B187" s="67" t="s">
        <v>971</v>
      </c>
      <c r="C187" s="38" t="s">
        <v>655</v>
      </c>
      <c r="D187" s="18" t="s">
        <v>735</v>
      </c>
      <c r="E187" s="42" t="s">
        <v>745</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1821</v>
      </c>
      <c r="AY187" s="41" t="s">
        <v>1935</v>
      </c>
      <c r="AZ187" s="33" t="s">
        <v>1234</v>
      </c>
      <c r="BA187" s="41" t="s">
        <v>1935</v>
      </c>
      <c r="BB187" s="33" t="s">
        <v>1931</v>
      </c>
      <c r="BC187" s="41" t="s">
        <v>757</v>
      </c>
      <c r="BD187" s="33" t="s">
        <v>1932</v>
      </c>
      <c r="BE187" s="41" t="str">
        <f t="shared" si="12"/>
        <v>"Bairro"</v>
      </c>
    </row>
    <row r="188" spans="1:57" ht="7.5" customHeight="1" x14ac:dyDescent="0.25">
      <c r="A188" s="39">
        <v>188</v>
      </c>
      <c r="B188" s="67" t="s">
        <v>972</v>
      </c>
      <c r="C188" s="38" t="s">
        <v>655</v>
      </c>
      <c r="D188" s="18" t="s">
        <v>735</v>
      </c>
      <c r="E188" s="42" t="s">
        <v>745</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1821</v>
      </c>
      <c r="AY188" s="41" t="s">
        <v>1935</v>
      </c>
      <c r="AZ188" s="33" t="s">
        <v>1234</v>
      </c>
      <c r="BA188" s="41" t="s">
        <v>1935</v>
      </c>
      <c r="BB188" s="33" t="s">
        <v>1931</v>
      </c>
      <c r="BC188" s="41" t="s">
        <v>757</v>
      </c>
      <c r="BD188" s="33" t="s">
        <v>1932</v>
      </c>
      <c r="BE188" s="41" t="str">
        <f t="shared" si="12"/>
        <v>"Bairro"</v>
      </c>
    </row>
    <row r="189" spans="1:57" ht="7.5" customHeight="1" x14ac:dyDescent="0.25">
      <c r="A189" s="39">
        <v>189</v>
      </c>
      <c r="B189" s="67" t="s">
        <v>973</v>
      </c>
      <c r="C189" s="38" t="s">
        <v>655</v>
      </c>
      <c r="D189" s="18" t="s">
        <v>735</v>
      </c>
      <c r="E189" s="42" t="s">
        <v>745</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1821</v>
      </c>
      <c r="AY189" s="41" t="s">
        <v>1935</v>
      </c>
      <c r="AZ189" s="33" t="s">
        <v>1234</v>
      </c>
      <c r="BA189" s="41" t="s">
        <v>1935</v>
      </c>
      <c r="BB189" s="33" t="s">
        <v>1931</v>
      </c>
      <c r="BC189" s="41" t="s">
        <v>757</v>
      </c>
      <c r="BD189" s="33" t="s">
        <v>1932</v>
      </c>
      <c r="BE189" s="41" t="str">
        <f t="shared" si="12"/>
        <v>"Bairro"</v>
      </c>
    </row>
    <row r="190" spans="1:57" ht="7.5" customHeight="1" x14ac:dyDescent="0.25">
      <c r="A190" s="39">
        <v>190</v>
      </c>
      <c r="B190" s="67" t="s">
        <v>974</v>
      </c>
      <c r="C190" s="38" t="s">
        <v>655</v>
      </c>
      <c r="D190" s="18" t="s">
        <v>735</v>
      </c>
      <c r="E190" s="42" t="s">
        <v>745</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1821</v>
      </c>
      <c r="AY190" s="41" t="s">
        <v>1935</v>
      </c>
      <c r="AZ190" s="33" t="s">
        <v>1234</v>
      </c>
      <c r="BA190" s="41" t="s">
        <v>1935</v>
      </c>
      <c r="BB190" s="33" t="s">
        <v>1931</v>
      </c>
      <c r="BC190" s="41" t="s">
        <v>757</v>
      </c>
      <c r="BD190" s="33" t="s">
        <v>1932</v>
      </c>
      <c r="BE190" s="41" t="str">
        <f t="shared" si="12"/>
        <v>"Bairro"</v>
      </c>
    </row>
    <row r="191" spans="1:57" ht="7.5" customHeight="1" x14ac:dyDescent="0.25">
      <c r="A191" s="39">
        <v>191</v>
      </c>
      <c r="B191" s="67" t="s">
        <v>975</v>
      </c>
      <c r="C191" s="38" t="s">
        <v>655</v>
      </c>
      <c r="D191" s="18" t="s">
        <v>735</v>
      </c>
      <c r="E191" s="42" t="s">
        <v>745</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1821</v>
      </c>
      <c r="AY191" s="41" t="s">
        <v>1935</v>
      </c>
      <c r="AZ191" s="33" t="s">
        <v>1234</v>
      </c>
      <c r="BA191" s="41" t="s">
        <v>1935</v>
      </c>
      <c r="BB191" s="33" t="s">
        <v>1931</v>
      </c>
      <c r="BC191" s="41" t="s">
        <v>757</v>
      </c>
      <c r="BD191" s="33" t="s">
        <v>1932</v>
      </c>
      <c r="BE191" s="41" t="str">
        <f t="shared" si="12"/>
        <v>"Bairro"</v>
      </c>
    </row>
    <row r="192" spans="1:57" ht="7.5" customHeight="1" x14ac:dyDescent="0.25">
      <c r="A192" s="39">
        <v>192</v>
      </c>
      <c r="B192" s="67" t="s">
        <v>976</v>
      </c>
      <c r="C192" s="38" t="s">
        <v>655</v>
      </c>
      <c r="D192" s="18" t="s">
        <v>735</v>
      </c>
      <c r="E192" s="42" t="s">
        <v>745</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1821</v>
      </c>
      <c r="AY192" s="41" t="s">
        <v>1935</v>
      </c>
      <c r="AZ192" s="33" t="s">
        <v>1234</v>
      </c>
      <c r="BA192" s="41" t="s">
        <v>1935</v>
      </c>
      <c r="BB192" s="33" t="s">
        <v>1931</v>
      </c>
      <c r="BC192" s="41" t="s">
        <v>757</v>
      </c>
      <c r="BD192" s="33" t="s">
        <v>1932</v>
      </c>
      <c r="BE192" s="41" t="str">
        <f t="shared" si="12"/>
        <v>"Bairro"</v>
      </c>
    </row>
    <row r="193" spans="1:57" ht="7.5" customHeight="1" x14ac:dyDescent="0.25">
      <c r="A193" s="39">
        <v>193</v>
      </c>
      <c r="B193" s="67" t="s">
        <v>977</v>
      </c>
      <c r="C193" s="38" t="s">
        <v>655</v>
      </c>
      <c r="D193" s="18" t="s">
        <v>735</v>
      </c>
      <c r="E193" s="42" t="s">
        <v>745</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1821</v>
      </c>
      <c r="AY193" s="41" t="s">
        <v>1935</v>
      </c>
      <c r="AZ193" s="33" t="s">
        <v>1234</v>
      </c>
      <c r="BA193" s="41" t="s">
        <v>1935</v>
      </c>
      <c r="BB193" s="33" t="s">
        <v>1931</v>
      </c>
      <c r="BC193" s="41" t="s">
        <v>757</v>
      </c>
      <c r="BD193" s="33" t="s">
        <v>1932</v>
      </c>
      <c r="BE193" s="41" t="str">
        <f t="shared" si="12"/>
        <v>"Bairro"</v>
      </c>
    </row>
    <row r="194" spans="1:57" ht="7.5" customHeight="1" x14ac:dyDescent="0.25">
      <c r="A194" s="39">
        <v>194</v>
      </c>
      <c r="B194" s="67" t="s">
        <v>978</v>
      </c>
      <c r="C194" s="38" t="s">
        <v>655</v>
      </c>
      <c r="D194" s="18" t="s">
        <v>735</v>
      </c>
      <c r="E194" s="42" t="s">
        <v>745</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1821</v>
      </c>
      <c r="AY194" s="41" t="s">
        <v>1935</v>
      </c>
      <c r="AZ194" s="33" t="s">
        <v>1234</v>
      </c>
      <c r="BA194" s="41" t="s">
        <v>1935</v>
      </c>
      <c r="BB194" s="33" t="s">
        <v>1931</v>
      </c>
      <c r="BC194" s="41" t="s">
        <v>757</v>
      </c>
      <c r="BD194" s="33" t="s">
        <v>1932</v>
      </c>
      <c r="BE194" s="41" t="str">
        <f t="shared" si="12"/>
        <v>"Bairro"</v>
      </c>
    </row>
    <row r="195" spans="1:57" ht="7.5" customHeight="1" x14ac:dyDescent="0.25">
      <c r="A195" s="39">
        <v>195</v>
      </c>
      <c r="B195" s="67" t="s">
        <v>979</v>
      </c>
      <c r="C195" s="38" t="s">
        <v>655</v>
      </c>
      <c r="D195" s="18" t="s">
        <v>735</v>
      </c>
      <c r="E195" s="42" t="s">
        <v>745</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1821</v>
      </c>
      <c r="AY195" s="41" t="s">
        <v>1935</v>
      </c>
      <c r="AZ195" s="33" t="s">
        <v>1234</v>
      </c>
      <c r="BA195" s="41" t="s">
        <v>1935</v>
      </c>
      <c r="BB195" s="33" t="s">
        <v>1931</v>
      </c>
      <c r="BC195" s="41" t="s">
        <v>757</v>
      </c>
      <c r="BD195" s="33" t="s">
        <v>1932</v>
      </c>
      <c r="BE195" s="41" t="str">
        <f t="shared" si="12"/>
        <v>"Bairro"</v>
      </c>
    </row>
    <row r="196" spans="1:57" ht="7.5" customHeight="1" x14ac:dyDescent="0.25">
      <c r="A196" s="39">
        <v>196</v>
      </c>
      <c r="B196" s="67" t="s">
        <v>980</v>
      </c>
      <c r="C196" s="38" t="s">
        <v>655</v>
      </c>
      <c r="D196" s="18" t="s">
        <v>735</v>
      </c>
      <c r="E196" s="42" t="s">
        <v>745</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1821</v>
      </c>
      <c r="AY196" s="41" t="s">
        <v>1935</v>
      </c>
      <c r="AZ196" s="33" t="s">
        <v>1234</v>
      </c>
      <c r="BA196" s="41" t="s">
        <v>1935</v>
      </c>
      <c r="BB196" s="33" t="s">
        <v>1931</v>
      </c>
      <c r="BC196" s="41" t="s">
        <v>757</v>
      </c>
      <c r="BD196" s="33" t="s">
        <v>1932</v>
      </c>
      <c r="BE196" s="41" t="str">
        <f t="shared" si="12"/>
        <v>"Bairro"</v>
      </c>
    </row>
    <row r="197" spans="1:57" ht="7.5" customHeight="1" x14ac:dyDescent="0.25">
      <c r="A197" s="39">
        <v>197</v>
      </c>
      <c r="B197" s="67" t="s">
        <v>981</v>
      </c>
      <c r="C197" s="38" t="s">
        <v>655</v>
      </c>
      <c r="D197" s="18" t="s">
        <v>735</v>
      </c>
      <c r="E197" s="42" t="s">
        <v>745</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1821</v>
      </c>
      <c r="AY197" s="41" t="s">
        <v>1935</v>
      </c>
      <c r="AZ197" s="33" t="s">
        <v>1234</v>
      </c>
      <c r="BA197" s="41" t="s">
        <v>1935</v>
      </c>
      <c r="BB197" s="33" t="s">
        <v>1931</v>
      </c>
      <c r="BC197" s="41" t="s">
        <v>757</v>
      </c>
      <c r="BD197" s="33" t="s">
        <v>1932</v>
      </c>
      <c r="BE197" s="41" t="str">
        <f t="shared" si="12"/>
        <v>"Bairro"</v>
      </c>
    </row>
    <row r="198" spans="1:57" ht="7.5" customHeight="1" x14ac:dyDescent="0.25">
      <c r="A198" s="39">
        <v>198</v>
      </c>
      <c r="B198" s="67" t="s">
        <v>982</v>
      </c>
      <c r="C198" s="38" t="s">
        <v>655</v>
      </c>
      <c r="D198" s="18" t="s">
        <v>735</v>
      </c>
      <c r="E198" s="42" t="s">
        <v>745</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1821</v>
      </c>
      <c r="AY198" s="41" t="s">
        <v>1935</v>
      </c>
      <c r="AZ198" s="33" t="s">
        <v>1234</v>
      </c>
      <c r="BA198" s="41" t="s">
        <v>1935</v>
      </c>
      <c r="BB198" s="33" t="s">
        <v>1931</v>
      </c>
      <c r="BC198" s="41" t="s">
        <v>757</v>
      </c>
      <c r="BD198" s="33" t="s">
        <v>1932</v>
      </c>
      <c r="BE198" s="41" t="str">
        <f t="shared" si="12"/>
        <v>"Bairro"</v>
      </c>
    </row>
    <row r="199" spans="1:57" ht="7.5" customHeight="1" x14ac:dyDescent="0.25">
      <c r="A199" s="39">
        <v>199</v>
      </c>
      <c r="B199" s="67" t="s">
        <v>983</v>
      </c>
      <c r="C199" s="38" t="s">
        <v>655</v>
      </c>
      <c r="D199" s="18" t="s">
        <v>735</v>
      </c>
      <c r="E199" s="42" t="s">
        <v>745</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1821</v>
      </c>
      <c r="AY199" s="41" t="s">
        <v>1935</v>
      </c>
      <c r="AZ199" s="33" t="s">
        <v>1234</v>
      </c>
      <c r="BA199" s="41" t="s">
        <v>1935</v>
      </c>
      <c r="BB199" s="33" t="s">
        <v>1931</v>
      </c>
      <c r="BC199" s="41" t="s">
        <v>757</v>
      </c>
      <c r="BD199" s="33" t="s">
        <v>1932</v>
      </c>
      <c r="BE199" s="41" t="str">
        <f t="shared" si="12"/>
        <v>"Bairro"</v>
      </c>
    </row>
    <row r="200" spans="1:57" ht="7.5" customHeight="1" x14ac:dyDescent="0.25">
      <c r="A200" s="39">
        <v>200</v>
      </c>
      <c r="B200" s="67" t="s">
        <v>984</v>
      </c>
      <c r="C200" s="38" t="s">
        <v>655</v>
      </c>
      <c r="D200" s="18" t="s">
        <v>735</v>
      </c>
      <c r="E200" s="42" t="s">
        <v>745</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1821</v>
      </c>
      <c r="AY200" s="41" t="s">
        <v>1935</v>
      </c>
      <c r="AZ200" s="33" t="s">
        <v>1234</v>
      </c>
      <c r="BA200" s="41" t="s">
        <v>1935</v>
      </c>
      <c r="BB200" s="33" t="s">
        <v>1931</v>
      </c>
      <c r="BC200" s="41" t="s">
        <v>757</v>
      </c>
      <c r="BD200" s="33" t="s">
        <v>1932</v>
      </c>
      <c r="BE200" s="41" t="str">
        <f t="shared" si="12"/>
        <v>"Bairro"</v>
      </c>
    </row>
    <row r="201" spans="1:57" ht="7.5" customHeight="1" x14ac:dyDescent="0.25">
      <c r="A201" s="39">
        <v>201</v>
      </c>
      <c r="B201" s="67" t="s">
        <v>985</v>
      </c>
      <c r="C201" s="38" t="s">
        <v>655</v>
      </c>
      <c r="D201" s="18" t="s">
        <v>735</v>
      </c>
      <c r="E201" s="42" t="s">
        <v>745</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1821</v>
      </c>
      <c r="AY201" s="41" t="s">
        <v>1935</v>
      </c>
      <c r="AZ201" s="33" t="s">
        <v>1234</v>
      </c>
      <c r="BA201" s="41" t="s">
        <v>1935</v>
      </c>
      <c r="BB201" s="33" t="s">
        <v>1931</v>
      </c>
      <c r="BC201" s="41" t="s">
        <v>757</v>
      </c>
      <c r="BD201" s="33" t="s">
        <v>1932</v>
      </c>
      <c r="BE201" s="41" t="str">
        <f t="shared" si="12"/>
        <v>"Bairro"</v>
      </c>
    </row>
    <row r="202" spans="1:57" ht="7.5" customHeight="1" x14ac:dyDescent="0.25">
      <c r="A202" s="39">
        <v>202</v>
      </c>
      <c r="B202" s="67" t="s">
        <v>986</v>
      </c>
      <c r="C202" s="38" t="s">
        <v>655</v>
      </c>
      <c r="D202" s="18" t="s">
        <v>735</v>
      </c>
      <c r="E202" s="42" t="s">
        <v>745</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1821</v>
      </c>
      <c r="AY202" s="41" t="s">
        <v>1935</v>
      </c>
      <c r="AZ202" s="33" t="s">
        <v>1234</v>
      </c>
      <c r="BA202" s="41" t="s">
        <v>1935</v>
      </c>
      <c r="BB202" s="33" t="s">
        <v>1931</v>
      </c>
      <c r="BC202" s="41" t="s">
        <v>757</v>
      </c>
      <c r="BD202" s="33" t="s">
        <v>1932</v>
      </c>
      <c r="BE202" s="41" t="str">
        <f t="shared" si="12"/>
        <v>"Bairro"</v>
      </c>
    </row>
    <row r="203" spans="1:57" ht="7.5" customHeight="1" x14ac:dyDescent="0.25">
      <c r="A203" s="39">
        <v>203</v>
      </c>
      <c r="B203" s="67" t="s">
        <v>987</v>
      </c>
      <c r="C203" s="38" t="s">
        <v>655</v>
      </c>
      <c r="D203" s="18" t="s">
        <v>735</v>
      </c>
      <c r="E203" s="42" t="s">
        <v>745</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1821</v>
      </c>
      <c r="AY203" s="41" t="s">
        <v>1935</v>
      </c>
      <c r="AZ203" s="33" t="s">
        <v>1234</v>
      </c>
      <c r="BA203" s="41" t="s">
        <v>1935</v>
      </c>
      <c r="BB203" s="33" t="s">
        <v>1931</v>
      </c>
      <c r="BC203" s="41" t="s">
        <v>757</v>
      </c>
      <c r="BD203" s="33" t="s">
        <v>1932</v>
      </c>
      <c r="BE203" s="41" t="str">
        <f t="shared" si="12"/>
        <v>"Bairro"</v>
      </c>
    </row>
    <row r="204" spans="1:57" ht="7.5" customHeight="1" x14ac:dyDescent="0.25">
      <c r="A204" s="39">
        <v>204</v>
      </c>
      <c r="B204" s="67" t="s">
        <v>988</v>
      </c>
      <c r="C204" s="38" t="s">
        <v>655</v>
      </c>
      <c r="D204" s="18" t="s">
        <v>735</v>
      </c>
      <c r="E204" s="42" t="s">
        <v>745</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1821</v>
      </c>
      <c r="AY204" s="41" t="s">
        <v>1935</v>
      </c>
      <c r="AZ204" s="33" t="s">
        <v>1234</v>
      </c>
      <c r="BA204" s="41" t="s">
        <v>1935</v>
      </c>
      <c r="BB204" s="33" t="s">
        <v>1931</v>
      </c>
      <c r="BC204" s="41" t="s">
        <v>757</v>
      </c>
      <c r="BD204" s="33" t="s">
        <v>1932</v>
      </c>
      <c r="BE204" s="41" t="str">
        <f t="shared" si="12"/>
        <v>"Bairro"</v>
      </c>
    </row>
    <row r="205" spans="1:57" ht="7.5" customHeight="1" x14ac:dyDescent="0.25">
      <c r="A205" s="39">
        <v>205</v>
      </c>
      <c r="B205" s="67" t="s">
        <v>989</v>
      </c>
      <c r="C205" s="38" t="s">
        <v>655</v>
      </c>
      <c r="D205" s="18" t="s">
        <v>735</v>
      </c>
      <c r="E205" s="42" t="s">
        <v>745</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1821</v>
      </c>
      <c r="AY205" s="41" t="s">
        <v>1935</v>
      </c>
      <c r="AZ205" s="33" t="s">
        <v>1234</v>
      </c>
      <c r="BA205" s="41" t="s">
        <v>1935</v>
      </c>
      <c r="BB205" s="33" t="s">
        <v>1931</v>
      </c>
      <c r="BC205" s="41" t="s">
        <v>757</v>
      </c>
      <c r="BD205" s="33" t="s">
        <v>1932</v>
      </c>
      <c r="BE205" s="41" t="str">
        <f t="shared" si="12"/>
        <v>"Bairro"</v>
      </c>
    </row>
    <row r="206" spans="1:57" ht="7.5" customHeight="1" x14ac:dyDescent="0.25">
      <c r="A206" s="39">
        <v>206</v>
      </c>
      <c r="B206" s="67" t="s">
        <v>990</v>
      </c>
      <c r="C206" s="38" t="s">
        <v>655</v>
      </c>
      <c r="D206" s="18" t="s">
        <v>735</v>
      </c>
      <c r="E206" s="42" t="s">
        <v>745</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1821</v>
      </c>
      <c r="AY206" s="41" t="s">
        <v>1935</v>
      </c>
      <c r="AZ206" s="33" t="s">
        <v>1234</v>
      </c>
      <c r="BA206" s="41" t="s">
        <v>1935</v>
      </c>
      <c r="BB206" s="33" t="s">
        <v>1931</v>
      </c>
      <c r="BC206" s="41" t="s">
        <v>757</v>
      </c>
      <c r="BD206" s="33" t="s">
        <v>1932</v>
      </c>
      <c r="BE206" s="41" t="str">
        <f t="shared" si="12"/>
        <v>"Bairro"</v>
      </c>
    </row>
    <row r="207" spans="1:57" ht="7.5" customHeight="1" x14ac:dyDescent="0.25">
      <c r="A207" s="39">
        <v>207</v>
      </c>
      <c r="B207" s="67" t="s">
        <v>991</v>
      </c>
      <c r="C207" s="38" t="s">
        <v>655</v>
      </c>
      <c r="D207" s="18" t="s">
        <v>735</v>
      </c>
      <c r="E207" s="42" t="s">
        <v>745</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1821</v>
      </c>
      <c r="AY207" s="41" t="s">
        <v>1935</v>
      </c>
      <c r="AZ207" s="33" t="s">
        <v>1234</v>
      </c>
      <c r="BA207" s="41" t="s">
        <v>1935</v>
      </c>
      <c r="BB207" s="33" t="s">
        <v>1931</v>
      </c>
      <c r="BC207" s="41" t="s">
        <v>757</v>
      </c>
      <c r="BD207" s="33" t="s">
        <v>1932</v>
      </c>
      <c r="BE207" s="41" t="str">
        <f t="shared" si="12"/>
        <v>"Bairro"</v>
      </c>
    </row>
    <row r="208" spans="1:57" ht="7.5" customHeight="1" x14ac:dyDescent="0.25">
      <c r="A208" s="39">
        <v>208</v>
      </c>
      <c r="B208" s="67" t="s">
        <v>992</v>
      </c>
      <c r="C208" s="38" t="s">
        <v>655</v>
      </c>
      <c r="D208" s="18" t="s">
        <v>735</v>
      </c>
      <c r="E208" s="42" t="s">
        <v>745</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1821</v>
      </c>
      <c r="AY208" s="41" t="s">
        <v>1935</v>
      </c>
      <c r="AZ208" s="33" t="s">
        <v>1234</v>
      </c>
      <c r="BA208" s="41" t="s">
        <v>1935</v>
      </c>
      <c r="BB208" s="33" t="s">
        <v>1931</v>
      </c>
      <c r="BC208" s="41" t="s">
        <v>757</v>
      </c>
      <c r="BD208" s="33" t="s">
        <v>1932</v>
      </c>
      <c r="BE208" s="41" t="str">
        <f t="shared" si="12"/>
        <v>"Bairro"</v>
      </c>
    </row>
    <row r="209" spans="1:57" ht="7.5" customHeight="1" x14ac:dyDescent="0.25">
      <c r="A209" s="39">
        <v>209</v>
      </c>
      <c r="B209" s="67" t="s">
        <v>993</v>
      </c>
      <c r="C209" s="38" t="s">
        <v>655</v>
      </c>
      <c r="D209" s="18" t="s">
        <v>735</v>
      </c>
      <c r="E209" s="42" t="s">
        <v>745</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1821</v>
      </c>
      <c r="AY209" s="41" t="s">
        <v>1935</v>
      </c>
      <c r="AZ209" s="33" t="s">
        <v>1234</v>
      </c>
      <c r="BA209" s="41" t="s">
        <v>1935</v>
      </c>
      <c r="BB209" s="33" t="s">
        <v>1931</v>
      </c>
      <c r="BC209" s="41" t="s">
        <v>757</v>
      </c>
      <c r="BD209" s="33" t="s">
        <v>1932</v>
      </c>
      <c r="BE209" s="41" t="str">
        <f t="shared" si="12"/>
        <v>"Bairro"</v>
      </c>
    </row>
    <row r="210" spans="1:57" ht="7.5" customHeight="1" x14ac:dyDescent="0.25">
      <c r="A210" s="39">
        <v>210</v>
      </c>
      <c r="B210" s="67" t="s">
        <v>994</v>
      </c>
      <c r="C210" s="38" t="s">
        <v>655</v>
      </c>
      <c r="D210" s="18" t="s">
        <v>735</v>
      </c>
      <c r="E210" s="42" t="s">
        <v>745</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1821</v>
      </c>
      <c r="AY210" s="41" t="s">
        <v>1935</v>
      </c>
      <c r="AZ210" s="33" t="s">
        <v>1234</v>
      </c>
      <c r="BA210" s="41" t="s">
        <v>1935</v>
      </c>
      <c r="BB210" s="33" t="s">
        <v>1931</v>
      </c>
      <c r="BC210" s="41" t="s">
        <v>757</v>
      </c>
      <c r="BD210" s="33" t="s">
        <v>1932</v>
      </c>
      <c r="BE210" s="41" t="str">
        <f t="shared" si="12"/>
        <v>"Bairro"</v>
      </c>
    </row>
    <row r="211" spans="1:57" ht="7.5" customHeight="1" x14ac:dyDescent="0.25">
      <c r="A211" s="39">
        <v>211</v>
      </c>
      <c r="B211" s="67" t="s">
        <v>995</v>
      </c>
      <c r="C211" s="38" t="s">
        <v>655</v>
      </c>
      <c r="D211" s="18" t="s">
        <v>735</v>
      </c>
      <c r="E211" s="42" t="s">
        <v>745</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1821</v>
      </c>
      <c r="AY211" s="41" t="s">
        <v>1935</v>
      </c>
      <c r="AZ211" s="33" t="s">
        <v>1234</v>
      </c>
      <c r="BA211" s="41" t="s">
        <v>1935</v>
      </c>
      <c r="BB211" s="33" t="s">
        <v>1931</v>
      </c>
      <c r="BC211" s="41" t="s">
        <v>757</v>
      </c>
      <c r="BD211" s="33" t="s">
        <v>1932</v>
      </c>
      <c r="BE211" s="41" t="str">
        <f t="shared" si="12"/>
        <v>"Bairro"</v>
      </c>
    </row>
    <row r="212" spans="1:57" ht="7.5" customHeight="1" x14ac:dyDescent="0.25">
      <c r="A212" s="39">
        <v>212</v>
      </c>
      <c r="B212" s="67" t="s">
        <v>996</v>
      </c>
      <c r="C212" s="38" t="s">
        <v>655</v>
      </c>
      <c r="D212" s="18" t="s">
        <v>735</v>
      </c>
      <c r="E212" s="42" t="s">
        <v>745</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1821</v>
      </c>
      <c r="AY212" s="41" t="s">
        <v>1935</v>
      </c>
      <c r="AZ212" s="33" t="s">
        <v>1234</v>
      </c>
      <c r="BA212" s="41" t="s">
        <v>1935</v>
      </c>
      <c r="BB212" s="33" t="s">
        <v>1931</v>
      </c>
      <c r="BC212" s="41" t="s">
        <v>757</v>
      </c>
      <c r="BD212" s="33" t="s">
        <v>1932</v>
      </c>
      <c r="BE212" s="41" t="str">
        <f t="shared" si="12"/>
        <v>"Bairro"</v>
      </c>
    </row>
    <row r="213" spans="1:57" ht="7.5" customHeight="1" x14ac:dyDescent="0.25">
      <c r="A213" s="39">
        <v>213</v>
      </c>
      <c r="B213" s="67" t="s">
        <v>997</v>
      </c>
      <c r="C213" s="38" t="s">
        <v>655</v>
      </c>
      <c r="D213" s="18" t="s">
        <v>735</v>
      </c>
      <c r="E213" s="42" t="s">
        <v>745</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1821</v>
      </c>
      <c r="AY213" s="41" t="s">
        <v>1935</v>
      </c>
      <c r="AZ213" s="33" t="s">
        <v>1234</v>
      </c>
      <c r="BA213" s="41" t="s">
        <v>1935</v>
      </c>
      <c r="BB213" s="33" t="s">
        <v>1931</v>
      </c>
      <c r="BC213" s="41" t="s">
        <v>757</v>
      </c>
      <c r="BD213" s="33" t="s">
        <v>1932</v>
      </c>
      <c r="BE213" s="41" t="str">
        <f t="shared" si="12"/>
        <v>"Bairro"</v>
      </c>
    </row>
    <row r="214" spans="1:57" ht="7.5" customHeight="1" x14ac:dyDescent="0.25">
      <c r="A214" s="39">
        <v>214</v>
      </c>
      <c r="B214" s="67" t="s">
        <v>998</v>
      </c>
      <c r="C214" s="38" t="s">
        <v>655</v>
      </c>
      <c r="D214" s="18" t="s">
        <v>735</v>
      </c>
      <c r="E214" s="42" t="s">
        <v>745</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1821</v>
      </c>
      <c r="AY214" s="41" t="s">
        <v>1935</v>
      </c>
      <c r="AZ214" s="33" t="s">
        <v>1234</v>
      </c>
      <c r="BA214" s="41" t="s">
        <v>1935</v>
      </c>
      <c r="BB214" s="33" t="s">
        <v>1931</v>
      </c>
      <c r="BC214" s="41" t="s">
        <v>757</v>
      </c>
      <c r="BD214" s="33" t="s">
        <v>1932</v>
      </c>
      <c r="BE214" s="41" t="str">
        <f t="shared" si="12"/>
        <v>"Bairro"</v>
      </c>
    </row>
    <row r="215" spans="1:57" ht="7.5" customHeight="1" x14ac:dyDescent="0.25">
      <c r="A215" s="39">
        <v>215</v>
      </c>
      <c r="B215" s="67" t="s">
        <v>770</v>
      </c>
      <c r="C215" s="38" t="s">
        <v>646</v>
      </c>
      <c r="D215" s="18" t="s">
        <v>735</v>
      </c>
      <c r="E215" s="42" t="s">
        <v>745</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1821</v>
      </c>
      <c r="AY215" s="41" t="s">
        <v>1935</v>
      </c>
      <c r="AZ215" s="33" t="s">
        <v>1234</v>
      </c>
      <c r="BA215" s="41" t="s">
        <v>1935</v>
      </c>
      <c r="BB215" s="33" t="s">
        <v>1931</v>
      </c>
      <c r="BC215" s="41" t="s">
        <v>757</v>
      </c>
      <c r="BD215" s="33" t="s">
        <v>1932</v>
      </c>
      <c r="BE215" s="41" t="str">
        <f t="shared" si="12"/>
        <v>"Região.Administrativa"</v>
      </c>
    </row>
    <row r="216" spans="1:57" ht="7.5" customHeight="1" x14ac:dyDescent="0.25">
      <c r="A216" s="39">
        <v>216</v>
      </c>
      <c r="B216" s="67" t="s">
        <v>772</v>
      </c>
      <c r="C216" s="38" t="s">
        <v>646</v>
      </c>
      <c r="D216" s="18" t="s">
        <v>735</v>
      </c>
      <c r="E216" s="42" t="s">
        <v>745</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1821</v>
      </c>
      <c r="AY216" s="41" t="s">
        <v>1935</v>
      </c>
      <c r="AZ216" s="33" t="s">
        <v>1234</v>
      </c>
      <c r="BA216" s="41" t="s">
        <v>1935</v>
      </c>
      <c r="BB216" s="33" t="s">
        <v>1931</v>
      </c>
      <c r="BC216" s="41" t="s">
        <v>757</v>
      </c>
      <c r="BD216" s="33" t="s">
        <v>1932</v>
      </c>
      <c r="BE216" s="41" t="str">
        <f t="shared" si="12"/>
        <v>"Região.Administrativa"</v>
      </c>
    </row>
    <row r="217" spans="1:57" ht="7.5" customHeight="1" x14ac:dyDescent="0.25">
      <c r="A217" s="39">
        <v>217</v>
      </c>
      <c r="B217" s="67" t="s">
        <v>774</v>
      </c>
      <c r="C217" s="38" t="s">
        <v>646</v>
      </c>
      <c r="D217" s="18" t="s">
        <v>735</v>
      </c>
      <c r="E217" s="42" t="s">
        <v>745</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1821</v>
      </c>
      <c r="AY217" s="41" t="s">
        <v>1935</v>
      </c>
      <c r="AZ217" s="33" t="s">
        <v>1234</v>
      </c>
      <c r="BA217" s="41" t="s">
        <v>1935</v>
      </c>
      <c r="BB217" s="33" t="s">
        <v>1931</v>
      </c>
      <c r="BC217" s="41" t="s">
        <v>757</v>
      </c>
      <c r="BD217" s="33" t="s">
        <v>1932</v>
      </c>
      <c r="BE217" s="41" t="str">
        <f t="shared" si="12"/>
        <v>"Região.Administrativa"</v>
      </c>
    </row>
    <row r="218" spans="1:57" ht="7.5" customHeight="1" x14ac:dyDescent="0.25">
      <c r="A218" s="39">
        <v>218</v>
      </c>
      <c r="B218" s="67" t="s">
        <v>776</v>
      </c>
      <c r="C218" s="38" t="s">
        <v>646</v>
      </c>
      <c r="D218" s="18" t="s">
        <v>735</v>
      </c>
      <c r="E218" s="42" t="s">
        <v>745</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1821</v>
      </c>
      <c r="AY218" s="41" t="s">
        <v>1935</v>
      </c>
      <c r="AZ218" s="33" t="s">
        <v>1234</v>
      </c>
      <c r="BA218" s="41" t="s">
        <v>1935</v>
      </c>
      <c r="BB218" s="33" t="s">
        <v>1931</v>
      </c>
      <c r="BC218" s="41" t="s">
        <v>757</v>
      </c>
      <c r="BD218" s="33" t="s">
        <v>1932</v>
      </c>
      <c r="BE218" s="41" t="str">
        <f t="shared" si="12"/>
        <v>"Região.Administrativa"</v>
      </c>
    </row>
    <row r="219" spans="1:57" ht="7.5" customHeight="1" x14ac:dyDescent="0.25">
      <c r="A219" s="39">
        <v>219</v>
      </c>
      <c r="B219" s="67" t="s">
        <v>778</v>
      </c>
      <c r="C219" s="38" t="s">
        <v>646</v>
      </c>
      <c r="D219" s="18" t="s">
        <v>735</v>
      </c>
      <c r="E219" s="42" t="s">
        <v>745</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1821</v>
      </c>
      <c r="AY219" s="41" t="s">
        <v>1935</v>
      </c>
      <c r="AZ219" s="33" t="s">
        <v>1234</v>
      </c>
      <c r="BA219" s="41" t="s">
        <v>1935</v>
      </c>
      <c r="BB219" s="33" t="s">
        <v>1931</v>
      </c>
      <c r="BC219" s="41" t="s">
        <v>757</v>
      </c>
      <c r="BD219" s="33" t="s">
        <v>1932</v>
      </c>
      <c r="BE219" s="41" t="str">
        <f t="shared" si="12"/>
        <v>"Região.Administrativa"</v>
      </c>
    </row>
    <row r="220" spans="1:57" ht="7.5" customHeight="1" x14ac:dyDescent="0.25">
      <c r="A220" s="39">
        <v>220</v>
      </c>
      <c r="B220" s="67" t="s">
        <v>780</v>
      </c>
      <c r="C220" s="38" t="s">
        <v>646</v>
      </c>
      <c r="D220" s="18" t="s">
        <v>735</v>
      </c>
      <c r="E220" s="42" t="s">
        <v>745</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1821</v>
      </c>
      <c r="AY220" s="41" t="s">
        <v>1935</v>
      </c>
      <c r="AZ220" s="33" t="s">
        <v>1234</v>
      </c>
      <c r="BA220" s="41" t="s">
        <v>1935</v>
      </c>
      <c r="BB220" s="33" t="s">
        <v>1931</v>
      </c>
      <c r="BC220" s="41" t="s">
        <v>757</v>
      </c>
      <c r="BD220" s="33" t="s">
        <v>1932</v>
      </c>
      <c r="BE220" s="41" t="str">
        <f t="shared" si="12"/>
        <v>"Região.Administrativa"</v>
      </c>
    </row>
    <row r="221" spans="1:57" ht="7.5" customHeight="1" x14ac:dyDescent="0.25">
      <c r="A221" s="39">
        <v>221</v>
      </c>
      <c r="B221" s="67" t="s">
        <v>782</v>
      </c>
      <c r="C221" s="38" t="s">
        <v>646</v>
      </c>
      <c r="D221" s="18" t="s">
        <v>735</v>
      </c>
      <c r="E221" s="42" t="s">
        <v>745</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1821</v>
      </c>
      <c r="AY221" s="41" t="s">
        <v>1935</v>
      </c>
      <c r="AZ221" s="33" t="s">
        <v>1234</v>
      </c>
      <c r="BA221" s="41" t="s">
        <v>1935</v>
      </c>
      <c r="BB221" s="33" t="s">
        <v>1931</v>
      </c>
      <c r="BC221" s="41" t="s">
        <v>757</v>
      </c>
      <c r="BD221" s="33" t="s">
        <v>1932</v>
      </c>
      <c r="BE221" s="41" t="str">
        <f t="shared" si="12"/>
        <v>"Região.Administrativa"</v>
      </c>
    </row>
    <row r="222" spans="1:57" ht="7.5" customHeight="1" x14ac:dyDescent="0.25">
      <c r="A222" s="39">
        <v>222</v>
      </c>
      <c r="B222" s="67" t="s">
        <v>784</v>
      </c>
      <c r="C222" s="38" t="s">
        <v>646</v>
      </c>
      <c r="D222" s="18" t="s">
        <v>735</v>
      </c>
      <c r="E222" s="42" t="s">
        <v>745</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1821</v>
      </c>
      <c r="AY222" s="41" t="s">
        <v>1935</v>
      </c>
      <c r="AZ222" s="33" t="s">
        <v>1234</v>
      </c>
      <c r="BA222" s="41" t="s">
        <v>1935</v>
      </c>
      <c r="BB222" s="33" t="s">
        <v>1931</v>
      </c>
      <c r="BC222" s="41" t="s">
        <v>757</v>
      </c>
      <c r="BD222" s="33" t="s">
        <v>1932</v>
      </c>
      <c r="BE222" s="41" t="str">
        <f t="shared" si="12"/>
        <v>"Região.Administrativa"</v>
      </c>
    </row>
    <row r="223" spans="1:57" ht="7.5" customHeight="1" x14ac:dyDescent="0.25">
      <c r="A223" s="39">
        <v>223</v>
      </c>
      <c r="B223" s="67" t="s">
        <v>786</v>
      </c>
      <c r="C223" s="38" t="s">
        <v>646</v>
      </c>
      <c r="D223" s="18" t="s">
        <v>735</v>
      </c>
      <c r="E223" s="42" t="s">
        <v>745</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1821</v>
      </c>
      <c r="AY223" s="41" t="s">
        <v>1935</v>
      </c>
      <c r="AZ223" s="33" t="s">
        <v>1234</v>
      </c>
      <c r="BA223" s="41" t="s">
        <v>1935</v>
      </c>
      <c r="BB223" s="33" t="s">
        <v>1931</v>
      </c>
      <c r="BC223" s="41" t="s">
        <v>757</v>
      </c>
      <c r="BD223" s="33" t="s">
        <v>1932</v>
      </c>
      <c r="BE223" s="41" t="str">
        <f t="shared" si="12"/>
        <v>"Região.Administrativa"</v>
      </c>
    </row>
    <row r="224" spans="1:57" ht="7.5" customHeight="1" x14ac:dyDescent="0.25">
      <c r="A224" s="39">
        <v>224</v>
      </c>
      <c r="B224" s="67" t="s">
        <v>788</v>
      </c>
      <c r="C224" s="38" t="s">
        <v>646</v>
      </c>
      <c r="D224" s="18" t="s">
        <v>735</v>
      </c>
      <c r="E224" s="42" t="s">
        <v>745</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1821</v>
      </c>
      <c r="AY224" s="41" t="s">
        <v>1935</v>
      </c>
      <c r="AZ224" s="33" t="s">
        <v>1234</v>
      </c>
      <c r="BA224" s="41" t="s">
        <v>1935</v>
      </c>
      <c r="BB224" s="33" t="s">
        <v>1931</v>
      </c>
      <c r="BC224" s="41" t="s">
        <v>757</v>
      </c>
      <c r="BD224" s="33" t="s">
        <v>1932</v>
      </c>
      <c r="BE224" s="41" t="str">
        <f t="shared" si="12"/>
        <v>"Região.Administrativa"</v>
      </c>
    </row>
    <row r="225" spans="1:57" ht="7.5" customHeight="1" x14ac:dyDescent="0.25">
      <c r="A225" s="39">
        <v>225</v>
      </c>
      <c r="B225" s="67" t="s">
        <v>790</v>
      </c>
      <c r="C225" s="38" t="s">
        <v>646</v>
      </c>
      <c r="D225" s="18" t="s">
        <v>735</v>
      </c>
      <c r="E225" s="42" t="s">
        <v>745</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1821</v>
      </c>
      <c r="AY225" s="41" t="s">
        <v>1935</v>
      </c>
      <c r="AZ225" s="33" t="s">
        <v>1234</v>
      </c>
      <c r="BA225" s="41" t="s">
        <v>1935</v>
      </c>
      <c r="BB225" s="33" t="s">
        <v>1931</v>
      </c>
      <c r="BC225" s="41" t="s">
        <v>757</v>
      </c>
      <c r="BD225" s="33" t="s">
        <v>1932</v>
      </c>
      <c r="BE225" s="41" t="str">
        <f t="shared" si="12"/>
        <v>"Região.Administrativa"</v>
      </c>
    </row>
    <row r="226" spans="1:57" ht="7.5" customHeight="1" x14ac:dyDescent="0.25">
      <c r="A226" s="39">
        <v>226</v>
      </c>
      <c r="B226" s="67" t="s">
        <v>792</v>
      </c>
      <c r="C226" s="38" t="s">
        <v>646</v>
      </c>
      <c r="D226" s="18" t="s">
        <v>735</v>
      </c>
      <c r="E226" s="42" t="s">
        <v>745</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1821</v>
      </c>
      <c r="AY226" s="41" t="s">
        <v>1935</v>
      </c>
      <c r="AZ226" s="33" t="s">
        <v>1234</v>
      </c>
      <c r="BA226" s="41" t="s">
        <v>1935</v>
      </c>
      <c r="BB226" s="33" t="s">
        <v>1931</v>
      </c>
      <c r="BC226" s="41" t="s">
        <v>757</v>
      </c>
      <c r="BD226" s="33" t="s">
        <v>1932</v>
      </c>
      <c r="BE226" s="41" t="str">
        <f t="shared" si="12"/>
        <v>"Região.Administrativa"</v>
      </c>
    </row>
    <row r="227" spans="1:57" ht="7.5" customHeight="1" x14ac:dyDescent="0.25">
      <c r="A227" s="39">
        <v>227</v>
      </c>
      <c r="B227" s="67" t="s">
        <v>794</v>
      </c>
      <c r="C227" s="38" t="s">
        <v>646</v>
      </c>
      <c r="D227" s="18" t="s">
        <v>735</v>
      </c>
      <c r="E227" s="42" t="s">
        <v>745</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1821</v>
      </c>
      <c r="AY227" s="41" t="s">
        <v>1935</v>
      </c>
      <c r="AZ227" s="33" t="s">
        <v>1234</v>
      </c>
      <c r="BA227" s="41" t="s">
        <v>1935</v>
      </c>
      <c r="BB227" s="33" t="s">
        <v>1931</v>
      </c>
      <c r="BC227" s="41" t="s">
        <v>757</v>
      </c>
      <c r="BD227" s="33" t="s">
        <v>1932</v>
      </c>
      <c r="BE227" s="41" t="str">
        <f t="shared" si="12"/>
        <v>"Região.Administrativa"</v>
      </c>
    </row>
    <row r="228" spans="1:57" ht="7.5" customHeight="1" x14ac:dyDescent="0.25">
      <c r="A228" s="39">
        <v>228</v>
      </c>
      <c r="B228" s="67" t="s">
        <v>796</v>
      </c>
      <c r="C228" s="38" t="s">
        <v>646</v>
      </c>
      <c r="D228" s="18" t="s">
        <v>735</v>
      </c>
      <c r="E228" s="42" t="s">
        <v>745</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1821</v>
      </c>
      <c r="AY228" s="41" t="s">
        <v>1935</v>
      </c>
      <c r="AZ228" s="33" t="s">
        <v>1234</v>
      </c>
      <c r="BA228" s="41" t="s">
        <v>1935</v>
      </c>
      <c r="BB228" s="33" t="s">
        <v>1931</v>
      </c>
      <c r="BC228" s="41" t="s">
        <v>757</v>
      </c>
      <c r="BD228" s="33" t="s">
        <v>1932</v>
      </c>
      <c r="BE228" s="41" t="str">
        <f t="shared" si="12"/>
        <v>"Região.Administrativa"</v>
      </c>
    </row>
    <row r="229" spans="1:57" ht="7.5" customHeight="1" x14ac:dyDescent="0.25">
      <c r="A229" s="39">
        <v>229</v>
      </c>
      <c r="B229" s="67" t="s">
        <v>798</v>
      </c>
      <c r="C229" s="38" t="s">
        <v>646</v>
      </c>
      <c r="D229" s="18" t="s">
        <v>735</v>
      </c>
      <c r="E229" s="42" t="s">
        <v>745</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1821</v>
      </c>
      <c r="AY229" s="41" t="s">
        <v>1935</v>
      </c>
      <c r="AZ229" s="33" t="s">
        <v>1234</v>
      </c>
      <c r="BA229" s="41" t="s">
        <v>1935</v>
      </c>
      <c r="BB229" s="33" t="s">
        <v>1931</v>
      </c>
      <c r="BC229" s="41" t="s">
        <v>757</v>
      </c>
      <c r="BD229" s="33" t="s">
        <v>1932</v>
      </c>
      <c r="BE229" s="41" t="str">
        <f t="shared" si="12"/>
        <v>"Região.Administrativa"</v>
      </c>
    </row>
    <row r="230" spans="1:57" ht="7.5" customHeight="1" x14ac:dyDescent="0.25">
      <c r="A230" s="39">
        <v>230</v>
      </c>
      <c r="B230" s="67" t="s">
        <v>800</v>
      </c>
      <c r="C230" s="38" t="s">
        <v>646</v>
      </c>
      <c r="D230" s="18" t="s">
        <v>735</v>
      </c>
      <c r="E230" s="42" t="s">
        <v>745</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1821</v>
      </c>
      <c r="AY230" s="41" t="s">
        <v>1935</v>
      </c>
      <c r="AZ230" s="33" t="s">
        <v>1234</v>
      </c>
      <c r="BA230" s="41" t="s">
        <v>1935</v>
      </c>
      <c r="BB230" s="33" t="s">
        <v>1931</v>
      </c>
      <c r="BC230" s="41" t="s">
        <v>757</v>
      </c>
      <c r="BD230" s="33" t="s">
        <v>1932</v>
      </c>
      <c r="BE230" s="41" t="str">
        <f t="shared" si="12"/>
        <v>"Região.Administrativa"</v>
      </c>
    </row>
    <row r="231" spans="1:57" ht="7.5" customHeight="1" x14ac:dyDescent="0.25">
      <c r="A231" s="39">
        <v>231</v>
      </c>
      <c r="B231" s="67" t="s">
        <v>802</v>
      </c>
      <c r="C231" s="38" t="s">
        <v>646</v>
      </c>
      <c r="D231" s="18" t="s">
        <v>735</v>
      </c>
      <c r="E231" s="42" t="s">
        <v>745</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1821</v>
      </c>
      <c r="AY231" s="41" t="s">
        <v>1935</v>
      </c>
      <c r="AZ231" s="33" t="s">
        <v>1234</v>
      </c>
      <c r="BA231" s="41" t="s">
        <v>1935</v>
      </c>
      <c r="BB231" s="33" t="s">
        <v>1931</v>
      </c>
      <c r="BC231" s="41" t="s">
        <v>757</v>
      </c>
      <c r="BD231" s="33" t="s">
        <v>1932</v>
      </c>
      <c r="BE231" s="41" t="str">
        <f t="shared" si="12"/>
        <v>"Região.Administrativa"</v>
      </c>
    </row>
    <row r="232" spans="1:57" ht="7.5" customHeight="1" x14ac:dyDescent="0.25">
      <c r="A232" s="39">
        <v>232</v>
      </c>
      <c r="B232" s="67" t="s">
        <v>804</v>
      </c>
      <c r="C232" s="38" t="s">
        <v>646</v>
      </c>
      <c r="D232" s="18" t="s">
        <v>735</v>
      </c>
      <c r="E232" s="42" t="s">
        <v>745</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1821</v>
      </c>
      <c r="AY232" s="41" t="s">
        <v>1935</v>
      </c>
      <c r="AZ232" s="33" t="s">
        <v>1234</v>
      </c>
      <c r="BA232" s="41" t="s">
        <v>1935</v>
      </c>
      <c r="BB232" s="33" t="s">
        <v>1931</v>
      </c>
      <c r="BC232" s="41" t="s">
        <v>757</v>
      </c>
      <c r="BD232" s="33" t="s">
        <v>1932</v>
      </c>
      <c r="BE232" s="41" t="str">
        <f t="shared" si="12"/>
        <v>"Região.Administrativa"</v>
      </c>
    </row>
    <row r="233" spans="1:57" ht="7.5" customHeight="1" x14ac:dyDescent="0.25">
      <c r="A233" s="39">
        <v>233</v>
      </c>
      <c r="B233" s="67" t="s">
        <v>806</v>
      </c>
      <c r="C233" s="38" t="s">
        <v>646</v>
      </c>
      <c r="D233" s="18" t="s">
        <v>735</v>
      </c>
      <c r="E233" s="42" t="s">
        <v>745</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1821</v>
      </c>
      <c r="AY233" s="41" t="s">
        <v>1935</v>
      </c>
      <c r="AZ233" s="33" t="s">
        <v>1234</v>
      </c>
      <c r="BA233" s="41" t="s">
        <v>1935</v>
      </c>
      <c r="BB233" s="33" t="s">
        <v>1931</v>
      </c>
      <c r="BC233" s="41" t="s">
        <v>757</v>
      </c>
      <c r="BD233" s="33" t="s">
        <v>1932</v>
      </c>
      <c r="BE233" s="41" t="str">
        <f t="shared" si="12"/>
        <v>"Região.Administrativa"</v>
      </c>
    </row>
    <row r="234" spans="1:57" ht="7.5" customHeight="1" x14ac:dyDescent="0.25">
      <c r="A234" s="39">
        <v>234</v>
      </c>
      <c r="B234" s="67" t="s">
        <v>808</v>
      </c>
      <c r="C234" s="38" t="s">
        <v>646</v>
      </c>
      <c r="D234" s="18" t="s">
        <v>735</v>
      </c>
      <c r="E234" s="42" t="s">
        <v>745</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1821</v>
      </c>
      <c r="AY234" s="41" t="s">
        <v>1935</v>
      </c>
      <c r="AZ234" s="33" t="s">
        <v>1234</v>
      </c>
      <c r="BA234" s="41" t="s">
        <v>1935</v>
      </c>
      <c r="BB234" s="33" t="s">
        <v>1931</v>
      </c>
      <c r="BC234" s="41" t="s">
        <v>757</v>
      </c>
      <c r="BD234" s="33" t="s">
        <v>1932</v>
      </c>
      <c r="BE234" s="41" t="str">
        <f t="shared" si="12"/>
        <v>"Região.Administrativa"</v>
      </c>
    </row>
    <row r="235" spans="1:57" ht="7.5" customHeight="1" x14ac:dyDescent="0.25">
      <c r="A235" s="39">
        <v>235</v>
      </c>
      <c r="B235" s="67" t="s">
        <v>810</v>
      </c>
      <c r="C235" s="38" t="s">
        <v>646</v>
      </c>
      <c r="D235" s="18" t="s">
        <v>735</v>
      </c>
      <c r="E235" s="42" t="s">
        <v>745</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1821</v>
      </c>
      <c r="AY235" s="41" t="s">
        <v>1935</v>
      </c>
      <c r="AZ235" s="33" t="s">
        <v>1234</v>
      </c>
      <c r="BA235" s="41" t="s">
        <v>1935</v>
      </c>
      <c r="BB235" s="33" t="s">
        <v>1931</v>
      </c>
      <c r="BC235" s="41" t="s">
        <v>757</v>
      </c>
      <c r="BD235" s="33" t="s">
        <v>1932</v>
      </c>
      <c r="BE235" s="41" t="str">
        <f t="shared" si="12"/>
        <v>"Região.Administrativa"</v>
      </c>
    </row>
    <row r="236" spans="1:57" ht="7.5" customHeight="1" x14ac:dyDescent="0.25">
      <c r="A236" s="39">
        <v>236</v>
      </c>
      <c r="B236" s="67" t="s">
        <v>812</v>
      </c>
      <c r="C236" s="38" t="s">
        <v>646</v>
      </c>
      <c r="D236" s="18" t="s">
        <v>735</v>
      </c>
      <c r="E236" s="42" t="s">
        <v>745</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1821</v>
      </c>
      <c r="AY236" s="41" t="s">
        <v>1935</v>
      </c>
      <c r="AZ236" s="33" t="s">
        <v>1234</v>
      </c>
      <c r="BA236" s="41" t="s">
        <v>1935</v>
      </c>
      <c r="BB236" s="33" t="s">
        <v>1931</v>
      </c>
      <c r="BC236" s="41" t="s">
        <v>757</v>
      </c>
      <c r="BD236" s="33" t="s">
        <v>1932</v>
      </c>
      <c r="BE236" s="41" t="str">
        <f t="shared" si="12"/>
        <v>"Região.Administrativa"</v>
      </c>
    </row>
    <row r="237" spans="1:57" ht="7.5" customHeight="1" x14ac:dyDescent="0.25">
      <c r="A237" s="39">
        <v>237</v>
      </c>
      <c r="B237" s="67" t="s">
        <v>814</v>
      </c>
      <c r="C237" s="38" t="s">
        <v>646</v>
      </c>
      <c r="D237" s="18" t="s">
        <v>735</v>
      </c>
      <c r="E237" s="42" t="s">
        <v>745</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1821</v>
      </c>
      <c r="AY237" s="41" t="s">
        <v>1935</v>
      </c>
      <c r="AZ237" s="33" t="s">
        <v>1234</v>
      </c>
      <c r="BA237" s="41" t="s">
        <v>1935</v>
      </c>
      <c r="BB237" s="33" t="s">
        <v>1931</v>
      </c>
      <c r="BC237" s="41" t="s">
        <v>757</v>
      </c>
      <c r="BD237" s="33" t="s">
        <v>1932</v>
      </c>
      <c r="BE237" s="41" t="str">
        <f t="shared" si="12"/>
        <v>"Região.Administrativa"</v>
      </c>
    </row>
    <row r="238" spans="1:57" ht="7.5" customHeight="1" x14ac:dyDescent="0.25">
      <c r="A238" s="39">
        <v>238</v>
      </c>
      <c r="B238" s="67" t="s">
        <v>816</v>
      </c>
      <c r="C238" s="38" t="s">
        <v>646</v>
      </c>
      <c r="D238" s="18" t="s">
        <v>735</v>
      </c>
      <c r="E238" s="42" t="s">
        <v>745</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1821</v>
      </c>
      <c r="AY238" s="41" t="s">
        <v>1935</v>
      </c>
      <c r="AZ238" s="33" t="s">
        <v>1234</v>
      </c>
      <c r="BA238" s="41" t="s">
        <v>1935</v>
      </c>
      <c r="BB238" s="33" t="s">
        <v>1931</v>
      </c>
      <c r="BC238" s="41" t="s">
        <v>757</v>
      </c>
      <c r="BD238" s="33" t="s">
        <v>1932</v>
      </c>
      <c r="BE238" s="41" t="str">
        <f t="shared" si="12"/>
        <v>"Região.Administrativa"</v>
      </c>
    </row>
    <row r="239" spans="1:57" ht="7.5" customHeight="1" x14ac:dyDescent="0.25">
      <c r="A239" s="39">
        <v>239</v>
      </c>
      <c r="B239" s="67" t="s">
        <v>818</v>
      </c>
      <c r="C239" s="38" t="s">
        <v>646</v>
      </c>
      <c r="D239" s="18" t="s">
        <v>735</v>
      </c>
      <c r="E239" s="42" t="s">
        <v>745</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1821</v>
      </c>
      <c r="AY239" s="41" t="s">
        <v>1935</v>
      </c>
      <c r="AZ239" s="33" t="s">
        <v>1234</v>
      </c>
      <c r="BA239" s="41" t="s">
        <v>1935</v>
      </c>
      <c r="BB239" s="33" t="s">
        <v>1931</v>
      </c>
      <c r="BC239" s="41" t="s">
        <v>757</v>
      </c>
      <c r="BD239" s="33" t="s">
        <v>1932</v>
      </c>
      <c r="BE239" s="41" t="str">
        <f t="shared" si="12"/>
        <v>"Região.Administrativa"</v>
      </c>
    </row>
    <row r="240" spans="1:57" ht="7.5" customHeight="1" x14ac:dyDescent="0.25">
      <c r="A240" s="39">
        <v>240</v>
      </c>
      <c r="B240" s="67" t="s">
        <v>820</v>
      </c>
      <c r="C240" s="38" t="s">
        <v>646</v>
      </c>
      <c r="D240" s="18" t="s">
        <v>735</v>
      </c>
      <c r="E240" s="42" t="s">
        <v>745</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1821</v>
      </c>
      <c r="AY240" s="41" t="s">
        <v>1935</v>
      </c>
      <c r="AZ240" s="33" t="s">
        <v>1234</v>
      </c>
      <c r="BA240" s="41" t="s">
        <v>1935</v>
      </c>
      <c r="BB240" s="33" t="s">
        <v>1931</v>
      </c>
      <c r="BC240" s="41" t="s">
        <v>757</v>
      </c>
      <c r="BD240" s="33" t="s">
        <v>1932</v>
      </c>
      <c r="BE240" s="41" t="str">
        <f t="shared" si="12"/>
        <v>"Região.Administrativa"</v>
      </c>
    </row>
    <row r="241" spans="1:57" ht="7.5" customHeight="1" x14ac:dyDescent="0.25">
      <c r="A241" s="39">
        <v>241</v>
      </c>
      <c r="B241" s="67" t="s">
        <v>822</v>
      </c>
      <c r="C241" s="38" t="s">
        <v>646</v>
      </c>
      <c r="D241" s="18" t="s">
        <v>735</v>
      </c>
      <c r="E241" s="42" t="s">
        <v>745</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1821</v>
      </c>
      <c r="AY241" s="41" t="s">
        <v>1935</v>
      </c>
      <c r="AZ241" s="33" t="s">
        <v>1234</v>
      </c>
      <c r="BA241" s="41" t="s">
        <v>1935</v>
      </c>
      <c r="BB241" s="33" t="s">
        <v>1931</v>
      </c>
      <c r="BC241" s="41" t="s">
        <v>757</v>
      </c>
      <c r="BD241" s="33" t="s">
        <v>1932</v>
      </c>
      <c r="BE241" s="41" t="str">
        <f t="shared" si="12"/>
        <v>"Região.Administrativa"</v>
      </c>
    </row>
    <row r="242" spans="1:57" ht="7.5" customHeight="1" x14ac:dyDescent="0.25">
      <c r="A242" s="39">
        <v>242</v>
      </c>
      <c r="B242" s="67" t="s">
        <v>824</v>
      </c>
      <c r="C242" s="38" t="s">
        <v>646</v>
      </c>
      <c r="D242" s="18" t="s">
        <v>735</v>
      </c>
      <c r="E242" s="42" t="s">
        <v>745</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1821</v>
      </c>
      <c r="AY242" s="41" t="s">
        <v>1935</v>
      </c>
      <c r="AZ242" s="33" t="s">
        <v>1234</v>
      </c>
      <c r="BA242" s="41" t="s">
        <v>1935</v>
      </c>
      <c r="BB242" s="33" t="s">
        <v>1931</v>
      </c>
      <c r="BC242" s="41" t="s">
        <v>757</v>
      </c>
      <c r="BD242" s="33" t="s">
        <v>1932</v>
      </c>
      <c r="BE242" s="41" t="str">
        <f t="shared" si="12"/>
        <v>"Região.Administrativa"</v>
      </c>
    </row>
    <row r="243" spans="1:57" ht="7.5" customHeight="1" x14ac:dyDescent="0.25">
      <c r="A243" s="39">
        <v>243</v>
      </c>
      <c r="B243" s="67" t="s">
        <v>826</v>
      </c>
      <c r="C243" s="38" t="s">
        <v>646</v>
      </c>
      <c r="D243" s="18" t="s">
        <v>735</v>
      </c>
      <c r="E243" s="42" t="s">
        <v>745</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1821</v>
      </c>
      <c r="AY243" s="41" t="s">
        <v>1935</v>
      </c>
      <c r="AZ243" s="33" t="s">
        <v>1234</v>
      </c>
      <c r="BA243" s="41" t="s">
        <v>1935</v>
      </c>
      <c r="BB243" s="33" t="s">
        <v>1931</v>
      </c>
      <c r="BC243" s="41" t="s">
        <v>757</v>
      </c>
      <c r="BD243" s="33" t="s">
        <v>1932</v>
      </c>
      <c r="BE243" s="41" t="str">
        <f t="shared" ref="BE243:BE306" si="15">_xlfn.CONCAT("""",C243,"""")</f>
        <v>"Região.Administrativa"</v>
      </c>
    </row>
    <row r="244" spans="1:57" ht="7.5" customHeight="1" x14ac:dyDescent="0.25">
      <c r="A244" s="39">
        <v>244</v>
      </c>
      <c r="B244" s="67" t="s">
        <v>828</v>
      </c>
      <c r="C244" s="38" t="s">
        <v>646</v>
      </c>
      <c r="D244" s="18" t="s">
        <v>735</v>
      </c>
      <c r="E244" s="42" t="s">
        <v>745</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1821</v>
      </c>
      <c r="AY244" s="41" t="s">
        <v>1935</v>
      </c>
      <c r="AZ244" s="33" t="s">
        <v>1234</v>
      </c>
      <c r="BA244" s="41" t="s">
        <v>1935</v>
      </c>
      <c r="BB244" s="33" t="s">
        <v>1931</v>
      </c>
      <c r="BC244" s="41" t="s">
        <v>757</v>
      </c>
      <c r="BD244" s="33" t="s">
        <v>1932</v>
      </c>
      <c r="BE244" s="41" t="str">
        <f t="shared" si="15"/>
        <v>"Região.Administrativa"</v>
      </c>
    </row>
    <row r="245" spans="1:57" ht="7.5" customHeight="1" x14ac:dyDescent="0.25">
      <c r="A245" s="39">
        <v>245</v>
      </c>
      <c r="B245" s="67" t="s">
        <v>830</v>
      </c>
      <c r="C245" s="38" t="s">
        <v>646</v>
      </c>
      <c r="D245" s="18" t="s">
        <v>735</v>
      </c>
      <c r="E245" s="42" t="s">
        <v>745</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1821</v>
      </c>
      <c r="AY245" s="41" t="s">
        <v>1935</v>
      </c>
      <c r="AZ245" s="33" t="s">
        <v>1234</v>
      </c>
      <c r="BA245" s="41" t="s">
        <v>1935</v>
      </c>
      <c r="BB245" s="33" t="s">
        <v>1931</v>
      </c>
      <c r="BC245" s="41" t="s">
        <v>757</v>
      </c>
      <c r="BD245" s="33" t="s">
        <v>1932</v>
      </c>
      <c r="BE245" s="41" t="str">
        <f t="shared" si="15"/>
        <v>"Região.Administrativa"</v>
      </c>
    </row>
    <row r="246" spans="1:57" ht="7.5" customHeight="1" x14ac:dyDescent="0.25">
      <c r="A246" s="39">
        <v>246</v>
      </c>
      <c r="B246" s="67" t="s">
        <v>832</v>
      </c>
      <c r="C246" s="38" t="s">
        <v>646</v>
      </c>
      <c r="D246" s="18" t="s">
        <v>735</v>
      </c>
      <c r="E246" s="42" t="s">
        <v>745</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1821</v>
      </c>
      <c r="AY246" s="41" t="s">
        <v>1935</v>
      </c>
      <c r="AZ246" s="33" t="s">
        <v>1234</v>
      </c>
      <c r="BA246" s="41" t="s">
        <v>1935</v>
      </c>
      <c r="BB246" s="33" t="s">
        <v>1931</v>
      </c>
      <c r="BC246" s="41" t="s">
        <v>757</v>
      </c>
      <c r="BD246" s="33" t="s">
        <v>1932</v>
      </c>
      <c r="BE246" s="41" t="str">
        <f t="shared" si="15"/>
        <v>"Região.Administrativa"</v>
      </c>
    </row>
    <row r="247" spans="1:57" ht="7.5" customHeight="1" x14ac:dyDescent="0.25">
      <c r="A247" s="39">
        <v>247</v>
      </c>
      <c r="B247" s="67" t="s">
        <v>834</v>
      </c>
      <c r="C247" s="38" t="s">
        <v>646</v>
      </c>
      <c r="D247" s="18" t="s">
        <v>735</v>
      </c>
      <c r="E247" s="42" t="s">
        <v>745</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1821</v>
      </c>
      <c r="AY247" s="41" t="s">
        <v>1935</v>
      </c>
      <c r="AZ247" s="33" t="s">
        <v>1234</v>
      </c>
      <c r="BA247" s="41" t="s">
        <v>1935</v>
      </c>
      <c r="BB247" s="33" t="s">
        <v>1931</v>
      </c>
      <c r="BC247" s="41" t="s">
        <v>757</v>
      </c>
      <c r="BD247" s="33" t="s">
        <v>1932</v>
      </c>
      <c r="BE247" s="41" t="str">
        <f t="shared" si="15"/>
        <v>"Região.Administrativa"</v>
      </c>
    </row>
    <row r="248" spans="1:57" ht="7.5" customHeight="1" x14ac:dyDescent="0.25">
      <c r="A248" s="39">
        <v>248</v>
      </c>
      <c r="B248" s="67" t="s">
        <v>999</v>
      </c>
      <c r="C248" s="38" t="s">
        <v>655</v>
      </c>
      <c r="D248" s="18" t="s">
        <v>735</v>
      </c>
      <c r="E248" s="42" t="s">
        <v>793</v>
      </c>
      <c r="F248" s="18" t="s">
        <v>758</v>
      </c>
      <c r="G248" s="42" t="s">
        <v>835</v>
      </c>
      <c r="H248" s="18" t="s">
        <v>1000</v>
      </c>
      <c r="I248" s="42" t="s">
        <v>793</v>
      </c>
      <c r="J248" s="18" t="s">
        <v>735</v>
      </c>
      <c r="K248" s="42" t="s">
        <v>1001</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1821</v>
      </c>
      <c r="AY248" s="41" t="s">
        <v>1935</v>
      </c>
      <c r="AZ248" s="33" t="s">
        <v>1234</v>
      </c>
      <c r="BA248" s="41" t="s">
        <v>1935</v>
      </c>
      <c r="BB248" s="33" t="s">
        <v>1931</v>
      </c>
      <c r="BC248" s="41" t="s">
        <v>757</v>
      </c>
      <c r="BD248" s="33" t="s">
        <v>1932</v>
      </c>
      <c r="BE248" s="41" t="str">
        <f t="shared" si="15"/>
        <v>"Bairro"</v>
      </c>
    </row>
    <row r="249" spans="1:57" ht="7.5" customHeight="1" x14ac:dyDescent="0.25">
      <c r="A249" s="39">
        <v>249</v>
      </c>
      <c r="B249" s="67" t="s">
        <v>1002</v>
      </c>
      <c r="C249" s="38" t="s">
        <v>655</v>
      </c>
      <c r="D249" s="18" t="s">
        <v>735</v>
      </c>
      <c r="E249" s="42" t="s">
        <v>817</v>
      </c>
      <c r="F249" s="18" t="s">
        <v>758</v>
      </c>
      <c r="G249" s="42" t="s">
        <v>836</v>
      </c>
      <c r="H249" s="18" t="s">
        <v>1000</v>
      </c>
      <c r="I249" s="42" t="s">
        <v>817</v>
      </c>
      <c r="J249" s="18" t="s">
        <v>735</v>
      </c>
      <c r="K249" s="42" t="s">
        <v>1001</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1821</v>
      </c>
      <c r="AY249" s="41" t="s">
        <v>1935</v>
      </c>
      <c r="AZ249" s="33" t="s">
        <v>1234</v>
      </c>
      <c r="BA249" s="41" t="s">
        <v>1935</v>
      </c>
      <c r="BB249" s="33" t="s">
        <v>1931</v>
      </c>
      <c r="BC249" s="41" t="s">
        <v>757</v>
      </c>
      <c r="BD249" s="33" t="s">
        <v>1932</v>
      </c>
      <c r="BE249" s="41" t="str">
        <f t="shared" si="15"/>
        <v>"Bairro"</v>
      </c>
    </row>
    <row r="250" spans="1:57" ht="7.5" customHeight="1" x14ac:dyDescent="0.25">
      <c r="A250" s="39">
        <v>250</v>
      </c>
      <c r="B250" s="67" t="s">
        <v>1003</v>
      </c>
      <c r="C250" s="38" t="s">
        <v>655</v>
      </c>
      <c r="D250" s="18" t="s">
        <v>735</v>
      </c>
      <c r="E250" s="42" t="s">
        <v>793</v>
      </c>
      <c r="F250" s="18" t="s">
        <v>758</v>
      </c>
      <c r="G250" s="42" t="s">
        <v>837</v>
      </c>
      <c r="H250" s="18" t="s">
        <v>1000</v>
      </c>
      <c r="I250" s="42" t="s">
        <v>793</v>
      </c>
      <c r="J250" s="18" t="s">
        <v>735</v>
      </c>
      <c r="K250" s="42" t="s">
        <v>1001</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1821</v>
      </c>
      <c r="AY250" s="41" t="s">
        <v>1935</v>
      </c>
      <c r="AZ250" s="33" t="s">
        <v>1234</v>
      </c>
      <c r="BA250" s="41" t="s">
        <v>1935</v>
      </c>
      <c r="BB250" s="33" t="s">
        <v>1931</v>
      </c>
      <c r="BC250" s="41" t="s">
        <v>757</v>
      </c>
      <c r="BD250" s="33" t="s">
        <v>1932</v>
      </c>
      <c r="BE250" s="41" t="str">
        <f t="shared" si="15"/>
        <v>"Bairro"</v>
      </c>
    </row>
    <row r="251" spans="1:57" ht="7.5" customHeight="1" x14ac:dyDescent="0.25">
      <c r="A251" s="39">
        <v>251</v>
      </c>
      <c r="B251" s="67" t="s">
        <v>1004</v>
      </c>
      <c r="C251" s="38" t="s">
        <v>655</v>
      </c>
      <c r="D251" s="18" t="s">
        <v>735</v>
      </c>
      <c r="E251" s="42" t="s">
        <v>783</v>
      </c>
      <c r="F251" s="18" t="s">
        <v>758</v>
      </c>
      <c r="G251" s="42" t="s">
        <v>838</v>
      </c>
      <c r="H251" s="18" t="s">
        <v>1000</v>
      </c>
      <c r="I251" s="42" t="s">
        <v>783</v>
      </c>
      <c r="J251" s="18" t="s">
        <v>735</v>
      </c>
      <c r="K251" s="42" t="s">
        <v>1005</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1821</v>
      </c>
      <c r="AY251" s="41" t="s">
        <v>1935</v>
      </c>
      <c r="AZ251" s="33" t="s">
        <v>1234</v>
      </c>
      <c r="BA251" s="41" t="s">
        <v>1935</v>
      </c>
      <c r="BB251" s="33" t="s">
        <v>1931</v>
      </c>
      <c r="BC251" s="41" t="s">
        <v>757</v>
      </c>
      <c r="BD251" s="33" t="s">
        <v>1932</v>
      </c>
      <c r="BE251" s="41" t="str">
        <f t="shared" si="15"/>
        <v>"Bairro"</v>
      </c>
    </row>
    <row r="252" spans="1:57" ht="7.5" customHeight="1" x14ac:dyDescent="0.25">
      <c r="A252" s="39">
        <v>252</v>
      </c>
      <c r="B252" s="67" t="s">
        <v>1006</v>
      </c>
      <c r="C252" s="38" t="s">
        <v>655</v>
      </c>
      <c r="D252" s="18" t="s">
        <v>735</v>
      </c>
      <c r="E252" s="42" t="s">
        <v>811</v>
      </c>
      <c r="F252" s="18" t="s">
        <v>758</v>
      </c>
      <c r="G252" s="42" t="s">
        <v>839</v>
      </c>
      <c r="H252" s="18" t="s">
        <v>1000</v>
      </c>
      <c r="I252" s="42" t="s">
        <v>811</v>
      </c>
      <c r="J252" s="18" t="s">
        <v>735</v>
      </c>
      <c r="K252" s="42" t="s">
        <v>1001</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1821</v>
      </c>
      <c r="AY252" s="41" t="s">
        <v>1935</v>
      </c>
      <c r="AZ252" s="33" t="s">
        <v>1234</v>
      </c>
      <c r="BA252" s="41" t="s">
        <v>1935</v>
      </c>
      <c r="BB252" s="33" t="s">
        <v>1931</v>
      </c>
      <c r="BC252" s="41" t="s">
        <v>757</v>
      </c>
      <c r="BD252" s="33" t="s">
        <v>1932</v>
      </c>
      <c r="BE252" s="41" t="str">
        <f t="shared" si="15"/>
        <v>"Bairro"</v>
      </c>
    </row>
    <row r="253" spans="1:57" ht="7.5" customHeight="1" x14ac:dyDescent="0.25">
      <c r="A253" s="39">
        <v>253</v>
      </c>
      <c r="B253" s="67" t="s">
        <v>1007</v>
      </c>
      <c r="C253" s="38" t="s">
        <v>655</v>
      </c>
      <c r="D253" s="18" t="s">
        <v>735</v>
      </c>
      <c r="E253" s="42" t="s">
        <v>785</v>
      </c>
      <c r="F253" s="18" t="s">
        <v>758</v>
      </c>
      <c r="G253" s="42" t="s">
        <v>840</v>
      </c>
      <c r="H253" s="18" t="s">
        <v>1000</v>
      </c>
      <c r="I253" s="42" t="s">
        <v>785</v>
      </c>
      <c r="J253" s="18" t="s">
        <v>735</v>
      </c>
      <c r="K253" s="42" t="s">
        <v>1005</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1821</v>
      </c>
      <c r="AY253" s="41" t="s">
        <v>1935</v>
      </c>
      <c r="AZ253" s="33" t="s">
        <v>1234</v>
      </c>
      <c r="BA253" s="41" t="s">
        <v>1935</v>
      </c>
      <c r="BB253" s="33" t="s">
        <v>1931</v>
      </c>
      <c r="BC253" s="41" t="s">
        <v>757</v>
      </c>
      <c r="BD253" s="33" t="s">
        <v>1932</v>
      </c>
      <c r="BE253" s="41" t="str">
        <f t="shared" si="15"/>
        <v>"Bairro"</v>
      </c>
    </row>
    <row r="254" spans="1:57" ht="7.5" customHeight="1" x14ac:dyDescent="0.25">
      <c r="A254" s="39">
        <v>254</v>
      </c>
      <c r="B254" s="67" t="s">
        <v>1008</v>
      </c>
      <c r="C254" s="38" t="s">
        <v>655</v>
      </c>
      <c r="D254" s="18" t="s">
        <v>735</v>
      </c>
      <c r="E254" s="42" t="s">
        <v>799</v>
      </c>
      <c r="F254" s="18" t="s">
        <v>758</v>
      </c>
      <c r="G254" s="42" t="s">
        <v>841</v>
      </c>
      <c r="H254" s="18" t="s">
        <v>1000</v>
      </c>
      <c r="I254" s="42" t="s">
        <v>799</v>
      </c>
      <c r="J254" s="18" t="s">
        <v>735</v>
      </c>
      <c r="K254" s="42" t="s">
        <v>1009</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1821</v>
      </c>
      <c r="AY254" s="41" t="s">
        <v>1935</v>
      </c>
      <c r="AZ254" s="33" t="s">
        <v>1234</v>
      </c>
      <c r="BA254" s="41" t="s">
        <v>1935</v>
      </c>
      <c r="BB254" s="33" t="s">
        <v>1931</v>
      </c>
      <c r="BC254" s="41" t="s">
        <v>757</v>
      </c>
      <c r="BD254" s="33" t="s">
        <v>1932</v>
      </c>
      <c r="BE254" s="41" t="str">
        <f t="shared" si="15"/>
        <v>"Bairro"</v>
      </c>
    </row>
    <row r="255" spans="1:57" ht="7.5" customHeight="1" x14ac:dyDescent="0.25">
      <c r="A255" s="39">
        <v>255</v>
      </c>
      <c r="B255" s="67" t="s">
        <v>1010</v>
      </c>
      <c r="C255" s="38" t="s">
        <v>655</v>
      </c>
      <c r="D255" s="18" t="s">
        <v>735</v>
      </c>
      <c r="E255" s="42" t="s">
        <v>807</v>
      </c>
      <c r="F255" s="18" t="s">
        <v>758</v>
      </c>
      <c r="G255" s="42" t="s">
        <v>842</v>
      </c>
      <c r="H255" s="18" t="s">
        <v>1000</v>
      </c>
      <c r="I255" s="42" t="s">
        <v>807</v>
      </c>
      <c r="J255" s="18" t="s">
        <v>735</v>
      </c>
      <c r="K255" s="42" t="s">
        <v>1011</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1821</v>
      </c>
      <c r="AY255" s="41" t="s">
        <v>1935</v>
      </c>
      <c r="AZ255" s="33" t="s">
        <v>1234</v>
      </c>
      <c r="BA255" s="41" t="s">
        <v>1935</v>
      </c>
      <c r="BB255" s="33" t="s">
        <v>1931</v>
      </c>
      <c r="BC255" s="41" t="s">
        <v>757</v>
      </c>
      <c r="BD255" s="33" t="s">
        <v>1932</v>
      </c>
      <c r="BE255" s="41" t="str">
        <f t="shared" si="15"/>
        <v>"Bairro"</v>
      </c>
    </row>
    <row r="256" spans="1:57" ht="7.5" customHeight="1" x14ac:dyDescent="0.25">
      <c r="A256" s="39">
        <v>256</v>
      </c>
      <c r="B256" s="67" t="s">
        <v>1012</v>
      </c>
      <c r="C256" s="38" t="s">
        <v>655</v>
      </c>
      <c r="D256" s="18" t="s">
        <v>735</v>
      </c>
      <c r="E256" s="42" t="s">
        <v>801</v>
      </c>
      <c r="F256" s="18" t="s">
        <v>758</v>
      </c>
      <c r="G256" s="42" t="s">
        <v>843</v>
      </c>
      <c r="H256" s="18" t="s">
        <v>1000</v>
      </c>
      <c r="I256" s="42" t="s">
        <v>801</v>
      </c>
      <c r="J256" s="18" t="s">
        <v>735</v>
      </c>
      <c r="K256" s="42" t="s">
        <v>1013</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1821</v>
      </c>
      <c r="AY256" s="41" t="s">
        <v>1935</v>
      </c>
      <c r="AZ256" s="33" t="s">
        <v>1234</v>
      </c>
      <c r="BA256" s="41" t="s">
        <v>1935</v>
      </c>
      <c r="BB256" s="33" t="s">
        <v>1931</v>
      </c>
      <c r="BC256" s="41" t="s">
        <v>757</v>
      </c>
      <c r="BD256" s="33" t="s">
        <v>1932</v>
      </c>
      <c r="BE256" s="41" t="str">
        <f t="shared" si="15"/>
        <v>"Bairro"</v>
      </c>
    </row>
    <row r="257" spans="1:57" ht="7.5" customHeight="1" x14ac:dyDescent="0.25">
      <c r="A257" s="39">
        <v>257</v>
      </c>
      <c r="B257" s="67" t="s">
        <v>1014</v>
      </c>
      <c r="C257" s="38" t="s">
        <v>655</v>
      </c>
      <c r="D257" s="18" t="s">
        <v>735</v>
      </c>
      <c r="E257" s="42" t="s">
        <v>815</v>
      </c>
      <c r="F257" s="18" t="s">
        <v>758</v>
      </c>
      <c r="G257" s="42" t="s">
        <v>844</v>
      </c>
      <c r="H257" s="18" t="s">
        <v>1000</v>
      </c>
      <c r="I257" s="42" t="s">
        <v>815</v>
      </c>
      <c r="J257" s="18" t="s">
        <v>735</v>
      </c>
      <c r="K257" s="42" t="s">
        <v>1015</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1821</v>
      </c>
      <c r="AY257" s="41" t="s">
        <v>1935</v>
      </c>
      <c r="AZ257" s="33" t="s">
        <v>1234</v>
      </c>
      <c r="BA257" s="41" t="s">
        <v>1935</v>
      </c>
      <c r="BB257" s="33" t="s">
        <v>1931</v>
      </c>
      <c r="BC257" s="41" t="s">
        <v>757</v>
      </c>
      <c r="BD257" s="33" t="s">
        <v>1932</v>
      </c>
      <c r="BE257" s="41" t="str">
        <f t="shared" si="15"/>
        <v>"Bairro"</v>
      </c>
    </row>
    <row r="258" spans="1:57" ht="7.5" customHeight="1" x14ac:dyDescent="0.25">
      <c r="A258" s="39">
        <v>258</v>
      </c>
      <c r="B258" s="67" t="s">
        <v>1016</v>
      </c>
      <c r="C258" s="38" t="s">
        <v>655</v>
      </c>
      <c r="D258" s="18" t="s">
        <v>735</v>
      </c>
      <c r="E258" s="42" t="s">
        <v>819</v>
      </c>
      <c r="F258" s="18" t="s">
        <v>758</v>
      </c>
      <c r="G258" s="42" t="s">
        <v>845</v>
      </c>
      <c r="H258" s="18" t="s">
        <v>1000</v>
      </c>
      <c r="I258" s="42" t="s">
        <v>819</v>
      </c>
      <c r="J258" s="18" t="s">
        <v>735</v>
      </c>
      <c r="K258" s="42" t="s">
        <v>1017</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1821</v>
      </c>
      <c r="AY258" s="41" t="s">
        <v>1935</v>
      </c>
      <c r="AZ258" s="33" t="s">
        <v>1234</v>
      </c>
      <c r="BA258" s="41" t="s">
        <v>1935</v>
      </c>
      <c r="BB258" s="33" t="s">
        <v>1931</v>
      </c>
      <c r="BC258" s="41" t="s">
        <v>757</v>
      </c>
      <c r="BD258" s="33" t="s">
        <v>1932</v>
      </c>
      <c r="BE258" s="41" t="str">
        <f t="shared" si="15"/>
        <v>"Bairro"</v>
      </c>
    </row>
    <row r="259" spans="1:57" ht="7.5" customHeight="1" x14ac:dyDescent="0.25">
      <c r="A259" s="39">
        <v>259</v>
      </c>
      <c r="B259" s="67" t="s">
        <v>1018</v>
      </c>
      <c r="C259" s="38" t="s">
        <v>655</v>
      </c>
      <c r="D259" s="18" t="s">
        <v>735</v>
      </c>
      <c r="E259" s="42" t="s">
        <v>817</v>
      </c>
      <c r="F259" s="18" t="s">
        <v>758</v>
      </c>
      <c r="G259" s="42" t="s">
        <v>846</v>
      </c>
      <c r="H259" s="18" t="s">
        <v>1000</v>
      </c>
      <c r="I259" s="42" t="s">
        <v>817</v>
      </c>
      <c r="J259" s="18" t="s">
        <v>735</v>
      </c>
      <c r="K259" s="42" t="s">
        <v>1001</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1821</v>
      </c>
      <c r="AY259" s="41" t="s">
        <v>1935</v>
      </c>
      <c r="AZ259" s="33" t="s">
        <v>1234</v>
      </c>
      <c r="BA259" s="41" t="s">
        <v>1935</v>
      </c>
      <c r="BB259" s="33" t="s">
        <v>1931</v>
      </c>
      <c r="BC259" s="41" t="s">
        <v>757</v>
      </c>
      <c r="BD259" s="33" t="s">
        <v>1932</v>
      </c>
      <c r="BE259" s="41" t="str">
        <f t="shared" si="15"/>
        <v>"Bairro"</v>
      </c>
    </row>
    <row r="260" spans="1:57" ht="7.5" customHeight="1" x14ac:dyDescent="0.25">
      <c r="A260" s="39">
        <v>260</v>
      </c>
      <c r="B260" s="67" t="s">
        <v>1019</v>
      </c>
      <c r="C260" s="38" t="s">
        <v>655</v>
      </c>
      <c r="D260" s="18" t="s">
        <v>735</v>
      </c>
      <c r="E260" s="42" t="s">
        <v>781</v>
      </c>
      <c r="F260" s="18" t="s">
        <v>758</v>
      </c>
      <c r="G260" s="42" t="s">
        <v>847</v>
      </c>
      <c r="H260" s="18" t="s">
        <v>1000</v>
      </c>
      <c r="I260" s="42" t="s">
        <v>781</v>
      </c>
      <c r="J260" s="18" t="s">
        <v>735</v>
      </c>
      <c r="K260" s="42" t="s">
        <v>1020</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1821</v>
      </c>
      <c r="AY260" s="41" t="s">
        <v>1935</v>
      </c>
      <c r="AZ260" s="33" t="s">
        <v>1234</v>
      </c>
      <c r="BA260" s="41" t="s">
        <v>1935</v>
      </c>
      <c r="BB260" s="33" t="s">
        <v>1931</v>
      </c>
      <c r="BC260" s="41" t="s">
        <v>757</v>
      </c>
      <c r="BD260" s="33" t="s">
        <v>1932</v>
      </c>
      <c r="BE260" s="41" t="str">
        <f t="shared" si="15"/>
        <v>"Bairro"</v>
      </c>
    </row>
    <row r="261" spans="1:57" ht="7.5" customHeight="1" x14ac:dyDescent="0.25">
      <c r="A261" s="39">
        <v>261</v>
      </c>
      <c r="B261" s="67" t="s">
        <v>1021</v>
      </c>
      <c r="C261" s="38" t="s">
        <v>655</v>
      </c>
      <c r="D261" s="18" t="s">
        <v>735</v>
      </c>
      <c r="E261" s="42" t="s">
        <v>797</v>
      </c>
      <c r="F261" s="18" t="s">
        <v>758</v>
      </c>
      <c r="G261" s="42" t="s">
        <v>848</v>
      </c>
      <c r="H261" s="18" t="s">
        <v>1000</v>
      </c>
      <c r="I261" s="42" t="s">
        <v>797</v>
      </c>
      <c r="J261" s="18" t="s">
        <v>735</v>
      </c>
      <c r="K261" s="42" t="s">
        <v>1001</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1821</v>
      </c>
      <c r="AY261" s="41" t="s">
        <v>1935</v>
      </c>
      <c r="AZ261" s="33" t="s">
        <v>1234</v>
      </c>
      <c r="BA261" s="41" t="s">
        <v>1935</v>
      </c>
      <c r="BB261" s="33" t="s">
        <v>1931</v>
      </c>
      <c r="BC261" s="41" t="s">
        <v>757</v>
      </c>
      <c r="BD261" s="33" t="s">
        <v>1932</v>
      </c>
      <c r="BE261" s="41" t="str">
        <f t="shared" si="15"/>
        <v>"Bairro"</v>
      </c>
    </row>
    <row r="262" spans="1:57" ht="7.5" customHeight="1" x14ac:dyDescent="0.25">
      <c r="A262" s="39">
        <v>262</v>
      </c>
      <c r="B262" s="67" t="s">
        <v>1022</v>
      </c>
      <c r="C262" s="38" t="s">
        <v>655</v>
      </c>
      <c r="D262" s="18" t="s">
        <v>735</v>
      </c>
      <c r="E262" s="42" t="s">
        <v>787</v>
      </c>
      <c r="F262" s="18" t="s">
        <v>758</v>
      </c>
      <c r="G262" s="42" t="s">
        <v>849</v>
      </c>
      <c r="H262" s="18" t="s">
        <v>1000</v>
      </c>
      <c r="I262" s="42" t="s">
        <v>787</v>
      </c>
      <c r="J262" s="18" t="s">
        <v>735</v>
      </c>
      <c r="K262" s="42" t="s">
        <v>1001</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1821</v>
      </c>
      <c r="AY262" s="41" t="s">
        <v>1935</v>
      </c>
      <c r="AZ262" s="33" t="s">
        <v>1234</v>
      </c>
      <c r="BA262" s="41" t="s">
        <v>1935</v>
      </c>
      <c r="BB262" s="33" t="s">
        <v>1931</v>
      </c>
      <c r="BC262" s="41" t="s">
        <v>757</v>
      </c>
      <c r="BD262" s="33" t="s">
        <v>1932</v>
      </c>
      <c r="BE262" s="41" t="str">
        <f t="shared" si="15"/>
        <v>"Bairro"</v>
      </c>
    </row>
    <row r="263" spans="1:57" ht="7.5" customHeight="1" x14ac:dyDescent="0.25">
      <c r="A263" s="39">
        <v>263</v>
      </c>
      <c r="B263" s="67" t="s">
        <v>1023</v>
      </c>
      <c r="C263" s="38" t="s">
        <v>655</v>
      </c>
      <c r="D263" s="18" t="s">
        <v>735</v>
      </c>
      <c r="E263" s="42" t="s">
        <v>775</v>
      </c>
      <c r="F263" s="18" t="s">
        <v>758</v>
      </c>
      <c r="G263" s="42" t="s">
        <v>850</v>
      </c>
      <c r="H263" s="18" t="s">
        <v>1000</v>
      </c>
      <c r="I263" s="42" t="s">
        <v>775</v>
      </c>
      <c r="J263" s="18" t="s">
        <v>735</v>
      </c>
      <c r="K263" s="42" t="s">
        <v>1024</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1821</v>
      </c>
      <c r="AY263" s="41" t="s">
        <v>1935</v>
      </c>
      <c r="AZ263" s="33" t="s">
        <v>1234</v>
      </c>
      <c r="BA263" s="41" t="s">
        <v>1935</v>
      </c>
      <c r="BB263" s="33" t="s">
        <v>1931</v>
      </c>
      <c r="BC263" s="41" t="s">
        <v>757</v>
      </c>
      <c r="BD263" s="33" t="s">
        <v>1932</v>
      </c>
      <c r="BE263" s="41" t="str">
        <f t="shared" si="15"/>
        <v>"Bairro"</v>
      </c>
    </row>
    <row r="264" spans="1:57" ht="7.5" customHeight="1" x14ac:dyDescent="0.25">
      <c r="A264" s="39">
        <v>264</v>
      </c>
      <c r="B264" s="67" t="s">
        <v>1025</v>
      </c>
      <c r="C264" s="38" t="s">
        <v>655</v>
      </c>
      <c r="D264" s="18" t="s">
        <v>735</v>
      </c>
      <c r="E264" s="42" t="s">
        <v>789</v>
      </c>
      <c r="F264" s="18" t="s">
        <v>758</v>
      </c>
      <c r="G264" s="42" t="s">
        <v>851</v>
      </c>
      <c r="H264" s="18" t="s">
        <v>1000</v>
      </c>
      <c r="I264" s="42" t="s">
        <v>789</v>
      </c>
      <c r="J264" s="18" t="s">
        <v>735</v>
      </c>
      <c r="K264" s="42" t="s">
        <v>1001</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1821</v>
      </c>
      <c r="AY264" s="41" t="s">
        <v>1935</v>
      </c>
      <c r="AZ264" s="33" t="s">
        <v>1234</v>
      </c>
      <c r="BA264" s="41" t="s">
        <v>1935</v>
      </c>
      <c r="BB264" s="33" t="s">
        <v>1931</v>
      </c>
      <c r="BC264" s="41" t="s">
        <v>757</v>
      </c>
      <c r="BD264" s="33" t="s">
        <v>1932</v>
      </c>
      <c r="BE264" s="41" t="str">
        <f t="shared" si="15"/>
        <v>"Bairro"</v>
      </c>
    </row>
    <row r="265" spans="1:57" ht="7.5" customHeight="1" x14ac:dyDescent="0.25">
      <c r="A265" s="39">
        <v>265</v>
      </c>
      <c r="B265" s="67" t="s">
        <v>1026</v>
      </c>
      <c r="C265" s="38" t="s">
        <v>655</v>
      </c>
      <c r="D265" s="18" t="s">
        <v>735</v>
      </c>
      <c r="E265" s="42" t="s">
        <v>793</v>
      </c>
      <c r="F265" s="18" t="s">
        <v>758</v>
      </c>
      <c r="G265" s="42" t="s">
        <v>852</v>
      </c>
      <c r="H265" s="18" t="s">
        <v>1000</v>
      </c>
      <c r="I265" s="42" t="s">
        <v>793</v>
      </c>
      <c r="J265" s="18" t="s">
        <v>735</v>
      </c>
      <c r="K265" s="42" t="s">
        <v>1001</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1821</v>
      </c>
      <c r="AY265" s="41" t="s">
        <v>1935</v>
      </c>
      <c r="AZ265" s="33" t="s">
        <v>1234</v>
      </c>
      <c r="BA265" s="41" t="s">
        <v>1935</v>
      </c>
      <c r="BB265" s="33" t="s">
        <v>1931</v>
      </c>
      <c r="BC265" s="41" t="s">
        <v>757</v>
      </c>
      <c r="BD265" s="33" t="s">
        <v>1932</v>
      </c>
      <c r="BE265" s="41" t="str">
        <f t="shared" si="15"/>
        <v>"Bairro"</v>
      </c>
    </row>
    <row r="266" spans="1:57" ht="7.5" customHeight="1" x14ac:dyDescent="0.25">
      <c r="A266" s="39">
        <v>266</v>
      </c>
      <c r="B266" s="67" t="s">
        <v>1027</v>
      </c>
      <c r="C266" s="38" t="s">
        <v>655</v>
      </c>
      <c r="D266" s="18" t="s">
        <v>735</v>
      </c>
      <c r="E266" s="42" t="s">
        <v>807</v>
      </c>
      <c r="F266" s="18" t="s">
        <v>758</v>
      </c>
      <c r="G266" s="42" t="s">
        <v>853</v>
      </c>
      <c r="H266" s="18" t="s">
        <v>1000</v>
      </c>
      <c r="I266" s="42" t="s">
        <v>807</v>
      </c>
      <c r="J266" s="18" t="s">
        <v>735</v>
      </c>
      <c r="K266" s="42" t="s">
        <v>1011</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1821</v>
      </c>
      <c r="AY266" s="41" t="s">
        <v>1935</v>
      </c>
      <c r="AZ266" s="33" t="s">
        <v>1234</v>
      </c>
      <c r="BA266" s="41" t="s">
        <v>1935</v>
      </c>
      <c r="BB266" s="33" t="s">
        <v>1931</v>
      </c>
      <c r="BC266" s="41" t="s">
        <v>757</v>
      </c>
      <c r="BD266" s="33" t="s">
        <v>1932</v>
      </c>
      <c r="BE266" s="41" t="str">
        <f t="shared" si="15"/>
        <v>"Bairro"</v>
      </c>
    </row>
    <row r="267" spans="1:57" ht="7.5" customHeight="1" x14ac:dyDescent="0.25">
      <c r="A267" s="39">
        <v>267</v>
      </c>
      <c r="B267" s="67" t="s">
        <v>1028</v>
      </c>
      <c r="C267" s="38" t="s">
        <v>655</v>
      </c>
      <c r="D267" s="18" t="s">
        <v>735</v>
      </c>
      <c r="E267" s="42" t="s">
        <v>769</v>
      </c>
      <c r="F267" s="18" t="s">
        <v>758</v>
      </c>
      <c r="G267" s="42" t="s">
        <v>854</v>
      </c>
      <c r="H267" s="18" t="s">
        <v>1000</v>
      </c>
      <c r="I267" s="42" t="s">
        <v>769</v>
      </c>
      <c r="J267" s="18" t="s">
        <v>735</v>
      </c>
      <c r="K267" s="42" t="s">
        <v>1020</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1821</v>
      </c>
      <c r="AY267" s="41" t="s">
        <v>1935</v>
      </c>
      <c r="AZ267" s="33" t="s">
        <v>1234</v>
      </c>
      <c r="BA267" s="41" t="s">
        <v>1935</v>
      </c>
      <c r="BB267" s="33" t="s">
        <v>1931</v>
      </c>
      <c r="BC267" s="41" t="s">
        <v>757</v>
      </c>
      <c r="BD267" s="33" t="s">
        <v>1932</v>
      </c>
      <c r="BE267" s="41" t="str">
        <f t="shared" si="15"/>
        <v>"Bairro"</v>
      </c>
    </row>
    <row r="268" spans="1:57" ht="7.5" customHeight="1" x14ac:dyDescent="0.25">
      <c r="A268" s="39">
        <v>268</v>
      </c>
      <c r="B268" s="67" t="s">
        <v>1029</v>
      </c>
      <c r="C268" s="38" t="s">
        <v>655</v>
      </c>
      <c r="D268" s="18" t="s">
        <v>735</v>
      </c>
      <c r="E268" s="42" t="s">
        <v>815</v>
      </c>
      <c r="F268" s="18" t="s">
        <v>758</v>
      </c>
      <c r="G268" s="42" t="s">
        <v>855</v>
      </c>
      <c r="H268" s="18" t="s">
        <v>1000</v>
      </c>
      <c r="I268" s="42" t="s">
        <v>815</v>
      </c>
      <c r="J268" s="18" t="s">
        <v>735</v>
      </c>
      <c r="K268" s="42" t="s">
        <v>1015</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1821</v>
      </c>
      <c r="AY268" s="41" t="s">
        <v>1935</v>
      </c>
      <c r="AZ268" s="33" t="s">
        <v>1234</v>
      </c>
      <c r="BA268" s="41" t="s">
        <v>1935</v>
      </c>
      <c r="BB268" s="33" t="s">
        <v>1931</v>
      </c>
      <c r="BC268" s="41" t="s">
        <v>757</v>
      </c>
      <c r="BD268" s="33" t="s">
        <v>1932</v>
      </c>
      <c r="BE268" s="41" t="str">
        <f t="shared" si="15"/>
        <v>"Bairro"</v>
      </c>
    </row>
    <row r="269" spans="1:57" ht="7.5" customHeight="1" x14ac:dyDescent="0.25">
      <c r="A269" s="39">
        <v>269</v>
      </c>
      <c r="B269" s="67" t="s">
        <v>1030</v>
      </c>
      <c r="C269" s="38" t="s">
        <v>655</v>
      </c>
      <c r="D269" s="18" t="s">
        <v>735</v>
      </c>
      <c r="E269" s="42" t="s">
        <v>797</v>
      </c>
      <c r="F269" s="18" t="s">
        <v>758</v>
      </c>
      <c r="G269" s="42" t="s">
        <v>856</v>
      </c>
      <c r="H269" s="18" t="s">
        <v>1000</v>
      </c>
      <c r="I269" s="42" t="s">
        <v>797</v>
      </c>
      <c r="J269" s="18" t="s">
        <v>735</v>
      </c>
      <c r="K269" s="42" t="s">
        <v>1001</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1821</v>
      </c>
      <c r="AY269" s="41" t="s">
        <v>1935</v>
      </c>
      <c r="AZ269" s="33" t="s">
        <v>1234</v>
      </c>
      <c r="BA269" s="41" t="s">
        <v>1935</v>
      </c>
      <c r="BB269" s="33" t="s">
        <v>1931</v>
      </c>
      <c r="BC269" s="41" t="s">
        <v>757</v>
      </c>
      <c r="BD269" s="33" t="s">
        <v>1932</v>
      </c>
      <c r="BE269" s="41" t="str">
        <f t="shared" si="15"/>
        <v>"Bairro"</v>
      </c>
    </row>
    <row r="270" spans="1:57" ht="7.5" customHeight="1" x14ac:dyDescent="0.25">
      <c r="A270" s="39">
        <v>270</v>
      </c>
      <c r="B270" s="67" t="s">
        <v>1031</v>
      </c>
      <c r="C270" s="38" t="s">
        <v>655</v>
      </c>
      <c r="D270" s="18" t="s">
        <v>735</v>
      </c>
      <c r="E270" s="42" t="s">
        <v>831</v>
      </c>
      <c r="F270" s="18" t="s">
        <v>758</v>
      </c>
      <c r="G270" s="42" t="s">
        <v>857</v>
      </c>
      <c r="H270" s="18" t="s">
        <v>1000</v>
      </c>
      <c r="I270" s="42" t="s">
        <v>831</v>
      </c>
      <c r="J270" s="18" t="s">
        <v>735</v>
      </c>
      <c r="K270" s="42" t="s">
        <v>1013</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1821</v>
      </c>
      <c r="AY270" s="41" t="s">
        <v>1935</v>
      </c>
      <c r="AZ270" s="33" t="s">
        <v>1234</v>
      </c>
      <c r="BA270" s="41" t="s">
        <v>1935</v>
      </c>
      <c r="BB270" s="33" t="s">
        <v>1931</v>
      </c>
      <c r="BC270" s="41" t="s">
        <v>757</v>
      </c>
      <c r="BD270" s="33" t="s">
        <v>1932</v>
      </c>
      <c r="BE270" s="41" t="str">
        <f t="shared" si="15"/>
        <v>"Bairro"</v>
      </c>
    </row>
    <row r="271" spans="1:57" ht="7.5" customHeight="1" x14ac:dyDescent="0.25">
      <c r="A271" s="39">
        <v>271</v>
      </c>
      <c r="B271" s="67" t="s">
        <v>1032</v>
      </c>
      <c r="C271" s="38" t="s">
        <v>655</v>
      </c>
      <c r="D271" s="18" t="s">
        <v>735</v>
      </c>
      <c r="E271" s="42" t="s">
        <v>803</v>
      </c>
      <c r="F271" s="18" t="s">
        <v>758</v>
      </c>
      <c r="G271" s="42" t="s">
        <v>858</v>
      </c>
      <c r="H271" s="18" t="s">
        <v>1000</v>
      </c>
      <c r="I271" s="42" t="s">
        <v>803</v>
      </c>
      <c r="J271" s="18" t="s">
        <v>735</v>
      </c>
      <c r="K271" s="42" t="s">
        <v>1017</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1821</v>
      </c>
      <c r="AY271" s="41" t="s">
        <v>1935</v>
      </c>
      <c r="AZ271" s="33" t="s">
        <v>1234</v>
      </c>
      <c r="BA271" s="41" t="s">
        <v>1935</v>
      </c>
      <c r="BB271" s="33" t="s">
        <v>1931</v>
      </c>
      <c r="BC271" s="41" t="s">
        <v>757</v>
      </c>
      <c r="BD271" s="33" t="s">
        <v>1932</v>
      </c>
      <c r="BE271" s="41" t="str">
        <f t="shared" si="15"/>
        <v>"Bairro"</v>
      </c>
    </row>
    <row r="272" spans="1:57" ht="7.5" customHeight="1" x14ac:dyDescent="0.25">
      <c r="A272" s="39">
        <v>272</v>
      </c>
      <c r="B272" s="67" t="s">
        <v>1033</v>
      </c>
      <c r="C272" s="38" t="s">
        <v>655</v>
      </c>
      <c r="D272" s="18" t="s">
        <v>735</v>
      </c>
      <c r="E272" s="42" t="s">
        <v>797</v>
      </c>
      <c r="F272" s="18" t="s">
        <v>758</v>
      </c>
      <c r="G272" s="42" t="s">
        <v>859</v>
      </c>
      <c r="H272" s="18" t="s">
        <v>1000</v>
      </c>
      <c r="I272" s="42" t="s">
        <v>797</v>
      </c>
      <c r="J272" s="18" t="s">
        <v>735</v>
      </c>
      <c r="K272" s="42" t="s">
        <v>1001</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1821</v>
      </c>
      <c r="AY272" s="41" t="s">
        <v>1935</v>
      </c>
      <c r="AZ272" s="33" t="s">
        <v>1234</v>
      </c>
      <c r="BA272" s="41" t="s">
        <v>1935</v>
      </c>
      <c r="BB272" s="33" t="s">
        <v>1931</v>
      </c>
      <c r="BC272" s="41" t="s">
        <v>757</v>
      </c>
      <c r="BD272" s="33" t="s">
        <v>1932</v>
      </c>
      <c r="BE272" s="41" t="str">
        <f t="shared" si="15"/>
        <v>"Bairro"</v>
      </c>
    </row>
    <row r="273" spans="1:57" ht="7.5" customHeight="1" x14ac:dyDescent="0.25">
      <c r="A273" s="39">
        <v>273</v>
      </c>
      <c r="B273" s="67" t="s">
        <v>1034</v>
      </c>
      <c r="C273" s="38" t="s">
        <v>655</v>
      </c>
      <c r="D273" s="18" t="s">
        <v>735</v>
      </c>
      <c r="E273" s="42" t="s">
        <v>775</v>
      </c>
      <c r="F273" s="18" t="s">
        <v>758</v>
      </c>
      <c r="G273" s="42" t="s">
        <v>860</v>
      </c>
      <c r="H273" s="18" t="s">
        <v>1000</v>
      </c>
      <c r="I273" s="42" t="s">
        <v>775</v>
      </c>
      <c r="J273" s="18" t="s">
        <v>735</v>
      </c>
      <c r="K273" s="42" t="s">
        <v>1024</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1821</v>
      </c>
      <c r="AY273" s="41" t="s">
        <v>1935</v>
      </c>
      <c r="AZ273" s="33" t="s">
        <v>1234</v>
      </c>
      <c r="BA273" s="41" t="s">
        <v>1935</v>
      </c>
      <c r="BB273" s="33" t="s">
        <v>1931</v>
      </c>
      <c r="BC273" s="41" t="s">
        <v>757</v>
      </c>
      <c r="BD273" s="33" t="s">
        <v>1932</v>
      </c>
      <c r="BE273" s="41" t="str">
        <f t="shared" si="15"/>
        <v>"Bairro"</v>
      </c>
    </row>
    <row r="274" spans="1:57" ht="7.5" customHeight="1" x14ac:dyDescent="0.25">
      <c r="A274" s="39">
        <v>274</v>
      </c>
      <c r="B274" s="67" t="s">
        <v>1035</v>
      </c>
      <c r="C274" s="38" t="s">
        <v>655</v>
      </c>
      <c r="D274" s="18" t="s">
        <v>735</v>
      </c>
      <c r="E274" s="42" t="s">
        <v>773</v>
      </c>
      <c r="F274" s="18" t="s">
        <v>758</v>
      </c>
      <c r="G274" s="42" t="s">
        <v>861</v>
      </c>
      <c r="H274" s="18" t="s">
        <v>1000</v>
      </c>
      <c r="I274" s="42" t="s">
        <v>773</v>
      </c>
      <c r="J274" s="18" t="s">
        <v>735</v>
      </c>
      <c r="K274" s="42" t="s">
        <v>1020</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1821</v>
      </c>
      <c r="AY274" s="41" t="s">
        <v>1935</v>
      </c>
      <c r="AZ274" s="33" t="s">
        <v>1234</v>
      </c>
      <c r="BA274" s="41" t="s">
        <v>1935</v>
      </c>
      <c r="BB274" s="33" t="s">
        <v>1931</v>
      </c>
      <c r="BC274" s="41" t="s">
        <v>757</v>
      </c>
      <c r="BD274" s="33" t="s">
        <v>1932</v>
      </c>
      <c r="BE274" s="41" t="str">
        <f t="shared" si="15"/>
        <v>"Bairro"</v>
      </c>
    </row>
    <row r="275" spans="1:57" ht="7.5" customHeight="1" x14ac:dyDescent="0.25">
      <c r="A275" s="39">
        <v>275</v>
      </c>
      <c r="B275" s="67" t="s">
        <v>1036</v>
      </c>
      <c r="C275" s="38" t="s">
        <v>655</v>
      </c>
      <c r="D275" s="18" t="s">
        <v>735</v>
      </c>
      <c r="E275" s="42" t="s">
        <v>797</v>
      </c>
      <c r="F275" s="18" t="s">
        <v>758</v>
      </c>
      <c r="G275" s="42" t="s">
        <v>862</v>
      </c>
      <c r="H275" s="18" t="s">
        <v>1000</v>
      </c>
      <c r="I275" s="42" t="s">
        <v>797</v>
      </c>
      <c r="J275" s="18" t="s">
        <v>735</v>
      </c>
      <c r="K275" s="42" t="s">
        <v>1001</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1821</v>
      </c>
      <c r="AY275" s="41" t="s">
        <v>1935</v>
      </c>
      <c r="AZ275" s="33" t="s">
        <v>1234</v>
      </c>
      <c r="BA275" s="41" t="s">
        <v>1935</v>
      </c>
      <c r="BB275" s="33" t="s">
        <v>1931</v>
      </c>
      <c r="BC275" s="41" t="s">
        <v>757</v>
      </c>
      <c r="BD275" s="33" t="s">
        <v>1932</v>
      </c>
      <c r="BE275" s="41" t="str">
        <f t="shared" si="15"/>
        <v>"Bairro"</v>
      </c>
    </row>
    <row r="276" spans="1:57" ht="7.5" customHeight="1" x14ac:dyDescent="0.25">
      <c r="A276" s="39">
        <v>276</v>
      </c>
      <c r="B276" s="67" t="s">
        <v>1037</v>
      </c>
      <c r="C276" s="38" t="s">
        <v>655</v>
      </c>
      <c r="D276" s="18" t="s">
        <v>735</v>
      </c>
      <c r="E276" s="42" t="s">
        <v>771</v>
      </c>
      <c r="F276" s="18" t="s">
        <v>758</v>
      </c>
      <c r="G276" s="42" t="s">
        <v>863</v>
      </c>
      <c r="H276" s="18" t="s">
        <v>1000</v>
      </c>
      <c r="I276" s="42" t="s">
        <v>771</v>
      </c>
      <c r="J276" s="18" t="s">
        <v>735</v>
      </c>
      <c r="K276" s="42" t="s">
        <v>1020</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1821</v>
      </c>
      <c r="AY276" s="41" t="s">
        <v>1935</v>
      </c>
      <c r="AZ276" s="33" t="s">
        <v>1234</v>
      </c>
      <c r="BA276" s="41" t="s">
        <v>1935</v>
      </c>
      <c r="BB276" s="33" t="s">
        <v>1931</v>
      </c>
      <c r="BC276" s="41" t="s">
        <v>757</v>
      </c>
      <c r="BD276" s="33" t="s">
        <v>1932</v>
      </c>
      <c r="BE276" s="41" t="str">
        <f t="shared" si="15"/>
        <v>"Bairro"</v>
      </c>
    </row>
    <row r="277" spans="1:57" ht="7.5" customHeight="1" x14ac:dyDescent="0.25">
      <c r="A277" s="39">
        <v>277</v>
      </c>
      <c r="B277" s="67" t="s">
        <v>1038</v>
      </c>
      <c r="C277" s="38" t="s">
        <v>655</v>
      </c>
      <c r="D277" s="18" t="s">
        <v>735</v>
      </c>
      <c r="E277" s="42" t="s">
        <v>833</v>
      </c>
      <c r="F277" s="18" t="s">
        <v>758</v>
      </c>
      <c r="G277" s="42" t="s">
        <v>864</v>
      </c>
      <c r="H277" s="18" t="s">
        <v>1000</v>
      </c>
      <c r="I277" s="42" t="s">
        <v>833</v>
      </c>
      <c r="J277" s="18" t="s">
        <v>735</v>
      </c>
      <c r="K277" s="42" t="s">
        <v>1009</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1821</v>
      </c>
      <c r="AY277" s="41" t="s">
        <v>1935</v>
      </c>
      <c r="AZ277" s="33" t="s">
        <v>1234</v>
      </c>
      <c r="BA277" s="41" t="s">
        <v>1935</v>
      </c>
      <c r="BB277" s="33" t="s">
        <v>1931</v>
      </c>
      <c r="BC277" s="41" t="s">
        <v>757</v>
      </c>
      <c r="BD277" s="33" t="s">
        <v>1932</v>
      </c>
      <c r="BE277" s="41" t="str">
        <f t="shared" si="15"/>
        <v>"Bairro"</v>
      </c>
    </row>
    <row r="278" spans="1:57" ht="7.5" customHeight="1" x14ac:dyDescent="0.25">
      <c r="A278" s="39">
        <v>278</v>
      </c>
      <c r="B278" s="67" t="s">
        <v>1039</v>
      </c>
      <c r="C278" s="38" t="s">
        <v>655</v>
      </c>
      <c r="D278" s="18" t="s">
        <v>735</v>
      </c>
      <c r="E278" s="42" t="s">
        <v>773</v>
      </c>
      <c r="F278" s="18" t="s">
        <v>758</v>
      </c>
      <c r="G278" s="42" t="s">
        <v>865</v>
      </c>
      <c r="H278" s="18" t="s">
        <v>1000</v>
      </c>
      <c r="I278" s="42" t="s">
        <v>773</v>
      </c>
      <c r="J278" s="18" t="s">
        <v>735</v>
      </c>
      <c r="K278" s="42" t="s">
        <v>1020</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1821</v>
      </c>
      <c r="AY278" s="41" t="s">
        <v>1935</v>
      </c>
      <c r="AZ278" s="33" t="s">
        <v>1234</v>
      </c>
      <c r="BA278" s="41" t="s">
        <v>1935</v>
      </c>
      <c r="BB278" s="33" t="s">
        <v>1931</v>
      </c>
      <c r="BC278" s="41" t="s">
        <v>757</v>
      </c>
      <c r="BD278" s="33" t="s">
        <v>1932</v>
      </c>
      <c r="BE278" s="41" t="str">
        <f t="shared" si="15"/>
        <v>"Bairro"</v>
      </c>
    </row>
    <row r="279" spans="1:57" ht="7.5" customHeight="1" x14ac:dyDescent="0.25">
      <c r="A279" s="39">
        <v>279</v>
      </c>
      <c r="B279" s="67" t="s">
        <v>1040</v>
      </c>
      <c r="C279" s="38" t="s">
        <v>655</v>
      </c>
      <c r="D279" s="18" t="s">
        <v>735</v>
      </c>
      <c r="E279" s="42" t="s">
        <v>807</v>
      </c>
      <c r="F279" s="18" t="s">
        <v>758</v>
      </c>
      <c r="G279" s="42" t="s">
        <v>866</v>
      </c>
      <c r="H279" s="18" t="s">
        <v>1000</v>
      </c>
      <c r="I279" s="42" t="s">
        <v>807</v>
      </c>
      <c r="J279" s="18" t="s">
        <v>735</v>
      </c>
      <c r="K279" s="42" t="s">
        <v>1011</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1821</v>
      </c>
      <c r="AY279" s="41" t="s">
        <v>1935</v>
      </c>
      <c r="AZ279" s="33" t="s">
        <v>1234</v>
      </c>
      <c r="BA279" s="41" t="s">
        <v>1935</v>
      </c>
      <c r="BB279" s="33" t="s">
        <v>1931</v>
      </c>
      <c r="BC279" s="41" t="s">
        <v>757</v>
      </c>
      <c r="BD279" s="33" t="s">
        <v>1932</v>
      </c>
      <c r="BE279" s="41" t="str">
        <f t="shared" si="15"/>
        <v>"Bairro"</v>
      </c>
    </row>
    <row r="280" spans="1:57" ht="7.5" customHeight="1" x14ac:dyDescent="0.25">
      <c r="A280" s="39">
        <v>280</v>
      </c>
      <c r="B280" s="67" t="s">
        <v>1041</v>
      </c>
      <c r="C280" s="38" t="s">
        <v>655</v>
      </c>
      <c r="D280" s="18" t="s">
        <v>735</v>
      </c>
      <c r="E280" s="42" t="s">
        <v>807</v>
      </c>
      <c r="F280" s="18" t="s">
        <v>758</v>
      </c>
      <c r="G280" s="42" t="s">
        <v>867</v>
      </c>
      <c r="H280" s="18" t="s">
        <v>1000</v>
      </c>
      <c r="I280" s="42" t="s">
        <v>807</v>
      </c>
      <c r="J280" s="18" t="s">
        <v>735</v>
      </c>
      <c r="K280" s="42" t="s">
        <v>1011</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1821</v>
      </c>
      <c r="AY280" s="41" t="s">
        <v>1935</v>
      </c>
      <c r="AZ280" s="33" t="s">
        <v>1234</v>
      </c>
      <c r="BA280" s="41" t="s">
        <v>1935</v>
      </c>
      <c r="BB280" s="33" t="s">
        <v>1931</v>
      </c>
      <c r="BC280" s="41" t="s">
        <v>757</v>
      </c>
      <c r="BD280" s="33" t="s">
        <v>1932</v>
      </c>
      <c r="BE280" s="41" t="str">
        <f t="shared" si="15"/>
        <v>"Bairro"</v>
      </c>
    </row>
    <row r="281" spans="1:57" ht="7.5" customHeight="1" x14ac:dyDescent="0.25">
      <c r="A281" s="39">
        <v>281</v>
      </c>
      <c r="B281" s="67" t="s">
        <v>1042</v>
      </c>
      <c r="C281" s="38" t="s">
        <v>655</v>
      </c>
      <c r="D281" s="18" t="s">
        <v>735</v>
      </c>
      <c r="E281" s="42" t="s">
        <v>817</v>
      </c>
      <c r="F281" s="18" t="s">
        <v>758</v>
      </c>
      <c r="G281" s="42" t="s">
        <v>868</v>
      </c>
      <c r="H281" s="18" t="s">
        <v>1000</v>
      </c>
      <c r="I281" s="42" t="s">
        <v>817</v>
      </c>
      <c r="J281" s="18" t="s">
        <v>735</v>
      </c>
      <c r="K281" s="42" t="s">
        <v>1001</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1821</v>
      </c>
      <c r="AY281" s="41" t="s">
        <v>1935</v>
      </c>
      <c r="AZ281" s="33" t="s">
        <v>1234</v>
      </c>
      <c r="BA281" s="41" t="s">
        <v>1935</v>
      </c>
      <c r="BB281" s="33" t="s">
        <v>1931</v>
      </c>
      <c r="BC281" s="41" t="s">
        <v>757</v>
      </c>
      <c r="BD281" s="33" t="s">
        <v>1932</v>
      </c>
      <c r="BE281" s="41" t="str">
        <f t="shared" si="15"/>
        <v>"Bairro"</v>
      </c>
    </row>
    <row r="282" spans="1:57" ht="7.5" customHeight="1" x14ac:dyDescent="0.25">
      <c r="A282" s="39">
        <v>282</v>
      </c>
      <c r="B282" s="67" t="s">
        <v>1043</v>
      </c>
      <c r="C282" s="38" t="s">
        <v>655</v>
      </c>
      <c r="D282" s="18" t="s">
        <v>735</v>
      </c>
      <c r="E282" s="42" t="s">
        <v>795</v>
      </c>
      <c r="F282" s="18" t="s">
        <v>758</v>
      </c>
      <c r="G282" s="42" t="s">
        <v>869</v>
      </c>
      <c r="H282" s="18" t="s">
        <v>1000</v>
      </c>
      <c r="I282" s="42" t="s">
        <v>795</v>
      </c>
      <c r="J282" s="18" t="s">
        <v>735</v>
      </c>
      <c r="K282" s="42" t="s">
        <v>1001</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1821</v>
      </c>
      <c r="AY282" s="41" t="s">
        <v>1935</v>
      </c>
      <c r="AZ282" s="33" t="s">
        <v>1234</v>
      </c>
      <c r="BA282" s="41" t="s">
        <v>1935</v>
      </c>
      <c r="BB282" s="33" t="s">
        <v>1931</v>
      </c>
      <c r="BC282" s="41" t="s">
        <v>757</v>
      </c>
      <c r="BD282" s="33" t="s">
        <v>1932</v>
      </c>
      <c r="BE282" s="41" t="str">
        <f t="shared" si="15"/>
        <v>"Bairro"</v>
      </c>
    </row>
    <row r="283" spans="1:57" ht="7.5" customHeight="1" x14ac:dyDescent="0.25">
      <c r="A283" s="39">
        <v>283</v>
      </c>
      <c r="B283" s="67" t="s">
        <v>1044</v>
      </c>
      <c r="C283" s="38" t="s">
        <v>655</v>
      </c>
      <c r="D283" s="18" t="s">
        <v>735</v>
      </c>
      <c r="E283" s="42" t="s">
        <v>825</v>
      </c>
      <c r="F283" s="18" t="s">
        <v>758</v>
      </c>
      <c r="G283" s="42" t="s">
        <v>870</v>
      </c>
      <c r="H283" s="18" t="s">
        <v>1000</v>
      </c>
      <c r="I283" s="42" t="s">
        <v>825</v>
      </c>
      <c r="J283" s="18" t="s">
        <v>735</v>
      </c>
      <c r="K283" s="42" t="s">
        <v>1001</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1821</v>
      </c>
      <c r="AY283" s="41" t="s">
        <v>1935</v>
      </c>
      <c r="AZ283" s="33" t="s">
        <v>1234</v>
      </c>
      <c r="BA283" s="41" t="s">
        <v>1935</v>
      </c>
      <c r="BB283" s="33" t="s">
        <v>1931</v>
      </c>
      <c r="BC283" s="41" t="s">
        <v>757</v>
      </c>
      <c r="BD283" s="33" t="s">
        <v>1932</v>
      </c>
      <c r="BE283" s="41" t="str">
        <f t="shared" si="15"/>
        <v>"Bairro"</v>
      </c>
    </row>
    <row r="284" spans="1:57" ht="7.5" customHeight="1" x14ac:dyDescent="0.25">
      <c r="A284" s="39">
        <v>284</v>
      </c>
      <c r="B284" s="67" t="s">
        <v>1045</v>
      </c>
      <c r="C284" s="38" t="s">
        <v>655</v>
      </c>
      <c r="D284" s="18" t="s">
        <v>735</v>
      </c>
      <c r="E284" s="42" t="s">
        <v>777</v>
      </c>
      <c r="F284" s="18" t="s">
        <v>758</v>
      </c>
      <c r="G284" s="42" t="s">
        <v>871</v>
      </c>
      <c r="H284" s="18" t="s">
        <v>1000</v>
      </c>
      <c r="I284" s="42" t="s">
        <v>777</v>
      </c>
      <c r="J284" s="18" t="s">
        <v>735</v>
      </c>
      <c r="K284" s="42" t="s">
        <v>1024</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1821</v>
      </c>
      <c r="AY284" s="41" t="s">
        <v>1935</v>
      </c>
      <c r="AZ284" s="33" t="s">
        <v>1234</v>
      </c>
      <c r="BA284" s="41" t="s">
        <v>1935</v>
      </c>
      <c r="BB284" s="33" t="s">
        <v>1931</v>
      </c>
      <c r="BC284" s="41" t="s">
        <v>757</v>
      </c>
      <c r="BD284" s="33" t="s">
        <v>1932</v>
      </c>
      <c r="BE284" s="41" t="str">
        <f t="shared" si="15"/>
        <v>"Bairro"</v>
      </c>
    </row>
    <row r="285" spans="1:57" ht="7.5" customHeight="1" x14ac:dyDescent="0.25">
      <c r="A285" s="39">
        <v>285</v>
      </c>
      <c r="B285" s="67" t="s">
        <v>1046</v>
      </c>
      <c r="C285" s="38" t="s">
        <v>655</v>
      </c>
      <c r="D285" s="18" t="s">
        <v>735</v>
      </c>
      <c r="E285" s="42" t="s">
        <v>829</v>
      </c>
      <c r="F285" s="18" t="s">
        <v>758</v>
      </c>
      <c r="G285" s="42" t="s">
        <v>872</v>
      </c>
      <c r="H285" s="18" t="s">
        <v>1000</v>
      </c>
      <c r="I285" s="42" t="s">
        <v>829</v>
      </c>
      <c r="J285" s="18" t="s">
        <v>735</v>
      </c>
      <c r="K285" s="42" t="s">
        <v>1001</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1821</v>
      </c>
      <c r="AY285" s="41" t="s">
        <v>1935</v>
      </c>
      <c r="AZ285" s="33" t="s">
        <v>1234</v>
      </c>
      <c r="BA285" s="41" t="s">
        <v>1935</v>
      </c>
      <c r="BB285" s="33" t="s">
        <v>1931</v>
      </c>
      <c r="BC285" s="41" t="s">
        <v>757</v>
      </c>
      <c r="BD285" s="33" t="s">
        <v>1932</v>
      </c>
      <c r="BE285" s="41" t="str">
        <f t="shared" si="15"/>
        <v>"Bairro"</v>
      </c>
    </row>
    <row r="286" spans="1:57" ht="7.5" customHeight="1" x14ac:dyDescent="0.25">
      <c r="A286" s="39">
        <v>286</v>
      </c>
      <c r="B286" s="67" t="s">
        <v>1047</v>
      </c>
      <c r="C286" s="38" t="s">
        <v>655</v>
      </c>
      <c r="D286" s="18" t="s">
        <v>735</v>
      </c>
      <c r="E286" s="42" t="s">
        <v>775</v>
      </c>
      <c r="F286" s="18" t="s">
        <v>758</v>
      </c>
      <c r="G286" s="42" t="s">
        <v>873</v>
      </c>
      <c r="H286" s="18" t="s">
        <v>1000</v>
      </c>
      <c r="I286" s="42" t="s">
        <v>775</v>
      </c>
      <c r="J286" s="18" t="s">
        <v>735</v>
      </c>
      <c r="K286" s="42" t="s">
        <v>1024</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1821</v>
      </c>
      <c r="AY286" s="41" t="s">
        <v>1935</v>
      </c>
      <c r="AZ286" s="33" t="s">
        <v>1234</v>
      </c>
      <c r="BA286" s="41" t="s">
        <v>1935</v>
      </c>
      <c r="BB286" s="33" t="s">
        <v>1931</v>
      </c>
      <c r="BC286" s="41" t="s">
        <v>757</v>
      </c>
      <c r="BD286" s="33" t="s">
        <v>1932</v>
      </c>
      <c r="BE286" s="41" t="str">
        <f t="shared" si="15"/>
        <v>"Bairro"</v>
      </c>
    </row>
    <row r="287" spans="1:57" ht="7.5" customHeight="1" x14ac:dyDescent="0.25">
      <c r="A287" s="39">
        <v>287</v>
      </c>
      <c r="B287" s="67" t="s">
        <v>1048</v>
      </c>
      <c r="C287" s="38" t="s">
        <v>655</v>
      </c>
      <c r="D287" s="18" t="s">
        <v>735</v>
      </c>
      <c r="E287" s="42" t="s">
        <v>803</v>
      </c>
      <c r="F287" s="18" t="s">
        <v>758</v>
      </c>
      <c r="G287" s="42" t="s">
        <v>874</v>
      </c>
      <c r="H287" s="18" t="s">
        <v>1000</v>
      </c>
      <c r="I287" s="42" t="s">
        <v>803</v>
      </c>
      <c r="J287" s="18" t="s">
        <v>735</v>
      </c>
      <c r="K287" s="42" t="s">
        <v>1017</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1821</v>
      </c>
      <c r="AY287" s="41" t="s">
        <v>1935</v>
      </c>
      <c r="AZ287" s="33" t="s">
        <v>1234</v>
      </c>
      <c r="BA287" s="41" t="s">
        <v>1935</v>
      </c>
      <c r="BB287" s="33" t="s">
        <v>1931</v>
      </c>
      <c r="BC287" s="41" t="s">
        <v>757</v>
      </c>
      <c r="BD287" s="33" t="s">
        <v>1932</v>
      </c>
      <c r="BE287" s="41" t="str">
        <f t="shared" si="15"/>
        <v>"Bairro"</v>
      </c>
    </row>
    <row r="288" spans="1:57" ht="7.5" customHeight="1" x14ac:dyDescent="0.25">
      <c r="A288" s="39">
        <v>288</v>
      </c>
      <c r="B288" s="67" t="s">
        <v>1049</v>
      </c>
      <c r="C288" s="38" t="s">
        <v>655</v>
      </c>
      <c r="D288" s="18" t="s">
        <v>735</v>
      </c>
      <c r="E288" s="42" t="s">
        <v>817</v>
      </c>
      <c r="F288" s="18" t="s">
        <v>758</v>
      </c>
      <c r="G288" s="42" t="s">
        <v>875</v>
      </c>
      <c r="H288" s="18" t="s">
        <v>1000</v>
      </c>
      <c r="I288" s="42" t="s">
        <v>817</v>
      </c>
      <c r="J288" s="18" t="s">
        <v>735</v>
      </c>
      <c r="K288" s="42" t="s">
        <v>1001</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1821</v>
      </c>
      <c r="AY288" s="41" t="s">
        <v>1935</v>
      </c>
      <c r="AZ288" s="33" t="s">
        <v>1234</v>
      </c>
      <c r="BA288" s="41" t="s">
        <v>1935</v>
      </c>
      <c r="BB288" s="33" t="s">
        <v>1931</v>
      </c>
      <c r="BC288" s="41" t="s">
        <v>757</v>
      </c>
      <c r="BD288" s="33" t="s">
        <v>1932</v>
      </c>
      <c r="BE288" s="41" t="str">
        <f t="shared" si="15"/>
        <v>"Bairro"</v>
      </c>
    </row>
    <row r="289" spans="1:57" ht="7.5" customHeight="1" x14ac:dyDescent="0.25">
      <c r="A289" s="39">
        <v>289</v>
      </c>
      <c r="B289" s="67" t="s">
        <v>1050</v>
      </c>
      <c r="C289" s="38" t="s">
        <v>655</v>
      </c>
      <c r="D289" s="18" t="s">
        <v>735</v>
      </c>
      <c r="E289" s="42" t="s">
        <v>799</v>
      </c>
      <c r="F289" s="18" t="s">
        <v>758</v>
      </c>
      <c r="G289" s="42" t="s">
        <v>876</v>
      </c>
      <c r="H289" s="18" t="s">
        <v>1000</v>
      </c>
      <c r="I289" s="42" t="s">
        <v>799</v>
      </c>
      <c r="J289" s="18" t="s">
        <v>735</v>
      </c>
      <c r="K289" s="42" t="s">
        <v>1009</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1821</v>
      </c>
      <c r="AY289" s="41" t="s">
        <v>1935</v>
      </c>
      <c r="AZ289" s="33" t="s">
        <v>1234</v>
      </c>
      <c r="BA289" s="41" t="s">
        <v>1935</v>
      </c>
      <c r="BB289" s="33" t="s">
        <v>1931</v>
      </c>
      <c r="BC289" s="41" t="s">
        <v>757</v>
      </c>
      <c r="BD289" s="33" t="s">
        <v>1932</v>
      </c>
      <c r="BE289" s="41" t="str">
        <f t="shared" si="15"/>
        <v>"Bairro"</v>
      </c>
    </row>
    <row r="290" spans="1:57" ht="7.5" customHeight="1" x14ac:dyDescent="0.25">
      <c r="A290" s="39">
        <v>290</v>
      </c>
      <c r="B290" s="67" t="s">
        <v>1051</v>
      </c>
      <c r="C290" s="38" t="s">
        <v>655</v>
      </c>
      <c r="D290" s="18" t="s">
        <v>735</v>
      </c>
      <c r="E290" s="42" t="s">
        <v>791</v>
      </c>
      <c r="F290" s="18" t="s">
        <v>758</v>
      </c>
      <c r="G290" s="42" t="s">
        <v>877</v>
      </c>
      <c r="H290" s="18" t="s">
        <v>1000</v>
      </c>
      <c r="I290" s="42" t="s">
        <v>791</v>
      </c>
      <c r="J290" s="18" t="s">
        <v>735</v>
      </c>
      <c r="K290" s="42" t="s">
        <v>1001</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1821</v>
      </c>
      <c r="AY290" s="41" t="s">
        <v>1935</v>
      </c>
      <c r="AZ290" s="33" t="s">
        <v>1234</v>
      </c>
      <c r="BA290" s="41" t="s">
        <v>1935</v>
      </c>
      <c r="BB290" s="33" t="s">
        <v>1931</v>
      </c>
      <c r="BC290" s="41" t="s">
        <v>757</v>
      </c>
      <c r="BD290" s="33" t="s">
        <v>1932</v>
      </c>
      <c r="BE290" s="41" t="str">
        <f t="shared" si="15"/>
        <v>"Bairro"</v>
      </c>
    </row>
    <row r="291" spans="1:57" ht="7.5" customHeight="1" x14ac:dyDescent="0.25">
      <c r="A291" s="39">
        <v>291</v>
      </c>
      <c r="B291" s="67" t="s">
        <v>1052</v>
      </c>
      <c r="C291" s="38" t="s">
        <v>655</v>
      </c>
      <c r="D291" s="18" t="s">
        <v>735</v>
      </c>
      <c r="E291" s="42" t="s">
        <v>831</v>
      </c>
      <c r="F291" s="18" t="s">
        <v>758</v>
      </c>
      <c r="G291" s="42" t="s">
        <v>878</v>
      </c>
      <c r="H291" s="18" t="s">
        <v>1000</v>
      </c>
      <c r="I291" s="42" t="s">
        <v>831</v>
      </c>
      <c r="J291" s="18" t="s">
        <v>735</v>
      </c>
      <c r="K291" s="42" t="s">
        <v>1013</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1821</v>
      </c>
      <c r="AY291" s="41" t="s">
        <v>1935</v>
      </c>
      <c r="AZ291" s="33" t="s">
        <v>1234</v>
      </c>
      <c r="BA291" s="41" t="s">
        <v>1935</v>
      </c>
      <c r="BB291" s="33" t="s">
        <v>1931</v>
      </c>
      <c r="BC291" s="41" t="s">
        <v>757</v>
      </c>
      <c r="BD291" s="33" t="s">
        <v>1932</v>
      </c>
      <c r="BE291" s="41" t="str">
        <f t="shared" si="15"/>
        <v>"Bairro"</v>
      </c>
    </row>
    <row r="292" spans="1:57" ht="7.5" customHeight="1" x14ac:dyDescent="0.25">
      <c r="A292" s="39">
        <v>292</v>
      </c>
      <c r="B292" s="67" t="s">
        <v>1053</v>
      </c>
      <c r="C292" s="38" t="s">
        <v>655</v>
      </c>
      <c r="D292" s="18" t="s">
        <v>735</v>
      </c>
      <c r="E292" s="42" t="s">
        <v>793</v>
      </c>
      <c r="F292" s="18" t="s">
        <v>758</v>
      </c>
      <c r="G292" s="42" t="s">
        <v>879</v>
      </c>
      <c r="H292" s="18" t="s">
        <v>1000</v>
      </c>
      <c r="I292" s="42" t="s">
        <v>793</v>
      </c>
      <c r="J292" s="18" t="s">
        <v>735</v>
      </c>
      <c r="K292" s="42" t="s">
        <v>1001</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1821</v>
      </c>
      <c r="AY292" s="41" t="s">
        <v>1935</v>
      </c>
      <c r="AZ292" s="33" t="s">
        <v>1234</v>
      </c>
      <c r="BA292" s="41" t="s">
        <v>1935</v>
      </c>
      <c r="BB292" s="33" t="s">
        <v>1931</v>
      </c>
      <c r="BC292" s="41" t="s">
        <v>757</v>
      </c>
      <c r="BD292" s="33" t="s">
        <v>1932</v>
      </c>
      <c r="BE292" s="41" t="str">
        <f t="shared" si="15"/>
        <v>"Bairro"</v>
      </c>
    </row>
    <row r="293" spans="1:57" ht="7.5" customHeight="1" x14ac:dyDescent="0.25">
      <c r="A293" s="39">
        <v>293</v>
      </c>
      <c r="B293" s="67" t="s">
        <v>1054</v>
      </c>
      <c r="C293" s="38" t="s">
        <v>655</v>
      </c>
      <c r="D293" s="18" t="s">
        <v>735</v>
      </c>
      <c r="E293" s="42" t="s">
        <v>797</v>
      </c>
      <c r="F293" s="18" t="s">
        <v>758</v>
      </c>
      <c r="G293" s="42" t="s">
        <v>880</v>
      </c>
      <c r="H293" s="18" t="s">
        <v>1000</v>
      </c>
      <c r="I293" s="42" t="s">
        <v>797</v>
      </c>
      <c r="J293" s="18" t="s">
        <v>735</v>
      </c>
      <c r="K293" s="42" t="s">
        <v>1001</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1821</v>
      </c>
      <c r="AY293" s="41" t="s">
        <v>1935</v>
      </c>
      <c r="AZ293" s="33" t="s">
        <v>1234</v>
      </c>
      <c r="BA293" s="41" t="s">
        <v>1935</v>
      </c>
      <c r="BB293" s="33" t="s">
        <v>1931</v>
      </c>
      <c r="BC293" s="41" t="s">
        <v>757</v>
      </c>
      <c r="BD293" s="33" t="s">
        <v>1932</v>
      </c>
      <c r="BE293" s="41" t="str">
        <f t="shared" si="15"/>
        <v>"Bairro"</v>
      </c>
    </row>
    <row r="294" spans="1:57" ht="7.5" customHeight="1" x14ac:dyDescent="0.25">
      <c r="A294" s="39">
        <v>294</v>
      </c>
      <c r="B294" s="67" t="s">
        <v>1055</v>
      </c>
      <c r="C294" s="38" t="s">
        <v>655</v>
      </c>
      <c r="D294" s="18" t="s">
        <v>735</v>
      </c>
      <c r="E294" s="42" t="s">
        <v>791</v>
      </c>
      <c r="F294" s="18" t="s">
        <v>758</v>
      </c>
      <c r="G294" s="42" t="s">
        <v>881</v>
      </c>
      <c r="H294" s="18" t="s">
        <v>1000</v>
      </c>
      <c r="I294" s="42" t="s">
        <v>791</v>
      </c>
      <c r="J294" s="18" t="s">
        <v>735</v>
      </c>
      <c r="K294" s="42" t="s">
        <v>1001</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1821</v>
      </c>
      <c r="AY294" s="41" t="s">
        <v>1935</v>
      </c>
      <c r="AZ294" s="33" t="s">
        <v>1234</v>
      </c>
      <c r="BA294" s="41" t="s">
        <v>1935</v>
      </c>
      <c r="BB294" s="33" t="s">
        <v>1931</v>
      </c>
      <c r="BC294" s="41" t="s">
        <v>757</v>
      </c>
      <c r="BD294" s="33" t="s">
        <v>1932</v>
      </c>
      <c r="BE294" s="41" t="str">
        <f t="shared" si="15"/>
        <v>"Bairro"</v>
      </c>
    </row>
    <row r="295" spans="1:57" ht="7.5" customHeight="1" x14ac:dyDescent="0.25">
      <c r="A295" s="39">
        <v>295</v>
      </c>
      <c r="B295" s="67" t="s">
        <v>1056</v>
      </c>
      <c r="C295" s="38" t="s">
        <v>655</v>
      </c>
      <c r="D295" s="18" t="s">
        <v>735</v>
      </c>
      <c r="E295" s="42" t="s">
        <v>793</v>
      </c>
      <c r="F295" s="18" t="s">
        <v>758</v>
      </c>
      <c r="G295" s="42" t="s">
        <v>882</v>
      </c>
      <c r="H295" s="18" t="s">
        <v>1000</v>
      </c>
      <c r="I295" s="42" t="s">
        <v>793</v>
      </c>
      <c r="J295" s="18" t="s">
        <v>735</v>
      </c>
      <c r="K295" s="42" t="s">
        <v>1001</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1821</v>
      </c>
      <c r="AY295" s="41" t="s">
        <v>1935</v>
      </c>
      <c r="AZ295" s="33" t="s">
        <v>1234</v>
      </c>
      <c r="BA295" s="41" t="s">
        <v>1935</v>
      </c>
      <c r="BB295" s="33" t="s">
        <v>1931</v>
      </c>
      <c r="BC295" s="41" t="s">
        <v>757</v>
      </c>
      <c r="BD295" s="33" t="s">
        <v>1932</v>
      </c>
      <c r="BE295" s="41" t="str">
        <f t="shared" si="15"/>
        <v>"Bairro"</v>
      </c>
    </row>
    <row r="296" spans="1:57" ht="7.5" customHeight="1" x14ac:dyDescent="0.25">
      <c r="A296" s="39">
        <v>296</v>
      </c>
      <c r="B296" s="67" t="s">
        <v>1057</v>
      </c>
      <c r="C296" s="38" t="s">
        <v>655</v>
      </c>
      <c r="D296" s="18" t="s">
        <v>735</v>
      </c>
      <c r="E296" s="42" t="s">
        <v>793</v>
      </c>
      <c r="F296" s="18" t="s">
        <v>758</v>
      </c>
      <c r="G296" s="42" t="s">
        <v>883</v>
      </c>
      <c r="H296" s="18" t="s">
        <v>1000</v>
      </c>
      <c r="I296" s="42" t="s">
        <v>793</v>
      </c>
      <c r="J296" s="18" t="s">
        <v>735</v>
      </c>
      <c r="K296" s="42" t="s">
        <v>1001</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1821</v>
      </c>
      <c r="AY296" s="41" t="s">
        <v>1935</v>
      </c>
      <c r="AZ296" s="33" t="s">
        <v>1234</v>
      </c>
      <c r="BA296" s="41" t="s">
        <v>1935</v>
      </c>
      <c r="BB296" s="33" t="s">
        <v>1931</v>
      </c>
      <c r="BC296" s="41" t="s">
        <v>757</v>
      </c>
      <c r="BD296" s="33" t="s">
        <v>1932</v>
      </c>
      <c r="BE296" s="41" t="str">
        <f t="shared" si="15"/>
        <v>"Bairro"</v>
      </c>
    </row>
    <row r="297" spans="1:57" ht="7.5" customHeight="1" x14ac:dyDescent="0.25">
      <c r="A297" s="39">
        <v>297</v>
      </c>
      <c r="B297" s="67" t="s">
        <v>1058</v>
      </c>
      <c r="C297" s="38" t="s">
        <v>655</v>
      </c>
      <c r="D297" s="18" t="s">
        <v>735</v>
      </c>
      <c r="E297" s="42" t="s">
        <v>773</v>
      </c>
      <c r="F297" s="18" t="s">
        <v>758</v>
      </c>
      <c r="G297" s="42" t="s">
        <v>884</v>
      </c>
      <c r="H297" s="18" t="s">
        <v>1000</v>
      </c>
      <c r="I297" s="42" t="s">
        <v>773</v>
      </c>
      <c r="J297" s="18" t="s">
        <v>735</v>
      </c>
      <c r="K297" s="42" t="s">
        <v>1020</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1821</v>
      </c>
      <c r="AY297" s="41" t="s">
        <v>1935</v>
      </c>
      <c r="AZ297" s="33" t="s">
        <v>1234</v>
      </c>
      <c r="BA297" s="41" t="s">
        <v>1935</v>
      </c>
      <c r="BB297" s="33" t="s">
        <v>1931</v>
      </c>
      <c r="BC297" s="41" t="s">
        <v>757</v>
      </c>
      <c r="BD297" s="33" t="s">
        <v>1932</v>
      </c>
      <c r="BE297" s="41" t="str">
        <f t="shared" si="15"/>
        <v>"Bairro"</v>
      </c>
    </row>
    <row r="298" spans="1:57" ht="7.5" customHeight="1" x14ac:dyDescent="0.25">
      <c r="A298" s="39">
        <v>298</v>
      </c>
      <c r="B298" s="67" t="s">
        <v>1059</v>
      </c>
      <c r="C298" s="38" t="s">
        <v>655</v>
      </c>
      <c r="D298" s="18" t="s">
        <v>735</v>
      </c>
      <c r="E298" s="42" t="s">
        <v>775</v>
      </c>
      <c r="F298" s="18" t="s">
        <v>758</v>
      </c>
      <c r="G298" s="42" t="s">
        <v>885</v>
      </c>
      <c r="H298" s="18" t="s">
        <v>1000</v>
      </c>
      <c r="I298" s="42" t="s">
        <v>775</v>
      </c>
      <c r="J298" s="18" t="s">
        <v>735</v>
      </c>
      <c r="K298" s="42" t="s">
        <v>1024</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1821</v>
      </c>
      <c r="AY298" s="41" t="s">
        <v>1935</v>
      </c>
      <c r="AZ298" s="33" t="s">
        <v>1234</v>
      </c>
      <c r="BA298" s="41" t="s">
        <v>1935</v>
      </c>
      <c r="BB298" s="33" t="s">
        <v>1931</v>
      </c>
      <c r="BC298" s="41" t="s">
        <v>757</v>
      </c>
      <c r="BD298" s="33" t="s">
        <v>1932</v>
      </c>
      <c r="BE298" s="41" t="str">
        <f t="shared" si="15"/>
        <v>"Bairro"</v>
      </c>
    </row>
    <row r="299" spans="1:57" ht="7.5" customHeight="1" x14ac:dyDescent="0.25">
      <c r="A299" s="39">
        <v>299</v>
      </c>
      <c r="B299" s="67" t="s">
        <v>1060</v>
      </c>
      <c r="C299" s="38" t="s">
        <v>655</v>
      </c>
      <c r="D299" s="18" t="s">
        <v>735</v>
      </c>
      <c r="E299" s="42" t="s">
        <v>807</v>
      </c>
      <c r="F299" s="18" t="s">
        <v>758</v>
      </c>
      <c r="G299" s="42" t="s">
        <v>886</v>
      </c>
      <c r="H299" s="18" t="s">
        <v>1000</v>
      </c>
      <c r="I299" s="42" t="s">
        <v>807</v>
      </c>
      <c r="J299" s="18" t="s">
        <v>735</v>
      </c>
      <c r="K299" s="42" t="s">
        <v>1011</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1821</v>
      </c>
      <c r="AY299" s="41" t="s">
        <v>1935</v>
      </c>
      <c r="AZ299" s="33" t="s">
        <v>1234</v>
      </c>
      <c r="BA299" s="41" t="s">
        <v>1935</v>
      </c>
      <c r="BB299" s="33" t="s">
        <v>1931</v>
      </c>
      <c r="BC299" s="41" t="s">
        <v>757</v>
      </c>
      <c r="BD299" s="33" t="s">
        <v>1932</v>
      </c>
      <c r="BE299" s="41" t="str">
        <f t="shared" si="15"/>
        <v>"Bairro"</v>
      </c>
    </row>
    <row r="300" spans="1:57" ht="7.5" customHeight="1" x14ac:dyDescent="0.25">
      <c r="A300" s="39">
        <v>300</v>
      </c>
      <c r="B300" s="67" t="s">
        <v>1061</v>
      </c>
      <c r="C300" s="38" t="s">
        <v>655</v>
      </c>
      <c r="D300" s="18" t="s">
        <v>735</v>
      </c>
      <c r="E300" s="42" t="s">
        <v>799</v>
      </c>
      <c r="F300" s="18" t="s">
        <v>758</v>
      </c>
      <c r="G300" s="42" t="s">
        <v>887</v>
      </c>
      <c r="H300" s="18" t="s">
        <v>1000</v>
      </c>
      <c r="I300" s="42" t="s">
        <v>799</v>
      </c>
      <c r="J300" s="18" t="s">
        <v>735</v>
      </c>
      <c r="K300" s="42" t="s">
        <v>1009</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1821</v>
      </c>
      <c r="AY300" s="41" t="s">
        <v>1935</v>
      </c>
      <c r="AZ300" s="33" t="s">
        <v>1234</v>
      </c>
      <c r="BA300" s="41" t="s">
        <v>1935</v>
      </c>
      <c r="BB300" s="33" t="s">
        <v>1931</v>
      </c>
      <c r="BC300" s="41" t="s">
        <v>757</v>
      </c>
      <c r="BD300" s="33" t="s">
        <v>1932</v>
      </c>
      <c r="BE300" s="41" t="str">
        <f t="shared" si="15"/>
        <v>"Bairro"</v>
      </c>
    </row>
    <row r="301" spans="1:57" ht="7.5" customHeight="1" x14ac:dyDescent="0.25">
      <c r="A301" s="39">
        <v>301</v>
      </c>
      <c r="B301" s="67" t="s">
        <v>1062</v>
      </c>
      <c r="C301" s="38" t="s">
        <v>655</v>
      </c>
      <c r="D301" s="18" t="s">
        <v>735</v>
      </c>
      <c r="E301" s="42" t="s">
        <v>807</v>
      </c>
      <c r="F301" s="18" t="s">
        <v>758</v>
      </c>
      <c r="G301" s="42" t="s">
        <v>888</v>
      </c>
      <c r="H301" s="18" t="s">
        <v>1000</v>
      </c>
      <c r="I301" s="42" t="s">
        <v>807</v>
      </c>
      <c r="J301" s="18" t="s">
        <v>735</v>
      </c>
      <c r="K301" s="42" t="s">
        <v>1011</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1821</v>
      </c>
      <c r="AY301" s="41" t="s">
        <v>1935</v>
      </c>
      <c r="AZ301" s="33" t="s">
        <v>1234</v>
      </c>
      <c r="BA301" s="41" t="s">
        <v>1935</v>
      </c>
      <c r="BB301" s="33" t="s">
        <v>1931</v>
      </c>
      <c r="BC301" s="41" t="s">
        <v>757</v>
      </c>
      <c r="BD301" s="33" t="s">
        <v>1932</v>
      </c>
      <c r="BE301" s="41" t="str">
        <f t="shared" si="15"/>
        <v>"Bairro"</v>
      </c>
    </row>
    <row r="302" spans="1:57" ht="7.5" customHeight="1" x14ac:dyDescent="0.25">
      <c r="A302" s="39">
        <v>302</v>
      </c>
      <c r="B302" s="67" t="s">
        <v>1063</v>
      </c>
      <c r="C302" s="38" t="s">
        <v>655</v>
      </c>
      <c r="D302" s="18" t="s">
        <v>735</v>
      </c>
      <c r="E302" s="42" t="s">
        <v>769</v>
      </c>
      <c r="F302" s="18" t="s">
        <v>758</v>
      </c>
      <c r="G302" s="42" t="s">
        <v>889</v>
      </c>
      <c r="H302" s="18" t="s">
        <v>1000</v>
      </c>
      <c r="I302" s="42" t="s">
        <v>769</v>
      </c>
      <c r="J302" s="18" t="s">
        <v>735</v>
      </c>
      <c r="K302" s="42" t="s">
        <v>1020</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1821</v>
      </c>
      <c r="AY302" s="41" t="s">
        <v>1935</v>
      </c>
      <c r="AZ302" s="33" t="s">
        <v>1234</v>
      </c>
      <c r="BA302" s="41" t="s">
        <v>1935</v>
      </c>
      <c r="BB302" s="33" t="s">
        <v>1931</v>
      </c>
      <c r="BC302" s="41" t="s">
        <v>757</v>
      </c>
      <c r="BD302" s="33" t="s">
        <v>1932</v>
      </c>
      <c r="BE302" s="41" t="str">
        <f t="shared" si="15"/>
        <v>"Bairro"</v>
      </c>
    </row>
    <row r="303" spans="1:57" ht="7.5" customHeight="1" x14ac:dyDescent="0.25">
      <c r="A303" s="39">
        <v>303</v>
      </c>
      <c r="B303" s="67" t="s">
        <v>1064</v>
      </c>
      <c r="C303" s="38" t="s">
        <v>655</v>
      </c>
      <c r="D303" s="18" t="s">
        <v>735</v>
      </c>
      <c r="E303" s="42" t="s">
        <v>799</v>
      </c>
      <c r="F303" s="18" t="s">
        <v>758</v>
      </c>
      <c r="G303" s="42" t="s">
        <v>890</v>
      </c>
      <c r="H303" s="18" t="s">
        <v>1000</v>
      </c>
      <c r="I303" s="42" t="s">
        <v>799</v>
      </c>
      <c r="J303" s="18" t="s">
        <v>735</v>
      </c>
      <c r="K303" s="42" t="s">
        <v>1009</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1821</v>
      </c>
      <c r="AY303" s="41" t="s">
        <v>1935</v>
      </c>
      <c r="AZ303" s="33" t="s">
        <v>1234</v>
      </c>
      <c r="BA303" s="41" t="s">
        <v>1935</v>
      </c>
      <c r="BB303" s="33" t="s">
        <v>1931</v>
      </c>
      <c r="BC303" s="41" t="s">
        <v>757</v>
      </c>
      <c r="BD303" s="33" t="s">
        <v>1932</v>
      </c>
      <c r="BE303" s="41" t="str">
        <f t="shared" si="15"/>
        <v>"Bairro"</v>
      </c>
    </row>
    <row r="304" spans="1:57" ht="7.5" customHeight="1" x14ac:dyDescent="0.25">
      <c r="A304" s="39">
        <v>304</v>
      </c>
      <c r="B304" s="67" t="s">
        <v>1065</v>
      </c>
      <c r="C304" s="38" t="s">
        <v>655</v>
      </c>
      <c r="D304" s="18" t="s">
        <v>735</v>
      </c>
      <c r="E304" s="42" t="s">
        <v>779</v>
      </c>
      <c r="F304" s="18" t="s">
        <v>758</v>
      </c>
      <c r="G304" s="42" t="s">
        <v>891</v>
      </c>
      <c r="H304" s="18" t="s">
        <v>1000</v>
      </c>
      <c r="I304" s="42" t="s">
        <v>779</v>
      </c>
      <c r="J304" s="18" t="s">
        <v>735</v>
      </c>
      <c r="K304" s="42" t="s">
        <v>1024</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1821</v>
      </c>
      <c r="AY304" s="41" t="s">
        <v>1935</v>
      </c>
      <c r="AZ304" s="33" t="s">
        <v>1234</v>
      </c>
      <c r="BA304" s="41" t="s">
        <v>1935</v>
      </c>
      <c r="BB304" s="33" t="s">
        <v>1931</v>
      </c>
      <c r="BC304" s="41" t="s">
        <v>757</v>
      </c>
      <c r="BD304" s="33" t="s">
        <v>1932</v>
      </c>
      <c r="BE304" s="41" t="str">
        <f t="shared" si="15"/>
        <v>"Bairro"</v>
      </c>
    </row>
    <row r="305" spans="1:57" ht="7.5" customHeight="1" x14ac:dyDescent="0.25">
      <c r="A305" s="39">
        <v>305</v>
      </c>
      <c r="B305" s="67" t="s">
        <v>1066</v>
      </c>
      <c r="C305" s="38" t="s">
        <v>655</v>
      </c>
      <c r="D305" s="18" t="s">
        <v>735</v>
      </c>
      <c r="E305" s="42" t="s">
        <v>801</v>
      </c>
      <c r="F305" s="18" t="s">
        <v>758</v>
      </c>
      <c r="G305" s="42" t="s">
        <v>892</v>
      </c>
      <c r="H305" s="18" t="s">
        <v>1000</v>
      </c>
      <c r="I305" s="42" t="s">
        <v>801</v>
      </c>
      <c r="J305" s="18" t="s">
        <v>735</v>
      </c>
      <c r="K305" s="42" t="s">
        <v>1013</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1821</v>
      </c>
      <c r="AY305" s="41" t="s">
        <v>1935</v>
      </c>
      <c r="AZ305" s="33" t="s">
        <v>1234</v>
      </c>
      <c r="BA305" s="41" t="s">
        <v>1935</v>
      </c>
      <c r="BB305" s="33" t="s">
        <v>1931</v>
      </c>
      <c r="BC305" s="41" t="s">
        <v>757</v>
      </c>
      <c r="BD305" s="33" t="s">
        <v>1932</v>
      </c>
      <c r="BE305" s="41" t="str">
        <f t="shared" si="15"/>
        <v>"Bairro"</v>
      </c>
    </row>
    <row r="306" spans="1:57" ht="7.5" customHeight="1" x14ac:dyDescent="0.25">
      <c r="A306" s="39">
        <v>306</v>
      </c>
      <c r="B306" s="67" t="s">
        <v>1067</v>
      </c>
      <c r="C306" s="38" t="s">
        <v>655</v>
      </c>
      <c r="D306" s="18" t="s">
        <v>735</v>
      </c>
      <c r="E306" s="42" t="s">
        <v>775</v>
      </c>
      <c r="F306" s="18" t="s">
        <v>758</v>
      </c>
      <c r="G306" s="42" t="s">
        <v>893</v>
      </c>
      <c r="H306" s="18" t="s">
        <v>1000</v>
      </c>
      <c r="I306" s="42" t="s">
        <v>775</v>
      </c>
      <c r="J306" s="18" t="s">
        <v>735</v>
      </c>
      <c r="K306" s="42" t="s">
        <v>1020</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1821</v>
      </c>
      <c r="AY306" s="41" t="s">
        <v>1935</v>
      </c>
      <c r="AZ306" s="33" t="s">
        <v>1234</v>
      </c>
      <c r="BA306" s="41" t="s">
        <v>1935</v>
      </c>
      <c r="BB306" s="33" t="s">
        <v>1931</v>
      </c>
      <c r="BC306" s="41" t="s">
        <v>757</v>
      </c>
      <c r="BD306" s="33" t="s">
        <v>1932</v>
      </c>
      <c r="BE306" s="41" t="str">
        <f t="shared" si="15"/>
        <v>"Bairro"</v>
      </c>
    </row>
    <row r="307" spans="1:57" ht="7.5" customHeight="1" x14ac:dyDescent="0.25">
      <c r="A307" s="39">
        <v>307</v>
      </c>
      <c r="B307" s="67" t="s">
        <v>1068</v>
      </c>
      <c r="C307" s="38" t="s">
        <v>655</v>
      </c>
      <c r="D307" s="18" t="s">
        <v>735</v>
      </c>
      <c r="E307" s="42" t="s">
        <v>785</v>
      </c>
      <c r="F307" s="18" t="s">
        <v>758</v>
      </c>
      <c r="G307" s="42" t="s">
        <v>894</v>
      </c>
      <c r="H307" s="18" t="s">
        <v>1000</v>
      </c>
      <c r="I307" s="42" t="s">
        <v>785</v>
      </c>
      <c r="J307" s="18" t="s">
        <v>735</v>
      </c>
      <c r="K307" s="42" t="s">
        <v>1005</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1821</v>
      </c>
      <c r="AY307" s="41" t="s">
        <v>1935</v>
      </c>
      <c r="AZ307" s="33" t="s">
        <v>1234</v>
      </c>
      <c r="BA307" s="41" t="s">
        <v>1935</v>
      </c>
      <c r="BB307" s="33" t="s">
        <v>1931</v>
      </c>
      <c r="BC307" s="41" t="s">
        <v>757</v>
      </c>
      <c r="BD307" s="33" t="s">
        <v>1932</v>
      </c>
      <c r="BE307" s="41" t="str">
        <f t="shared" ref="BE307:BE370" si="17">_xlfn.CONCAT("""",C307,"""")</f>
        <v>"Bairro"</v>
      </c>
    </row>
    <row r="308" spans="1:57" ht="7.5" customHeight="1" x14ac:dyDescent="0.25">
      <c r="A308" s="39">
        <v>308</v>
      </c>
      <c r="B308" s="67" t="s">
        <v>1069</v>
      </c>
      <c r="C308" s="38" t="s">
        <v>655</v>
      </c>
      <c r="D308" s="18" t="s">
        <v>735</v>
      </c>
      <c r="E308" s="42" t="s">
        <v>815</v>
      </c>
      <c r="F308" s="18" t="s">
        <v>758</v>
      </c>
      <c r="G308" s="42" t="s">
        <v>895</v>
      </c>
      <c r="H308" s="18" t="s">
        <v>1000</v>
      </c>
      <c r="I308" s="42" t="s">
        <v>815</v>
      </c>
      <c r="J308" s="18" t="s">
        <v>735</v>
      </c>
      <c r="K308" s="42" t="s">
        <v>1015</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1821</v>
      </c>
      <c r="AY308" s="41" t="s">
        <v>1935</v>
      </c>
      <c r="AZ308" s="33" t="s">
        <v>1234</v>
      </c>
      <c r="BA308" s="41" t="s">
        <v>1935</v>
      </c>
      <c r="BB308" s="33" t="s">
        <v>1931</v>
      </c>
      <c r="BC308" s="41" t="s">
        <v>757</v>
      </c>
      <c r="BD308" s="33" t="s">
        <v>1932</v>
      </c>
      <c r="BE308" s="41" t="str">
        <f t="shared" si="17"/>
        <v>"Bairro"</v>
      </c>
    </row>
    <row r="309" spans="1:57" ht="7.5" customHeight="1" x14ac:dyDescent="0.25">
      <c r="A309" s="39">
        <v>309</v>
      </c>
      <c r="B309" s="67" t="s">
        <v>1070</v>
      </c>
      <c r="C309" s="38" t="s">
        <v>655</v>
      </c>
      <c r="D309" s="18" t="s">
        <v>735</v>
      </c>
      <c r="E309" s="42" t="s">
        <v>811</v>
      </c>
      <c r="F309" s="18" t="s">
        <v>758</v>
      </c>
      <c r="G309" s="42" t="s">
        <v>896</v>
      </c>
      <c r="H309" s="18" t="s">
        <v>1000</v>
      </c>
      <c r="I309" s="42" t="s">
        <v>811</v>
      </c>
      <c r="J309" s="18" t="s">
        <v>735</v>
      </c>
      <c r="K309" s="42" t="s">
        <v>1001</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1821</v>
      </c>
      <c r="AY309" s="41" t="s">
        <v>1935</v>
      </c>
      <c r="AZ309" s="33" t="s">
        <v>1234</v>
      </c>
      <c r="BA309" s="41" t="s">
        <v>1935</v>
      </c>
      <c r="BB309" s="33" t="s">
        <v>1931</v>
      </c>
      <c r="BC309" s="41" t="s">
        <v>757</v>
      </c>
      <c r="BD309" s="33" t="s">
        <v>1932</v>
      </c>
      <c r="BE309" s="41" t="str">
        <f t="shared" si="17"/>
        <v>"Bairro"</v>
      </c>
    </row>
    <row r="310" spans="1:57" ht="7.5" customHeight="1" x14ac:dyDescent="0.25">
      <c r="A310" s="39">
        <v>310</v>
      </c>
      <c r="B310" s="67" t="s">
        <v>1071</v>
      </c>
      <c r="C310" s="38" t="s">
        <v>655</v>
      </c>
      <c r="D310" s="18" t="s">
        <v>735</v>
      </c>
      <c r="E310" s="42" t="s">
        <v>819</v>
      </c>
      <c r="F310" s="18" t="s">
        <v>758</v>
      </c>
      <c r="G310" s="42" t="s">
        <v>897</v>
      </c>
      <c r="H310" s="18" t="s">
        <v>1000</v>
      </c>
      <c r="I310" s="42" t="s">
        <v>819</v>
      </c>
      <c r="J310" s="18" t="s">
        <v>735</v>
      </c>
      <c r="K310" s="42" t="s">
        <v>1017</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1821</v>
      </c>
      <c r="AY310" s="41" t="s">
        <v>1935</v>
      </c>
      <c r="AZ310" s="33" t="s">
        <v>1234</v>
      </c>
      <c r="BA310" s="41" t="s">
        <v>1935</v>
      </c>
      <c r="BB310" s="33" t="s">
        <v>1931</v>
      </c>
      <c r="BC310" s="41" t="s">
        <v>757</v>
      </c>
      <c r="BD310" s="33" t="s">
        <v>1932</v>
      </c>
      <c r="BE310" s="41" t="str">
        <f t="shared" si="17"/>
        <v>"Bairro"</v>
      </c>
    </row>
    <row r="311" spans="1:57" ht="7.5" customHeight="1" x14ac:dyDescent="0.25">
      <c r="A311" s="39">
        <v>311</v>
      </c>
      <c r="B311" s="67" t="s">
        <v>1072</v>
      </c>
      <c r="C311" s="38" t="s">
        <v>655</v>
      </c>
      <c r="D311" s="18" t="s">
        <v>735</v>
      </c>
      <c r="E311" s="42" t="s">
        <v>791</v>
      </c>
      <c r="F311" s="18" t="s">
        <v>758</v>
      </c>
      <c r="G311" s="42" t="s">
        <v>898</v>
      </c>
      <c r="H311" s="18" t="s">
        <v>1000</v>
      </c>
      <c r="I311" s="42" t="s">
        <v>791</v>
      </c>
      <c r="J311" s="18" t="s">
        <v>735</v>
      </c>
      <c r="K311" s="42" t="s">
        <v>1001</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1821</v>
      </c>
      <c r="AY311" s="41" t="s">
        <v>1935</v>
      </c>
      <c r="AZ311" s="33" t="s">
        <v>1234</v>
      </c>
      <c r="BA311" s="41" t="s">
        <v>1935</v>
      </c>
      <c r="BB311" s="33" t="s">
        <v>1931</v>
      </c>
      <c r="BC311" s="41" t="s">
        <v>757</v>
      </c>
      <c r="BD311" s="33" t="s">
        <v>1932</v>
      </c>
      <c r="BE311" s="41" t="str">
        <f t="shared" si="17"/>
        <v>"Bairro"</v>
      </c>
    </row>
    <row r="312" spans="1:57" ht="7.5" customHeight="1" x14ac:dyDescent="0.25">
      <c r="A312" s="39">
        <v>312</v>
      </c>
      <c r="B312" s="67" t="s">
        <v>1073</v>
      </c>
      <c r="C312" s="38" t="s">
        <v>655</v>
      </c>
      <c r="D312" s="18" t="s">
        <v>735</v>
      </c>
      <c r="E312" s="42" t="s">
        <v>797</v>
      </c>
      <c r="F312" s="18" t="s">
        <v>758</v>
      </c>
      <c r="G312" s="42" t="s">
        <v>899</v>
      </c>
      <c r="H312" s="18" t="s">
        <v>1000</v>
      </c>
      <c r="I312" s="42" t="s">
        <v>797</v>
      </c>
      <c r="J312" s="18" t="s">
        <v>735</v>
      </c>
      <c r="K312" s="42" t="s">
        <v>1001</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1821</v>
      </c>
      <c r="AY312" s="41" t="s">
        <v>1935</v>
      </c>
      <c r="AZ312" s="33" t="s">
        <v>1234</v>
      </c>
      <c r="BA312" s="41" t="s">
        <v>1935</v>
      </c>
      <c r="BB312" s="33" t="s">
        <v>1931</v>
      </c>
      <c r="BC312" s="41" t="s">
        <v>757</v>
      </c>
      <c r="BD312" s="33" t="s">
        <v>1932</v>
      </c>
      <c r="BE312" s="41" t="str">
        <f t="shared" si="17"/>
        <v>"Bairro"</v>
      </c>
    </row>
    <row r="313" spans="1:57" ht="7.5" customHeight="1" x14ac:dyDescent="0.25">
      <c r="A313" s="39">
        <v>313</v>
      </c>
      <c r="B313" s="67" t="s">
        <v>1074</v>
      </c>
      <c r="C313" s="38" t="s">
        <v>655</v>
      </c>
      <c r="D313" s="18" t="s">
        <v>735</v>
      </c>
      <c r="E313" s="42" t="s">
        <v>775</v>
      </c>
      <c r="F313" s="18" t="s">
        <v>758</v>
      </c>
      <c r="G313" s="42" t="s">
        <v>900</v>
      </c>
      <c r="H313" s="18" t="s">
        <v>1000</v>
      </c>
      <c r="I313" s="42" t="s">
        <v>775</v>
      </c>
      <c r="J313" s="18" t="s">
        <v>735</v>
      </c>
      <c r="K313" s="42" t="s">
        <v>1024</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1821</v>
      </c>
      <c r="AY313" s="41" t="s">
        <v>1935</v>
      </c>
      <c r="AZ313" s="33" t="s">
        <v>1234</v>
      </c>
      <c r="BA313" s="41" t="s">
        <v>1935</v>
      </c>
      <c r="BB313" s="33" t="s">
        <v>1931</v>
      </c>
      <c r="BC313" s="41" t="s">
        <v>757</v>
      </c>
      <c r="BD313" s="33" t="s">
        <v>1932</v>
      </c>
      <c r="BE313" s="41" t="str">
        <f t="shared" si="17"/>
        <v>"Bairro"</v>
      </c>
    </row>
    <row r="314" spans="1:57" ht="7.5" customHeight="1" x14ac:dyDescent="0.25">
      <c r="A314" s="39">
        <v>314</v>
      </c>
      <c r="B314" s="67" t="s">
        <v>1075</v>
      </c>
      <c r="C314" s="38" t="s">
        <v>655</v>
      </c>
      <c r="D314" s="18" t="s">
        <v>735</v>
      </c>
      <c r="E314" s="42" t="s">
        <v>819</v>
      </c>
      <c r="F314" s="18" t="s">
        <v>758</v>
      </c>
      <c r="G314" s="42" t="s">
        <v>901</v>
      </c>
      <c r="H314" s="18" t="s">
        <v>1000</v>
      </c>
      <c r="I314" s="42" t="s">
        <v>819</v>
      </c>
      <c r="J314" s="18" t="s">
        <v>735</v>
      </c>
      <c r="K314" s="42" t="s">
        <v>1017</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1821</v>
      </c>
      <c r="AY314" s="41" t="s">
        <v>1935</v>
      </c>
      <c r="AZ314" s="33" t="s">
        <v>1234</v>
      </c>
      <c r="BA314" s="41" t="s">
        <v>1935</v>
      </c>
      <c r="BB314" s="33" t="s">
        <v>1931</v>
      </c>
      <c r="BC314" s="41" t="s">
        <v>757</v>
      </c>
      <c r="BD314" s="33" t="s">
        <v>1932</v>
      </c>
      <c r="BE314" s="41" t="str">
        <f t="shared" si="17"/>
        <v>"Bairro"</v>
      </c>
    </row>
    <row r="315" spans="1:57" ht="7.5" customHeight="1" x14ac:dyDescent="0.25">
      <c r="A315" s="39">
        <v>315</v>
      </c>
      <c r="B315" s="67" t="s">
        <v>1076</v>
      </c>
      <c r="C315" s="38" t="s">
        <v>655</v>
      </c>
      <c r="D315" s="18" t="s">
        <v>735</v>
      </c>
      <c r="E315" s="42" t="s">
        <v>791</v>
      </c>
      <c r="F315" s="18" t="s">
        <v>758</v>
      </c>
      <c r="G315" s="42" t="s">
        <v>902</v>
      </c>
      <c r="H315" s="18" t="s">
        <v>1000</v>
      </c>
      <c r="I315" s="42" t="s">
        <v>791</v>
      </c>
      <c r="J315" s="18" t="s">
        <v>735</v>
      </c>
      <c r="K315" s="42" t="s">
        <v>1001</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1821</v>
      </c>
      <c r="AY315" s="41" t="s">
        <v>1935</v>
      </c>
      <c r="AZ315" s="33" t="s">
        <v>1234</v>
      </c>
      <c r="BA315" s="41" t="s">
        <v>1935</v>
      </c>
      <c r="BB315" s="33" t="s">
        <v>1931</v>
      </c>
      <c r="BC315" s="41" t="s">
        <v>757</v>
      </c>
      <c r="BD315" s="33" t="s">
        <v>1932</v>
      </c>
      <c r="BE315" s="41" t="str">
        <f t="shared" si="17"/>
        <v>"Bairro"</v>
      </c>
    </row>
    <row r="316" spans="1:57" ht="7.5" customHeight="1" x14ac:dyDescent="0.25">
      <c r="A316" s="39">
        <v>316</v>
      </c>
      <c r="B316" s="67" t="s">
        <v>1077</v>
      </c>
      <c r="C316" s="38" t="s">
        <v>655</v>
      </c>
      <c r="D316" s="18" t="s">
        <v>735</v>
      </c>
      <c r="E316" s="42" t="s">
        <v>803</v>
      </c>
      <c r="F316" s="18" t="s">
        <v>758</v>
      </c>
      <c r="G316" s="42" t="s">
        <v>903</v>
      </c>
      <c r="H316" s="18" t="s">
        <v>1000</v>
      </c>
      <c r="I316" s="42" t="s">
        <v>803</v>
      </c>
      <c r="J316" s="18" t="s">
        <v>735</v>
      </c>
      <c r="K316" s="42" t="s">
        <v>1017</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1821</v>
      </c>
      <c r="AY316" s="41" t="s">
        <v>1935</v>
      </c>
      <c r="AZ316" s="33" t="s">
        <v>1234</v>
      </c>
      <c r="BA316" s="41" t="s">
        <v>1935</v>
      </c>
      <c r="BB316" s="33" t="s">
        <v>1931</v>
      </c>
      <c r="BC316" s="41" t="s">
        <v>757</v>
      </c>
      <c r="BD316" s="33" t="s">
        <v>1932</v>
      </c>
      <c r="BE316" s="41" t="str">
        <f t="shared" si="17"/>
        <v>"Bairro"</v>
      </c>
    </row>
    <row r="317" spans="1:57" ht="7.5" customHeight="1" x14ac:dyDescent="0.25">
      <c r="A317" s="39">
        <v>317</v>
      </c>
      <c r="B317" s="67" t="s">
        <v>1078</v>
      </c>
      <c r="C317" s="38" t="s">
        <v>655</v>
      </c>
      <c r="D317" s="18" t="s">
        <v>735</v>
      </c>
      <c r="E317" s="42" t="s">
        <v>779</v>
      </c>
      <c r="F317" s="18" t="s">
        <v>758</v>
      </c>
      <c r="G317" s="42" t="s">
        <v>904</v>
      </c>
      <c r="H317" s="18" t="s">
        <v>1000</v>
      </c>
      <c r="I317" s="42" t="s">
        <v>779</v>
      </c>
      <c r="J317" s="18" t="s">
        <v>735</v>
      </c>
      <c r="K317" s="42" t="s">
        <v>1024</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1821</v>
      </c>
      <c r="AY317" s="41" t="s">
        <v>1935</v>
      </c>
      <c r="AZ317" s="33" t="s">
        <v>1234</v>
      </c>
      <c r="BA317" s="41" t="s">
        <v>1935</v>
      </c>
      <c r="BB317" s="33" t="s">
        <v>1931</v>
      </c>
      <c r="BC317" s="41" t="s">
        <v>757</v>
      </c>
      <c r="BD317" s="33" t="s">
        <v>1932</v>
      </c>
      <c r="BE317" s="41" t="str">
        <f t="shared" si="17"/>
        <v>"Bairro"</v>
      </c>
    </row>
    <row r="318" spans="1:57" ht="7.5" customHeight="1" x14ac:dyDescent="0.25">
      <c r="A318" s="39">
        <v>318</v>
      </c>
      <c r="B318" s="67" t="s">
        <v>1079</v>
      </c>
      <c r="C318" s="38" t="s">
        <v>655</v>
      </c>
      <c r="D318" s="18" t="s">
        <v>735</v>
      </c>
      <c r="E318" s="42" t="s">
        <v>795</v>
      </c>
      <c r="F318" s="18" t="s">
        <v>758</v>
      </c>
      <c r="G318" s="42" t="s">
        <v>905</v>
      </c>
      <c r="H318" s="18" t="s">
        <v>1000</v>
      </c>
      <c r="I318" s="42" t="s">
        <v>795</v>
      </c>
      <c r="J318" s="18" t="s">
        <v>735</v>
      </c>
      <c r="K318" s="42" t="s">
        <v>1001</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1821</v>
      </c>
      <c r="AY318" s="41" t="s">
        <v>1935</v>
      </c>
      <c r="AZ318" s="33" t="s">
        <v>1234</v>
      </c>
      <c r="BA318" s="41" t="s">
        <v>1935</v>
      </c>
      <c r="BB318" s="33" t="s">
        <v>1931</v>
      </c>
      <c r="BC318" s="41" t="s">
        <v>757</v>
      </c>
      <c r="BD318" s="33" t="s">
        <v>1932</v>
      </c>
      <c r="BE318" s="41" t="str">
        <f t="shared" si="17"/>
        <v>"Bairro"</v>
      </c>
    </row>
    <row r="319" spans="1:57" ht="7.5" customHeight="1" x14ac:dyDescent="0.25">
      <c r="A319" s="39">
        <v>319</v>
      </c>
      <c r="B319" s="67" t="s">
        <v>1080</v>
      </c>
      <c r="C319" s="38" t="s">
        <v>655</v>
      </c>
      <c r="D319" s="18" t="s">
        <v>735</v>
      </c>
      <c r="E319" s="42" t="s">
        <v>815</v>
      </c>
      <c r="F319" s="18" t="s">
        <v>758</v>
      </c>
      <c r="G319" s="42" t="s">
        <v>906</v>
      </c>
      <c r="H319" s="18" t="s">
        <v>1000</v>
      </c>
      <c r="I319" s="42" t="s">
        <v>815</v>
      </c>
      <c r="J319" s="18" t="s">
        <v>735</v>
      </c>
      <c r="K319" s="42" t="s">
        <v>1015</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1821</v>
      </c>
      <c r="AY319" s="41" t="s">
        <v>1935</v>
      </c>
      <c r="AZ319" s="33" t="s">
        <v>1234</v>
      </c>
      <c r="BA319" s="41" t="s">
        <v>1935</v>
      </c>
      <c r="BB319" s="33" t="s">
        <v>1931</v>
      </c>
      <c r="BC319" s="41" t="s">
        <v>757</v>
      </c>
      <c r="BD319" s="33" t="s">
        <v>1932</v>
      </c>
      <c r="BE319" s="41" t="str">
        <f t="shared" si="17"/>
        <v>"Bairro"</v>
      </c>
    </row>
    <row r="320" spans="1:57" ht="7.5" customHeight="1" x14ac:dyDescent="0.25">
      <c r="A320" s="39">
        <v>320</v>
      </c>
      <c r="B320" s="67" t="s">
        <v>1081</v>
      </c>
      <c r="C320" s="38" t="s">
        <v>655</v>
      </c>
      <c r="D320" s="18" t="s">
        <v>735</v>
      </c>
      <c r="E320" s="42" t="s">
        <v>801</v>
      </c>
      <c r="F320" s="18" t="s">
        <v>758</v>
      </c>
      <c r="G320" s="42" t="s">
        <v>907</v>
      </c>
      <c r="H320" s="18" t="s">
        <v>1000</v>
      </c>
      <c r="I320" s="42" t="s">
        <v>801</v>
      </c>
      <c r="J320" s="18" t="s">
        <v>735</v>
      </c>
      <c r="K320" s="42" t="s">
        <v>1013</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1821</v>
      </c>
      <c r="AY320" s="41" t="s">
        <v>1935</v>
      </c>
      <c r="AZ320" s="33" t="s">
        <v>1234</v>
      </c>
      <c r="BA320" s="41" t="s">
        <v>1935</v>
      </c>
      <c r="BB320" s="33" t="s">
        <v>1931</v>
      </c>
      <c r="BC320" s="41" t="s">
        <v>757</v>
      </c>
      <c r="BD320" s="33" t="s">
        <v>1932</v>
      </c>
      <c r="BE320" s="41" t="str">
        <f t="shared" si="17"/>
        <v>"Bairro"</v>
      </c>
    </row>
    <row r="321" spans="1:57" ht="7.5" customHeight="1" x14ac:dyDescent="0.25">
      <c r="A321" s="39">
        <v>321</v>
      </c>
      <c r="B321" s="67" t="s">
        <v>1082</v>
      </c>
      <c r="C321" s="38" t="s">
        <v>655</v>
      </c>
      <c r="D321" s="18" t="s">
        <v>735</v>
      </c>
      <c r="E321" s="42" t="s">
        <v>793</v>
      </c>
      <c r="F321" s="18" t="s">
        <v>758</v>
      </c>
      <c r="G321" s="42" t="s">
        <v>908</v>
      </c>
      <c r="H321" s="18" t="s">
        <v>1000</v>
      </c>
      <c r="I321" s="42" t="s">
        <v>793</v>
      </c>
      <c r="J321" s="18" t="s">
        <v>735</v>
      </c>
      <c r="K321" s="42" t="s">
        <v>1001</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1821</v>
      </c>
      <c r="AY321" s="41" t="s">
        <v>1935</v>
      </c>
      <c r="AZ321" s="33" t="s">
        <v>1234</v>
      </c>
      <c r="BA321" s="41" t="s">
        <v>1935</v>
      </c>
      <c r="BB321" s="33" t="s">
        <v>1931</v>
      </c>
      <c r="BC321" s="41" t="s">
        <v>757</v>
      </c>
      <c r="BD321" s="33" t="s">
        <v>1932</v>
      </c>
      <c r="BE321" s="41" t="str">
        <f t="shared" si="17"/>
        <v>"Bairro"</v>
      </c>
    </row>
    <row r="322" spans="1:57" ht="7.5" customHeight="1" x14ac:dyDescent="0.25">
      <c r="A322" s="39">
        <v>322</v>
      </c>
      <c r="B322" s="67" t="s">
        <v>1083</v>
      </c>
      <c r="C322" s="38" t="s">
        <v>655</v>
      </c>
      <c r="D322" s="18" t="s">
        <v>735</v>
      </c>
      <c r="E322" s="42" t="s">
        <v>799</v>
      </c>
      <c r="F322" s="18" t="s">
        <v>758</v>
      </c>
      <c r="G322" s="42" t="s">
        <v>909</v>
      </c>
      <c r="H322" s="18" t="s">
        <v>1000</v>
      </c>
      <c r="I322" s="42" t="s">
        <v>799</v>
      </c>
      <c r="J322" s="18" t="s">
        <v>735</v>
      </c>
      <c r="K322" s="42" t="s">
        <v>1009</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1821</v>
      </c>
      <c r="AY322" s="41" t="s">
        <v>1935</v>
      </c>
      <c r="AZ322" s="33" t="s">
        <v>1234</v>
      </c>
      <c r="BA322" s="41" t="s">
        <v>1935</v>
      </c>
      <c r="BB322" s="33" t="s">
        <v>1931</v>
      </c>
      <c r="BC322" s="41" t="s">
        <v>757</v>
      </c>
      <c r="BD322" s="33" t="s">
        <v>1932</v>
      </c>
      <c r="BE322" s="41" t="str">
        <f t="shared" si="17"/>
        <v>"Bairro"</v>
      </c>
    </row>
    <row r="323" spans="1:57" ht="7.5" customHeight="1" x14ac:dyDescent="0.25">
      <c r="A323" s="39">
        <v>323</v>
      </c>
      <c r="B323" s="67" t="s">
        <v>1084</v>
      </c>
      <c r="C323" s="38" t="s">
        <v>655</v>
      </c>
      <c r="D323" s="18" t="s">
        <v>735</v>
      </c>
      <c r="E323" s="42" t="s">
        <v>823</v>
      </c>
      <c r="F323" s="18" t="s">
        <v>758</v>
      </c>
      <c r="G323" s="42" t="s">
        <v>910</v>
      </c>
      <c r="H323" s="18" t="s">
        <v>1000</v>
      </c>
      <c r="I323" s="42" t="s">
        <v>823</v>
      </c>
      <c r="J323" s="18" t="s">
        <v>735</v>
      </c>
      <c r="K323" s="42" t="s">
        <v>1001</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1821</v>
      </c>
      <c r="AY323" s="41" t="s">
        <v>1935</v>
      </c>
      <c r="AZ323" s="33" t="s">
        <v>1234</v>
      </c>
      <c r="BA323" s="41" t="s">
        <v>1935</v>
      </c>
      <c r="BB323" s="33" t="s">
        <v>1931</v>
      </c>
      <c r="BC323" s="41" t="s">
        <v>757</v>
      </c>
      <c r="BD323" s="33" t="s">
        <v>1932</v>
      </c>
      <c r="BE323" s="41" t="str">
        <f t="shared" si="17"/>
        <v>"Bairro"</v>
      </c>
    </row>
    <row r="324" spans="1:57" ht="7.5" customHeight="1" x14ac:dyDescent="0.25">
      <c r="A324" s="39">
        <v>324</v>
      </c>
      <c r="B324" s="67" t="s">
        <v>1085</v>
      </c>
      <c r="C324" s="38" t="s">
        <v>655</v>
      </c>
      <c r="D324" s="18" t="s">
        <v>735</v>
      </c>
      <c r="E324" s="42" t="s">
        <v>829</v>
      </c>
      <c r="F324" s="18" t="s">
        <v>758</v>
      </c>
      <c r="G324" s="42" t="s">
        <v>911</v>
      </c>
      <c r="H324" s="18" t="s">
        <v>1000</v>
      </c>
      <c r="I324" s="42" t="s">
        <v>829</v>
      </c>
      <c r="J324" s="18" t="s">
        <v>735</v>
      </c>
      <c r="K324" s="42" t="s">
        <v>1001</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1821</v>
      </c>
      <c r="AY324" s="41" t="s">
        <v>1935</v>
      </c>
      <c r="AZ324" s="33" t="s">
        <v>1234</v>
      </c>
      <c r="BA324" s="41" t="s">
        <v>1935</v>
      </c>
      <c r="BB324" s="33" t="s">
        <v>1931</v>
      </c>
      <c r="BC324" s="41" t="s">
        <v>757</v>
      </c>
      <c r="BD324" s="33" t="s">
        <v>1932</v>
      </c>
      <c r="BE324" s="41" t="str">
        <f t="shared" si="17"/>
        <v>"Bairro"</v>
      </c>
    </row>
    <row r="325" spans="1:57" ht="7.5" customHeight="1" x14ac:dyDescent="0.25">
      <c r="A325" s="39">
        <v>325</v>
      </c>
      <c r="B325" s="67" t="s">
        <v>1086</v>
      </c>
      <c r="C325" s="38" t="s">
        <v>655</v>
      </c>
      <c r="D325" s="18" t="s">
        <v>735</v>
      </c>
      <c r="E325" s="42" t="s">
        <v>779</v>
      </c>
      <c r="F325" s="18" t="s">
        <v>758</v>
      </c>
      <c r="G325" s="42" t="s">
        <v>912</v>
      </c>
      <c r="H325" s="18" t="s">
        <v>1000</v>
      </c>
      <c r="I325" s="42" t="s">
        <v>779</v>
      </c>
      <c r="J325" s="18" t="s">
        <v>735</v>
      </c>
      <c r="K325" s="42" t="s">
        <v>1024</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1821</v>
      </c>
      <c r="AY325" s="41" t="s">
        <v>1935</v>
      </c>
      <c r="AZ325" s="33" t="s">
        <v>1234</v>
      </c>
      <c r="BA325" s="41" t="s">
        <v>1935</v>
      </c>
      <c r="BB325" s="33" t="s">
        <v>1931</v>
      </c>
      <c r="BC325" s="41" t="s">
        <v>757</v>
      </c>
      <c r="BD325" s="33" t="s">
        <v>1932</v>
      </c>
      <c r="BE325" s="41" t="str">
        <f t="shared" si="17"/>
        <v>"Bairro"</v>
      </c>
    </row>
    <row r="326" spans="1:57" ht="7.5" customHeight="1" x14ac:dyDescent="0.25">
      <c r="A326" s="39">
        <v>326</v>
      </c>
      <c r="B326" s="67" t="s">
        <v>1087</v>
      </c>
      <c r="C326" s="38" t="s">
        <v>655</v>
      </c>
      <c r="D326" s="18" t="s">
        <v>735</v>
      </c>
      <c r="E326" s="42" t="s">
        <v>807</v>
      </c>
      <c r="F326" s="18" t="s">
        <v>758</v>
      </c>
      <c r="G326" s="42" t="s">
        <v>913</v>
      </c>
      <c r="H326" s="18" t="s">
        <v>1000</v>
      </c>
      <c r="I326" s="42" t="s">
        <v>807</v>
      </c>
      <c r="J326" s="18" t="s">
        <v>735</v>
      </c>
      <c r="K326" s="42" t="s">
        <v>1011</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1821</v>
      </c>
      <c r="AY326" s="41" t="s">
        <v>1935</v>
      </c>
      <c r="AZ326" s="33" t="s">
        <v>1234</v>
      </c>
      <c r="BA326" s="41" t="s">
        <v>1935</v>
      </c>
      <c r="BB326" s="33" t="s">
        <v>1931</v>
      </c>
      <c r="BC326" s="41" t="s">
        <v>757</v>
      </c>
      <c r="BD326" s="33" t="s">
        <v>1932</v>
      </c>
      <c r="BE326" s="41" t="str">
        <f t="shared" si="17"/>
        <v>"Bairro"</v>
      </c>
    </row>
    <row r="327" spans="1:57" ht="7.5" customHeight="1" x14ac:dyDescent="0.25">
      <c r="A327" s="39">
        <v>327</v>
      </c>
      <c r="B327" s="67" t="s">
        <v>1088</v>
      </c>
      <c r="C327" s="38" t="s">
        <v>655</v>
      </c>
      <c r="D327" s="18" t="s">
        <v>735</v>
      </c>
      <c r="E327" s="42" t="s">
        <v>807</v>
      </c>
      <c r="F327" s="18" t="s">
        <v>758</v>
      </c>
      <c r="G327" s="42" t="s">
        <v>914</v>
      </c>
      <c r="H327" s="18" t="s">
        <v>1000</v>
      </c>
      <c r="I327" s="42" t="s">
        <v>807</v>
      </c>
      <c r="J327" s="18" t="s">
        <v>735</v>
      </c>
      <c r="K327" s="42" t="s">
        <v>1011</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1821</v>
      </c>
      <c r="AY327" s="41" t="s">
        <v>1935</v>
      </c>
      <c r="AZ327" s="33" t="s">
        <v>1234</v>
      </c>
      <c r="BA327" s="41" t="s">
        <v>1935</v>
      </c>
      <c r="BB327" s="33" t="s">
        <v>1931</v>
      </c>
      <c r="BC327" s="41" t="s">
        <v>757</v>
      </c>
      <c r="BD327" s="33" t="s">
        <v>1932</v>
      </c>
      <c r="BE327" s="41" t="str">
        <f t="shared" si="17"/>
        <v>"Bairro"</v>
      </c>
    </row>
    <row r="328" spans="1:57" ht="7.5" customHeight="1" x14ac:dyDescent="0.25">
      <c r="A328" s="39">
        <v>328</v>
      </c>
      <c r="B328" s="67" t="s">
        <v>1089</v>
      </c>
      <c r="C328" s="38" t="s">
        <v>655</v>
      </c>
      <c r="D328" s="18" t="s">
        <v>735</v>
      </c>
      <c r="E328" s="42" t="s">
        <v>831</v>
      </c>
      <c r="F328" s="18" t="s">
        <v>758</v>
      </c>
      <c r="G328" s="42" t="s">
        <v>915</v>
      </c>
      <c r="H328" s="18" t="s">
        <v>1000</v>
      </c>
      <c r="I328" s="42" t="s">
        <v>831</v>
      </c>
      <c r="J328" s="18" t="s">
        <v>735</v>
      </c>
      <c r="K328" s="42" t="s">
        <v>1013</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1821</v>
      </c>
      <c r="AY328" s="41" t="s">
        <v>1935</v>
      </c>
      <c r="AZ328" s="33" t="s">
        <v>1234</v>
      </c>
      <c r="BA328" s="41" t="s">
        <v>1935</v>
      </c>
      <c r="BB328" s="33" t="s">
        <v>1931</v>
      </c>
      <c r="BC328" s="41" t="s">
        <v>757</v>
      </c>
      <c r="BD328" s="33" t="s">
        <v>1932</v>
      </c>
      <c r="BE328" s="41" t="str">
        <f t="shared" si="17"/>
        <v>"Bairro"</v>
      </c>
    </row>
    <row r="329" spans="1:57" ht="7.5" customHeight="1" x14ac:dyDescent="0.25">
      <c r="A329" s="39">
        <v>329</v>
      </c>
      <c r="B329" s="67" t="s">
        <v>1090</v>
      </c>
      <c r="C329" s="38" t="s">
        <v>655</v>
      </c>
      <c r="D329" s="18" t="s">
        <v>735</v>
      </c>
      <c r="E329" s="42" t="s">
        <v>815</v>
      </c>
      <c r="F329" s="18" t="s">
        <v>758</v>
      </c>
      <c r="G329" s="42" t="s">
        <v>916</v>
      </c>
      <c r="H329" s="18" t="s">
        <v>1000</v>
      </c>
      <c r="I329" s="42" t="s">
        <v>815</v>
      </c>
      <c r="J329" s="18" t="s">
        <v>735</v>
      </c>
      <c r="K329" s="42" t="s">
        <v>1015</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1821</v>
      </c>
      <c r="AY329" s="41" t="s">
        <v>1935</v>
      </c>
      <c r="AZ329" s="33" t="s">
        <v>1234</v>
      </c>
      <c r="BA329" s="41" t="s">
        <v>1935</v>
      </c>
      <c r="BB329" s="33" t="s">
        <v>1931</v>
      </c>
      <c r="BC329" s="41" t="s">
        <v>757</v>
      </c>
      <c r="BD329" s="33" t="s">
        <v>1932</v>
      </c>
      <c r="BE329" s="41" t="str">
        <f t="shared" si="17"/>
        <v>"Bairro"</v>
      </c>
    </row>
    <row r="330" spans="1:57" ht="7.5" customHeight="1" x14ac:dyDescent="0.25">
      <c r="A330" s="39">
        <v>330</v>
      </c>
      <c r="B330" s="67" t="s">
        <v>1091</v>
      </c>
      <c r="C330" s="38" t="s">
        <v>655</v>
      </c>
      <c r="D330" s="18" t="s">
        <v>735</v>
      </c>
      <c r="E330" s="42" t="s">
        <v>779</v>
      </c>
      <c r="F330" s="18" t="s">
        <v>758</v>
      </c>
      <c r="G330" s="42" t="s">
        <v>917</v>
      </c>
      <c r="H330" s="18" t="s">
        <v>1000</v>
      </c>
      <c r="I330" s="42" t="s">
        <v>779</v>
      </c>
      <c r="J330" s="18" t="s">
        <v>735</v>
      </c>
      <c r="K330" s="42" t="s">
        <v>1024</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1821</v>
      </c>
      <c r="AY330" s="41" t="s">
        <v>1935</v>
      </c>
      <c r="AZ330" s="33" t="s">
        <v>1234</v>
      </c>
      <c r="BA330" s="41" t="s">
        <v>1935</v>
      </c>
      <c r="BB330" s="33" t="s">
        <v>1931</v>
      </c>
      <c r="BC330" s="41" t="s">
        <v>757</v>
      </c>
      <c r="BD330" s="33" t="s">
        <v>1932</v>
      </c>
      <c r="BE330" s="41" t="str">
        <f t="shared" si="17"/>
        <v>"Bairro"</v>
      </c>
    </row>
    <row r="331" spans="1:57" ht="7.5" customHeight="1" x14ac:dyDescent="0.25">
      <c r="A331" s="39">
        <v>331</v>
      </c>
      <c r="B331" s="67" t="s">
        <v>1092</v>
      </c>
      <c r="C331" s="38" t="s">
        <v>655</v>
      </c>
      <c r="D331" s="18" t="s">
        <v>735</v>
      </c>
      <c r="E331" s="42" t="s">
        <v>771</v>
      </c>
      <c r="F331" s="18" t="s">
        <v>758</v>
      </c>
      <c r="G331" s="42" t="s">
        <v>918</v>
      </c>
      <c r="H331" s="18" t="s">
        <v>1000</v>
      </c>
      <c r="I331" s="42" t="s">
        <v>771</v>
      </c>
      <c r="J331" s="18" t="s">
        <v>735</v>
      </c>
      <c r="K331" s="42" t="s">
        <v>1020</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1821</v>
      </c>
      <c r="AY331" s="41" t="s">
        <v>1935</v>
      </c>
      <c r="AZ331" s="33" t="s">
        <v>1234</v>
      </c>
      <c r="BA331" s="41" t="s">
        <v>1935</v>
      </c>
      <c r="BB331" s="33" t="s">
        <v>1931</v>
      </c>
      <c r="BC331" s="41" t="s">
        <v>757</v>
      </c>
      <c r="BD331" s="33" t="s">
        <v>1932</v>
      </c>
      <c r="BE331" s="41" t="str">
        <f t="shared" si="17"/>
        <v>"Bairro"</v>
      </c>
    </row>
    <row r="332" spans="1:57" ht="7.5" customHeight="1" x14ac:dyDescent="0.25">
      <c r="A332" s="39">
        <v>332</v>
      </c>
      <c r="B332" s="67" t="s">
        <v>1093</v>
      </c>
      <c r="C332" s="38" t="s">
        <v>655</v>
      </c>
      <c r="D332" s="18" t="s">
        <v>735</v>
      </c>
      <c r="E332" s="42" t="s">
        <v>775</v>
      </c>
      <c r="F332" s="18" t="s">
        <v>758</v>
      </c>
      <c r="G332" s="42" t="s">
        <v>919</v>
      </c>
      <c r="H332" s="18" t="s">
        <v>1000</v>
      </c>
      <c r="I332" s="42" t="s">
        <v>775</v>
      </c>
      <c r="J332" s="18" t="s">
        <v>735</v>
      </c>
      <c r="K332" s="42" t="s">
        <v>1024</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1821</v>
      </c>
      <c r="AY332" s="41" t="s">
        <v>1935</v>
      </c>
      <c r="AZ332" s="33" t="s">
        <v>1234</v>
      </c>
      <c r="BA332" s="41" t="s">
        <v>1935</v>
      </c>
      <c r="BB332" s="33" t="s">
        <v>1931</v>
      </c>
      <c r="BC332" s="41" t="s">
        <v>757</v>
      </c>
      <c r="BD332" s="33" t="s">
        <v>1932</v>
      </c>
      <c r="BE332" s="41" t="str">
        <f t="shared" si="17"/>
        <v>"Bairro"</v>
      </c>
    </row>
    <row r="333" spans="1:57" ht="7.5" customHeight="1" x14ac:dyDescent="0.25">
      <c r="A333" s="39">
        <v>333</v>
      </c>
      <c r="B333" s="67" t="s">
        <v>1094</v>
      </c>
      <c r="C333" s="38" t="s">
        <v>655</v>
      </c>
      <c r="D333" s="18" t="s">
        <v>735</v>
      </c>
      <c r="E333" s="42" t="s">
        <v>779</v>
      </c>
      <c r="F333" s="18" t="s">
        <v>758</v>
      </c>
      <c r="G333" s="42" t="s">
        <v>920</v>
      </c>
      <c r="H333" s="18" t="s">
        <v>1000</v>
      </c>
      <c r="I333" s="42" t="s">
        <v>779</v>
      </c>
      <c r="J333" s="18" t="s">
        <v>735</v>
      </c>
      <c r="K333" s="42" t="s">
        <v>1024</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1821</v>
      </c>
      <c r="AY333" s="41" t="s">
        <v>1935</v>
      </c>
      <c r="AZ333" s="33" t="s">
        <v>1234</v>
      </c>
      <c r="BA333" s="41" t="s">
        <v>1935</v>
      </c>
      <c r="BB333" s="33" t="s">
        <v>1931</v>
      </c>
      <c r="BC333" s="41" t="s">
        <v>757</v>
      </c>
      <c r="BD333" s="33" t="s">
        <v>1932</v>
      </c>
      <c r="BE333" s="41" t="str">
        <f t="shared" si="17"/>
        <v>"Bairro"</v>
      </c>
    </row>
    <row r="334" spans="1:57" ht="7.5" customHeight="1" x14ac:dyDescent="0.25">
      <c r="A334" s="39">
        <v>334</v>
      </c>
      <c r="B334" s="67" t="s">
        <v>1095</v>
      </c>
      <c r="C334" s="38" t="s">
        <v>655</v>
      </c>
      <c r="D334" s="18" t="s">
        <v>735</v>
      </c>
      <c r="E334" s="42" t="s">
        <v>777</v>
      </c>
      <c r="F334" s="18" t="s">
        <v>758</v>
      </c>
      <c r="G334" s="42" t="s">
        <v>921</v>
      </c>
      <c r="H334" s="18" t="s">
        <v>1000</v>
      </c>
      <c r="I334" s="42" t="s">
        <v>777</v>
      </c>
      <c r="J334" s="18" t="s">
        <v>735</v>
      </c>
      <c r="K334" s="42" t="s">
        <v>1024</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1821</v>
      </c>
      <c r="AY334" s="41" t="s">
        <v>1935</v>
      </c>
      <c r="AZ334" s="33" t="s">
        <v>1234</v>
      </c>
      <c r="BA334" s="41" t="s">
        <v>1935</v>
      </c>
      <c r="BB334" s="33" t="s">
        <v>1931</v>
      </c>
      <c r="BC334" s="41" t="s">
        <v>757</v>
      </c>
      <c r="BD334" s="33" t="s">
        <v>1932</v>
      </c>
      <c r="BE334" s="41" t="str">
        <f t="shared" si="17"/>
        <v>"Bairro"</v>
      </c>
    </row>
    <row r="335" spans="1:57" ht="7.5" customHeight="1" x14ac:dyDescent="0.25">
      <c r="A335" s="39">
        <v>335</v>
      </c>
      <c r="B335" s="67" t="s">
        <v>1096</v>
      </c>
      <c r="C335" s="38" t="s">
        <v>655</v>
      </c>
      <c r="D335" s="18" t="s">
        <v>735</v>
      </c>
      <c r="E335" s="42" t="s">
        <v>793</v>
      </c>
      <c r="F335" s="18" t="s">
        <v>758</v>
      </c>
      <c r="G335" s="42" t="s">
        <v>922</v>
      </c>
      <c r="H335" s="18" t="s">
        <v>1000</v>
      </c>
      <c r="I335" s="42" t="s">
        <v>793</v>
      </c>
      <c r="J335" s="18" t="s">
        <v>735</v>
      </c>
      <c r="K335" s="42" t="s">
        <v>1001</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1821</v>
      </c>
      <c r="AY335" s="41" t="s">
        <v>1935</v>
      </c>
      <c r="AZ335" s="33" t="s">
        <v>1234</v>
      </c>
      <c r="BA335" s="41" t="s">
        <v>1935</v>
      </c>
      <c r="BB335" s="33" t="s">
        <v>1931</v>
      </c>
      <c r="BC335" s="41" t="s">
        <v>757</v>
      </c>
      <c r="BD335" s="33" t="s">
        <v>1932</v>
      </c>
      <c r="BE335" s="41" t="str">
        <f t="shared" si="17"/>
        <v>"Bairro"</v>
      </c>
    </row>
    <row r="336" spans="1:57" ht="7.5" customHeight="1" x14ac:dyDescent="0.25">
      <c r="A336" s="39">
        <v>336</v>
      </c>
      <c r="B336" s="67" t="s">
        <v>1097</v>
      </c>
      <c r="C336" s="38" t="s">
        <v>655</v>
      </c>
      <c r="D336" s="18" t="s">
        <v>735</v>
      </c>
      <c r="E336" s="42" t="s">
        <v>797</v>
      </c>
      <c r="F336" s="18" t="s">
        <v>758</v>
      </c>
      <c r="G336" s="42" t="s">
        <v>923</v>
      </c>
      <c r="H336" s="18" t="s">
        <v>1000</v>
      </c>
      <c r="I336" s="42" t="s">
        <v>797</v>
      </c>
      <c r="J336" s="18" t="s">
        <v>735</v>
      </c>
      <c r="K336" s="42" t="s">
        <v>1001</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1821</v>
      </c>
      <c r="AY336" s="41" t="s">
        <v>1935</v>
      </c>
      <c r="AZ336" s="33" t="s">
        <v>1234</v>
      </c>
      <c r="BA336" s="41" t="s">
        <v>1935</v>
      </c>
      <c r="BB336" s="33" t="s">
        <v>1931</v>
      </c>
      <c r="BC336" s="41" t="s">
        <v>757</v>
      </c>
      <c r="BD336" s="33" t="s">
        <v>1932</v>
      </c>
      <c r="BE336" s="41" t="str">
        <f t="shared" si="17"/>
        <v>"Bairro"</v>
      </c>
    </row>
    <row r="337" spans="1:57" ht="7.5" customHeight="1" x14ac:dyDescent="0.25">
      <c r="A337" s="39">
        <v>337</v>
      </c>
      <c r="B337" s="67" t="s">
        <v>1098</v>
      </c>
      <c r="C337" s="38" t="s">
        <v>655</v>
      </c>
      <c r="D337" s="18" t="s">
        <v>735</v>
      </c>
      <c r="E337" s="42" t="s">
        <v>831</v>
      </c>
      <c r="F337" s="18" t="s">
        <v>758</v>
      </c>
      <c r="G337" s="42" t="s">
        <v>924</v>
      </c>
      <c r="H337" s="18" t="s">
        <v>1000</v>
      </c>
      <c r="I337" s="42" t="s">
        <v>831</v>
      </c>
      <c r="J337" s="18" t="s">
        <v>735</v>
      </c>
      <c r="K337" s="42" t="s">
        <v>1013</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1821</v>
      </c>
      <c r="AY337" s="41" t="s">
        <v>1935</v>
      </c>
      <c r="AZ337" s="33" t="s">
        <v>1234</v>
      </c>
      <c r="BA337" s="41" t="s">
        <v>1935</v>
      </c>
      <c r="BB337" s="33" t="s">
        <v>1931</v>
      </c>
      <c r="BC337" s="41" t="s">
        <v>757</v>
      </c>
      <c r="BD337" s="33" t="s">
        <v>1932</v>
      </c>
      <c r="BE337" s="41" t="str">
        <f t="shared" si="17"/>
        <v>"Bairro"</v>
      </c>
    </row>
    <row r="338" spans="1:57" ht="7.5" customHeight="1" x14ac:dyDescent="0.25">
      <c r="A338" s="39">
        <v>338</v>
      </c>
      <c r="B338" s="67" t="s">
        <v>1099</v>
      </c>
      <c r="C338" s="38" t="s">
        <v>655</v>
      </c>
      <c r="D338" s="18" t="s">
        <v>735</v>
      </c>
      <c r="E338" s="42" t="s">
        <v>781</v>
      </c>
      <c r="F338" s="18" t="s">
        <v>758</v>
      </c>
      <c r="G338" s="42" t="s">
        <v>925</v>
      </c>
      <c r="H338" s="18" t="s">
        <v>1000</v>
      </c>
      <c r="I338" s="42" t="s">
        <v>781</v>
      </c>
      <c r="J338" s="18" t="s">
        <v>735</v>
      </c>
      <c r="K338" s="42" t="s">
        <v>1020</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1821</v>
      </c>
      <c r="AY338" s="41" t="s">
        <v>1935</v>
      </c>
      <c r="AZ338" s="33" t="s">
        <v>1234</v>
      </c>
      <c r="BA338" s="41" t="s">
        <v>1935</v>
      </c>
      <c r="BB338" s="33" t="s">
        <v>1931</v>
      </c>
      <c r="BC338" s="41" t="s">
        <v>757</v>
      </c>
      <c r="BD338" s="33" t="s">
        <v>1932</v>
      </c>
      <c r="BE338" s="41" t="str">
        <f t="shared" si="17"/>
        <v>"Bairro"</v>
      </c>
    </row>
    <row r="339" spans="1:57" ht="7.5" customHeight="1" x14ac:dyDescent="0.25">
      <c r="A339" s="39">
        <v>339</v>
      </c>
      <c r="B339" s="67" t="s">
        <v>1100</v>
      </c>
      <c r="C339" s="38" t="s">
        <v>655</v>
      </c>
      <c r="D339" s="18" t="s">
        <v>735</v>
      </c>
      <c r="E339" s="42" t="s">
        <v>787</v>
      </c>
      <c r="F339" s="18" t="s">
        <v>758</v>
      </c>
      <c r="G339" s="42" t="s">
        <v>926</v>
      </c>
      <c r="H339" s="18" t="s">
        <v>1000</v>
      </c>
      <c r="I339" s="42" t="s">
        <v>787</v>
      </c>
      <c r="J339" s="18" t="s">
        <v>735</v>
      </c>
      <c r="K339" s="42" t="s">
        <v>1001</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1821</v>
      </c>
      <c r="AY339" s="41" t="s">
        <v>1935</v>
      </c>
      <c r="AZ339" s="33" t="s">
        <v>1234</v>
      </c>
      <c r="BA339" s="41" t="s">
        <v>1935</v>
      </c>
      <c r="BB339" s="33" t="s">
        <v>1931</v>
      </c>
      <c r="BC339" s="41" t="s">
        <v>757</v>
      </c>
      <c r="BD339" s="33" t="s">
        <v>1932</v>
      </c>
      <c r="BE339" s="41" t="str">
        <f t="shared" si="17"/>
        <v>"Bairro"</v>
      </c>
    </row>
    <row r="340" spans="1:57" ht="7.5" customHeight="1" x14ac:dyDescent="0.25">
      <c r="A340" s="39">
        <v>340</v>
      </c>
      <c r="B340" s="67" t="s">
        <v>1101</v>
      </c>
      <c r="C340" s="38" t="s">
        <v>655</v>
      </c>
      <c r="D340" s="18" t="s">
        <v>735</v>
      </c>
      <c r="E340" s="42" t="s">
        <v>785</v>
      </c>
      <c r="F340" s="18" t="s">
        <v>758</v>
      </c>
      <c r="G340" s="42" t="s">
        <v>927</v>
      </c>
      <c r="H340" s="18" t="s">
        <v>1000</v>
      </c>
      <c r="I340" s="42" t="s">
        <v>785</v>
      </c>
      <c r="J340" s="18" t="s">
        <v>735</v>
      </c>
      <c r="K340" s="42" t="s">
        <v>1005</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1821</v>
      </c>
      <c r="AY340" s="41" t="s">
        <v>1935</v>
      </c>
      <c r="AZ340" s="33" t="s">
        <v>1234</v>
      </c>
      <c r="BA340" s="41" t="s">
        <v>1935</v>
      </c>
      <c r="BB340" s="33" t="s">
        <v>1931</v>
      </c>
      <c r="BC340" s="41" t="s">
        <v>757</v>
      </c>
      <c r="BD340" s="33" t="s">
        <v>1932</v>
      </c>
      <c r="BE340" s="41" t="str">
        <f t="shared" si="17"/>
        <v>"Bairro"</v>
      </c>
    </row>
    <row r="341" spans="1:57" ht="7.5" customHeight="1" x14ac:dyDescent="0.25">
      <c r="A341" s="39">
        <v>341</v>
      </c>
      <c r="B341" s="67" t="s">
        <v>1102</v>
      </c>
      <c r="C341" s="38" t="s">
        <v>655</v>
      </c>
      <c r="D341" s="18" t="s">
        <v>735</v>
      </c>
      <c r="E341" s="42" t="s">
        <v>827</v>
      </c>
      <c r="F341" s="18" t="s">
        <v>758</v>
      </c>
      <c r="G341" s="42" t="s">
        <v>928</v>
      </c>
      <c r="H341" s="18" t="s">
        <v>1000</v>
      </c>
      <c r="I341" s="42" t="s">
        <v>827</v>
      </c>
      <c r="J341" s="18" t="s">
        <v>735</v>
      </c>
      <c r="K341" s="42" t="s">
        <v>1001</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1821</v>
      </c>
      <c r="AY341" s="41" t="s">
        <v>1935</v>
      </c>
      <c r="AZ341" s="33" t="s">
        <v>1234</v>
      </c>
      <c r="BA341" s="41" t="s">
        <v>1935</v>
      </c>
      <c r="BB341" s="33" t="s">
        <v>1931</v>
      </c>
      <c r="BC341" s="41" t="s">
        <v>757</v>
      </c>
      <c r="BD341" s="33" t="s">
        <v>1932</v>
      </c>
      <c r="BE341" s="41" t="str">
        <f t="shared" si="17"/>
        <v>"Bairro"</v>
      </c>
    </row>
    <row r="342" spans="1:57" ht="7.5" customHeight="1" x14ac:dyDescent="0.25">
      <c r="A342" s="39">
        <v>342</v>
      </c>
      <c r="B342" s="67" t="s">
        <v>1103</v>
      </c>
      <c r="C342" s="38" t="s">
        <v>655</v>
      </c>
      <c r="D342" s="18" t="s">
        <v>735</v>
      </c>
      <c r="E342" s="42" t="s">
        <v>797</v>
      </c>
      <c r="F342" s="18" t="s">
        <v>758</v>
      </c>
      <c r="G342" s="42" t="s">
        <v>929</v>
      </c>
      <c r="H342" s="18" t="s">
        <v>1000</v>
      </c>
      <c r="I342" s="42" t="s">
        <v>797</v>
      </c>
      <c r="J342" s="18" t="s">
        <v>735</v>
      </c>
      <c r="K342" s="42" t="s">
        <v>1001</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1821</v>
      </c>
      <c r="AY342" s="41" t="s">
        <v>1935</v>
      </c>
      <c r="AZ342" s="33" t="s">
        <v>1234</v>
      </c>
      <c r="BA342" s="41" t="s">
        <v>1935</v>
      </c>
      <c r="BB342" s="33" t="s">
        <v>1931</v>
      </c>
      <c r="BC342" s="41" t="s">
        <v>757</v>
      </c>
      <c r="BD342" s="33" t="s">
        <v>1932</v>
      </c>
      <c r="BE342" s="41" t="str">
        <f t="shared" si="17"/>
        <v>"Bairro"</v>
      </c>
    </row>
    <row r="343" spans="1:57" ht="7.5" customHeight="1" x14ac:dyDescent="0.25">
      <c r="A343" s="39">
        <v>343</v>
      </c>
      <c r="B343" s="67" t="s">
        <v>1104</v>
      </c>
      <c r="C343" s="38" t="s">
        <v>655</v>
      </c>
      <c r="D343" s="18" t="s">
        <v>735</v>
      </c>
      <c r="E343" s="42" t="s">
        <v>791</v>
      </c>
      <c r="F343" s="18" t="s">
        <v>758</v>
      </c>
      <c r="G343" s="42" t="s">
        <v>930</v>
      </c>
      <c r="H343" s="18" t="s">
        <v>1000</v>
      </c>
      <c r="I343" s="42" t="s">
        <v>791</v>
      </c>
      <c r="J343" s="18" t="s">
        <v>735</v>
      </c>
      <c r="K343" s="42" t="s">
        <v>1001</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1821</v>
      </c>
      <c r="AY343" s="41" t="s">
        <v>1935</v>
      </c>
      <c r="AZ343" s="33" t="s">
        <v>1234</v>
      </c>
      <c r="BA343" s="41" t="s">
        <v>1935</v>
      </c>
      <c r="BB343" s="33" t="s">
        <v>1931</v>
      </c>
      <c r="BC343" s="41" t="s">
        <v>757</v>
      </c>
      <c r="BD343" s="33" t="s">
        <v>1932</v>
      </c>
      <c r="BE343" s="41" t="str">
        <f t="shared" si="17"/>
        <v>"Bairro"</v>
      </c>
    </row>
    <row r="344" spans="1:57" ht="7.5" customHeight="1" x14ac:dyDescent="0.25">
      <c r="A344" s="39">
        <v>344</v>
      </c>
      <c r="B344" s="67" t="s">
        <v>1105</v>
      </c>
      <c r="C344" s="38" t="s">
        <v>655</v>
      </c>
      <c r="D344" s="18" t="s">
        <v>735</v>
      </c>
      <c r="E344" s="42" t="s">
        <v>793</v>
      </c>
      <c r="F344" s="18" t="s">
        <v>758</v>
      </c>
      <c r="G344" s="42" t="s">
        <v>931</v>
      </c>
      <c r="H344" s="18" t="s">
        <v>1000</v>
      </c>
      <c r="I344" s="42" t="s">
        <v>793</v>
      </c>
      <c r="J344" s="18" t="s">
        <v>735</v>
      </c>
      <c r="K344" s="42" t="s">
        <v>1001</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1821</v>
      </c>
      <c r="AY344" s="41" t="s">
        <v>1935</v>
      </c>
      <c r="AZ344" s="33" t="s">
        <v>1234</v>
      </c>
      <c r="BA344" s="41" t="s">
        <v>1935</v>
      </c>
      <c r="BB344" s="33" t="s">
        <v>1931</v>
      </c>
      <c r="BC344" s="41" t="s">
        <v>757</v>
      </c>
      <c r="BD344" s="33" t="s">
        <v>1932</v>
      </c>
      <c r="BE344" s="41" t="str">
        <f t="shared" si="17"/>
        <v>"Bairro"</v>
      </c>
    </row>
    <row r="345" spans="1:57" ht="7.5" customHeight="1" x14ac:dyDescent="0.25">
      <c r="A345" s="39">
        <v>345</v>
      </c>
      <c r="B345" s="67" t="s">
        <v>1106</v>
      </c>
      <c r="C345" s="38" t="s">
        <v>655</v>
      </c>
      <c r="D345" s="18" t="s">
        <v>735</v>
      </c>
      <c r="E345" s="42" t="s">
        <v>807</v>
      </c>
      <c r="F345" s="18" t="s">
        <v>758</v>
      </c>
      <c r="G345" s="42" t="s">
        <v>932</v>
      </c>
      <c r="H345" s="18" t="s">
        <v>1000</v>
      </c>
      <c r="I345" s="42" t="s">
        <v>807</v>
      </c>
      <c r="J345" s="18" t="s">
        <v>735</v>
      </c>
      <c r="K345" s="42" t="s">
        <v>1011</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1821</v>
      </c>
      <c r="AY345" s="41" t="s">
        <v>1935</v>
      </c>
      <c r="AZ345" s="33" t="s">
        <v>1234</v>
      </c>
      <c r="BA345" s="41" t="s">
        <v>1935</v>
      </c>
      <c r="BB345" s="33" t="s">
        <v>1931</v>
      </c>
      <c r="BC345" s="41" t="s">
        <v>757</v>
      </c>
      <c r="BD345" s="33" t="s">
        <v>1932</v>
      </c>
      <c r="BE345" s="41" t="str">
        <f t="shared" si="17"/>
        <v>"Bairro"</v>
      </c>
    </row>
    <row r="346" spans="1:57" ht="7.5" customHeight="1" x14ac:dyDescent="0.25">
      <c r="A346" s="39">
        <v>346</v>
      </c>
      <c r="B346" s="67" t="s">
        <v>1107</v>
      </c>
      <c r="C346" s="38" t="s">
        <v>655</v>
      </c>
      <c r="D346" s="18" t="s">
        <v>735</v>
      </c>
      <c r="E346" s="42" t="s">
        <v>787</v>
      </c>
      <c r="F346" s="18" t="s">
        <v>758</v>
      </c>
      <c r="G346" s="42" t="s">
        <v>933</v>
      </c>
      <c r="H346" s="18" t="s">
        <v>1000</v>
      </c>
      <c r="I346" s="42" t="s">
        <v>787</v>
      </c>
      <c r="J346" s="18" t="s">
        <v>735</v>
      </c>
      <c r="K346" s="42" t="s">
        <v>1001</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1821</v>
      </c>
      <c r="AY346" s="41" t="s">
        <v>1935</v>
      </c>
      <c r="AZ346" s="33" t="s">
        <v>1234</v>
      </c>
      <c r="BA346" s="41" t="s">
        <v>1935</v>
      </c>
      <c r="BB346" s="33" t="s">
        <v>1931</v>
      </c>
      <c r="BC346" s="41" t="s">
        <v>757</v>
      </c>
      <c r="BD346" s="33" t="s">
        <v>1932</v>
      </c>
      <c r="BE346" s="41" t="str">
        <f t="shared" si="17"/>
        <v>"Bairro"</v>
      </c>
    </row>
    <row r="347" spans="1:57" ht="7.5" customHeight="1" x14ac:dyDescent="0.25">
      <c r="A347" s="39">
        <v>347</v>
      </c>
      <c r="B347" s="67" t="s">
        <v>1108</v>
      </c>
      <c r="C347" s="38" t="s">
        <v>655</v>
      </c>
      <c r="D347" s="18" t="s">
        <v>735</v>
      </c>
      <c r="E347" s="42" t="s">
        <v>797</v>
      </c>
      <c r="F347" s="18" t="s">
        <v>758</v>
      </c>
      <c r="G347" s="42" t="s">
        <v>934</v>
      </c>
      <c r="H347" s="18" t="s">
        <v>1000</v>
      </c>
      <c r="I347" s="42" t="s">
        <v>797</v>
      </c>
      <c r="J347" s="18" t="s">
        <v>735</v>
      </c>
      <c r="K347" s="42" t="s">
        <v>1001</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1821</v>
      </c>
      <c r="AY347" s="41" t="s">
        <v>1935</v>
      </c>
      <c r="AZ347" s="33" t="s">
        <v>1234</v>
      </c>
      <c r="BA347" s="41" t="s">
        <v>1935</v>
      </c>
      <c r="BB347" s="33" t="s">
        <v>1931</v>
      </c>
      <c r="BC347" s="41" t="s">
        <v>757</v>
      </c>
      <c r="BD347" s="33" t="s">
        <v>1932</v>
      </c>
      <c r="BE347" s="41" t="str">
        <f t="shared" si="17"/>
        <v>"Bairro"</v>
      </c>
    </row>
    <row r="348" spans="1:57" ht="7.5" customHeight="1" x14ac:dyDescent="0.25">
      <c r="A348" s="39">
        <v>348</v>
      </c>
      <c r="B348" s="67" t="s">
        <v>1109</v>
      </c>
      <c r="C348" s="38" t="s">
        <v>655</v>
      </c>
      <c r="D348" s="18" t="s">
        <v>735</v>
      </c>
      <c r="E348" s="42" t="s">
        <v>805</v>
      </c>
      <c r="F348" s="18" t="s">
        <v>758</v>
      </c>
      <c r="G348" s="42" t="s">
        <v>935</v>
      </c>
      <c r="H348" s="18" t="s">
        <v>1000</v>
      </c>
      <c r="I348" s="42" t="s">
        <v>805</v>
      </c>
      <c r="J348" s="18" t="s">
        <v>735</v>
      </c>
      <c r="K348" s="42" t="s">
        <v>1017</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1821</v>
      </c>
      <c r="AY348" s="41" t="s">
        <v>1935</v>
      </c>
      <c r="AZ348" s="33" t="s">
        <v>1234</v>
      </c>
      <c r="BA348" s="41" t="s">
        <v>1935</v>
      </c>
      <c r="BB348" s="33" t="s">
        <v>1931</v>
      </c>
      <c r="BC348" s="41" t="s">
        <v>757</v>
      </c>
      <c r="BD348" s="33" t="s">
        <v>1932</v>
      </c>
      <c r="BE348" s="41" t="str">
        <f t="shared" si="17"/>
        <v>"Bairro"</v>
      </c>
    </row>
    <row r="349" spans="1:57" ht="7.5" customHeight="1" x14ac:dyDescent="0.25">
      <c r="A349" s="39">
        <v>349</v>
      </c>
      <c r="B349" s="67" t="s">
        <v>1110</v>
      </c>
      <c r="C349" s="38" t="s">
        <v>655</v>
      </c>
      <c r="D349" s="18" t="s">
        <v>735</v>
      </c>
      <c r="E349" s="42" t="s">
        <v>801</v>
      </c>
      <c r="F349" s="18" t="s">
        <v>758</v>
      </c>
      <c r="G349" s="42" t="s">
        <v>936</v>
      </c>
      <c r="H349" s="18" t="s">
        <v>1000</v>
      </c>
      <c r="I349" s="42" t="s">
        <v>801</v>
      </c>
      <c r="J349" s="18" t="s">
        <v>735</v>
      </c>
      <c r="K349" s="42" t="s">
        <v>1013</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1821</v>
      </c>
      <c r="AY349" s="41" t="s">
        <v>1935</v>
      </c>
      <c r="AZ349" s="33" t="s">
        <v>1234</v>
      </c>
      <c r="BA349" s="41" t="s">
        <v>1935</v>
      </c>
      <c r="BB349" s="33" t="s">
        <v>1931</v>
      </c>
      <c r="BC349" s="41" t="s">
        <v>757</v>
      </c>
      <c r="BD349" s="33" t="s">
        <v>1932</v>
      </c>
      <c r="BE349" s="41" t="str">
        <f t="shared" si="17"/>
        <v>"Bairro"</v>
      </c>
    </row>
    <row r="350" spans="1:57" ht="7.5" customHeight="1" x14ac:dyDescent="0.25">
      <c r="A350" s="39">
        <v>350</v>
      </c>
      <c r="B350" s="67" t="s">
        <v>1111</v>
      </c>
      <c r="C350" s="38" t="s">
        <v>655</v>
      </c>
      <c r="D350" s="18" t="s">
        <v>735</v>
      </c>
      <c r="E350" s="42" t="s">
        <v>809</v>
      </c>
      <c r="F350" s="18" t="s">
        <v>758</v>
      </c>
      <c r="G350" s="42" t="s">
        <v>937</v>
      </c>
      <c r="H350" s="18" t="s">
        <v>1000</v>
      </c>
      <c r="I350" s="42" t="s">
        <v>809</v>
      </c>
      <c r="J350" s="18" t="s">
        <v>735</v>
      </c>
      <c r="K350" s="42" t="s">
        <v>1011</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1821</v>
      </c>
      <c r="AY350" s="41" t="s">
        <v>1935</v>
      </c>
      <c r="AZ350" s="33" t="s">
        <v>1234</v>
      </c>
      <c r="BA350" s="41" t="s">
        <v>1935</v>
      </c>
      <c r="BB350" s="33" t="s">
        <v>1931</v>
      </c>
      <c r="BC350" s="41" t="s">
        <v>757</v>
      </c>
      <c r="BD350" s="33" t="s">
        <v>1932</v>
      </c>
      <c r="BE350" s="41" t="str">
        <f t="shared" si="17"/>
        <v>"Bairro"</v>
      </c>
    </row>
    <row r="351" spans="1:57" ht="7.5" customHeight="1" x14ac:dyDescent="0.25">
      <c r="A351" s="39">
        <v>351</v>
      </c>
      <c r="B351" s="67" t="s">
        <v>1112</v>
      </c>
      <c r="C351" s="38" t="s">
        <v>655</v>
      </c>
      <c r="D351" s="18" t="s">
        <v>735</v>
      </c>
      <c r="E351" s="42" t="s">
        <v>829</v>
      </c>
      <c r="F351" s="18" t="s">
        <v>758</v>
      </c>
      <c r="G351" s="42" t="s">
        <v>938</v>
      </c>
      <c r="H351" s="18" t="s">
        <v>1000</v>
      </c>
      <c r="I351" s="42" t="s">
        <v>829</v>
      </c>
      <c r="J351" s="18" t="s">
        <v>735</v>
      </c>
      <c r="K351" s="42" t="s">
        <v>1001</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1821</v>
      </c>
      <c r="AY351" s="41" t="s">
        <v>1935</v>
      </c>
      <c r="AZ351" s="33" t="s">
        <v>1234</v>
      </c>
      <c r="BA351" s="41" t="s">
        <v>1935</v>
      </c>
      <c r="BB351" s="33" t="s">
        <v>1931</v>
      </c>
      <c r="BC351" s="41" t="s">
        <v>757</v>
      </c>
      <c r="BD351" s="33" t="s">
        <v>1932</v>
      </c>
      <c r="BE351" s="41" t="str">
        <f t="shared" si="17"/>
        <v>"Bairro"</v>
      </c>
    </row>
    <row r="352" spans="1:57" ht="7.5" customHeight="1" x14ac:dyDescent="0.25">
      <c r="A352" s="39">
        <v>352</v>
      </c>
      <c r="B352" s="67" t="s">
        <v>1113</v>
      </c>
      <c r="C352" s="38" t="s">
        <v>655</v>
      </c>
      <c r="D352" s="18" t="s">
        <v>735</v>
      </c>
      <c r="E352" s="42" t="s">
        <v>811</v>
      </c>
      <c r="F352" s="18" t="s">
        <v>758</v>
      </c>
      <c r="G352" s="42" t="s">
        <v>939</v>
      </c>
      <c r="H352" s="18" t="s">
        <v>1000</v>
      </c>
      <c r="I352" s="42" t="s">
        <v>811</v>
      </c>
      <c r="J352" s="18" t="s">
        <v>735</v>
      </c>
      <c r="K352" s="42" t="s">
        <v>1001</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1821</v>
      </c>
      <c r="AY352" s="41" t="s">
        <v>1935</v>
      </c>
      <c r="AZ352" s="33" t="s">
        <v>1234</v>
      </c>
      <c r="BA352" s="41" t="s">
        <v>1935</v>
      </c>
      <c r="BB352" s="33" t="s">
        <v>1931</v>
      </c>
      <c r="BC352" s="41" t="s">
        <v>757</v>
      </c>
      <c r="BD352" s="33" t="s">
        <v>1932</v>
      </c>
      <c r="BE352" s="41" t="str">
        <f t="shared" si="17"/>
        <v>"Bairro"</v>
      </c>
    </row>
    <row r="353" spans="1:57" ht="7.5" customHeight="1" x14ac:dyDescent="0.25">
      <c r="A353" s="39">
        <v>353</v>
      </c>
      <c r="B353" s="67" t="s">
        <v>1114</v>
      </c>
      <c r="C353" s="38" t="s">
        <v>655</v>
      </c>
      <c r="D353" s="18" t="s">
        <v>735</v>
      </c>
      <c r="E353" s="42" t="s">
        <v>817</v>
      </c>
      <c r="F353" s="18" t="s">
        <v>758</v>
      </c>
      <c r="G353" s="42" t="s">
        <v>940</v>
      </c>
      <c r="H353" s="18" t="s">
        <v>1000</v>
      </c>
      <c r="I353" s="42" t="s">
        <v>817</v>
      </c>
      <c r="J353" s="18" t="s">
        <v>735</v>
      </c>
      <c r="K353" s="42" t="s">
        <v>1001</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1821</v>
      </c>
      <c r="AY353" s="41" t="s">
        <v>1935</v>
      </c>
      <c r="AZ353" s="33" t="s">
        <v>1234</v>
      </c>
      <c r="BA353" s="41" t="s">
        <v>1935</v>
      </c>
      <c r="BB353" s="33" t="s">
        <v>1931</v>
      </c>
      <c r="BC353" s="41" t="s">
        <v>757</v>
      </c>
      <c r="BD353" s="33" t="s">
        <v>1932</v>
      </c>
      <c r="BE353" s="41" t="str">
        <f t="shared" si="17"/>
        <v>"Bairro"</v>
      </c>
    </row>
    <row r="354" spans="1:57" ht="7.5" customHeight="1" x14ac:dyDescent="0.25">
      <c r="A354" s="39">
        <v>354</v>
      </c>
      <c r="B354" s="67" t="s">
        <v>1115</v>
      </c>
      <c r="C354" s="38" t="s">
        <v>655</v>
      </c>
      <c r="D354" s="18" t="s">
        <v>735</v>
      </c>
      <c r="E354" s="42" t="s">
        <v>817</v>
      </c>
      <c r="F354" s="18" t="s">
        <v>758</v>
      </c>
      <c r="G354" s="42" t="s">
        <v>941</v>
      </c>
      <c r="H354" s="18" t="s">
        <v>1000</v>
      </c>
      <c r="I354" s="42" t="s">
        <v>817</v>
      </c>
      <c r="J354" s="18" t="s">
        <v>735</v>
      </c>
      <c r="K354" s="42" t="s">
        <v>1001</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1821</v>
      </c>
      <c r="AY354" s="41" t="s">
        <v>1935</v>
      </c>
      <c r="AZ354" s="33" t="s">
        <v>1234</v>
      </c>
      <c r="BA354" s="41" t="s">
        <v>1935</v>
      </c>
      <c r="BB354" s="33" t="s">
        <v>1931</v>
      </c>
      <c r="BC354" s="41" t="s">
        <v>757</v>
      </c>
      <c r="BD354" s="33" t="s">
        <v>1932</v>
      </c>
      <c r="BE354" s="41" t="str">
        <f t="shared" si="17"/>
        <v>"Bairro"</v>
      </c>
    </row>
    <row r="355" spans="1:57" ht="7.5" customHeight="1" x14ac:dyDescent="0.25">
      <c r="A355" s="39">
        <v>355</v>
      </c>
      <c r="B355" s="67" t="s">
        <v>1116</v>
      </c>
      <c r="C355" s="38" t="s">
        <v>655</v>
      </c>
      <c r="D355" s="18" t="s">
        <v>735</v>
      </c>
      <c r="E355" s="42" t="s">
        <v>799</v>
      </c>
      <c r="F355" s="18" t="s">
        <v>758</v>
      </c>
      <c r="G355" s="42" t="s">
        <v>942</v>
      </c>
      <c r="H355" s="18" t="s">
        <v>1000</v>
      </c>
      <c r="I355" s="42" t="s">
        <v>799</v>
      </c>
      <c r="J355" s="18" t="s">
        <v>735</v>
      </c>
      <c r="K355" s="42" t="s">
        <v>1009</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1821</v>
      </c>
      <c r="AY355" s="41" t="s">
        <v>1935</v>
      </c>
      <c r="AZ355" s="33" t="s">
        <v>1234</v>
      </c>
      <c r="BA355" s="41" t="s">
        <v>1935</v>
      </c>
      <c r="BB355" s="33" t="s">
        <v>1931</v>
      </c>
      <c r="BC355" s="41" t="s">
        <v>757</v>
      </c>
      <c r="BD355" s="33" t="s">
        <v>1932</v>
      </c>
      <c r="BE355" s="41" t="str">
        <f t="shared" si="17"/>
        <v>"Bairro"</v>
      </c>
    </row>
    <row r="356" spans="1:57" ht="7.5" customHeight="1" x14ac:dyDescent="0.25">
      <c r="A356" s="39">
        <v>356</v>
      </c>
      <c r="B356" s="67" t="s">
        <v>1117</v>
      </c>
      <c r="C356" s="38" t="s">
        <v>655</v>
      </c>
      <c r="D356" s="18" t="s">
        <v>735</v>
      </c>
      <c r="E356" s="42" t="s">
        <v>819</v>
      </c>
      <c r="F356" s="18" t="s">
        <v>758</v>
      </c>
      <c r="G356" s="42" t="s">
        <v>943</v>
      </c>
      <c r="H356" s="18" t="s">
        <v>1000</v>
      </c>
      <c r="I356" s="42" t="s">
        <v>819</v>
      </c>
      <c r="J356" s="18" t="s">
        <v>735</v>
      </c>
      <c r="K356" s="42" t="s">
        <v>1017</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1821</v>
      </c>
      <c r="AY356" s="41" t="s">
        <v>1935</v>
      </c>
      <c r="AZ356" s="33" t="s">
        <v>1234</v>
      </c>
      <c r="BA356" s="41" t="s">
        <v>1935</v>
      </c>
      <c r="BB356" s="33" t="s">
        <v>1931</v>
      </c>
      <c r="BC356" s="41" t="s">
        <v>757</v>
      </c>
      <c r="BD356" s="33" t="s">
        <v>1932</v>
      </c>
      <c r="BE356" s="41" t="str">
        <f t="shared" si="17"/>
        <v>"Bairro"</v>
      </c>
    </row>
    <row r="357" spans="1:57" ht="7.5" customHeight="1" x14ac:dyDescent="0.25">
      <c r="A357" s="39">
        <v>357</v>
      </c>
      <c r="B357" s="67" t="s">
        <v>1118</v>
      </c>
      <c r="C357" s="38" t="s">
        <v>655</v>
      </c>
      <c r="D357" s="18" t="s">
        <v>735</v>
      </c>
      <c r="E357" s="42" t="s">
        <v>789</v>
      </c>
      <c r="F357" s="18" t="s">
        <v>758</v>
      </c>
      <c r="G357" s="42" t="s">
        <v>944</v>
      </c>
      <c r="H357" s="18" t="s">
        <v>1000</v>
      </c>
      <c r="I357" s="42" t="s">
        <v>789</v>
      </c>
      <c r="J357" s="18" t="s">
        <v>735</v>
      </c>
      <c r="K357" s="42" t="s">
        <v>1001</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1821</v>
      </c>
      <c r="AY357" s="41" t="s">
        <v>1935</v>
      </c>
      <c r="AZ357" s="33" t="s">
        <v>1234</v>
      </c>
      <c r="BA357" s="41" t="s">
        <v>1935</v>
      </c>
      <c r="BB357" s="33" t="s">
        <v>1931</v>
      </c>
      <c r="BC357" s="41" t="s">
        <v>757</v>
      </c>
      <c r="BD357" s="33" t="s">
        <v>1932</v>
      </c>
      <c r="BE357" s="41" t="str">
        <f t="shared" si="17"/>
        <v>"Bairro"</v>
      </c>
    </row>
    <row r="358" spans="1:57" ht="7.5" customHeight="1" x14ac:dyDescent="0.25">
      <c r="A358" s="39">
        <v>358</v>
      </c>
      <c r="B358" s="67" t="s">
        <v>1119</v>
      </c>
      <c r="C358" s="38" t="s">
        <v>655</v>
      </c>
      <c r="D358" s="18" t="s">
        <v>735</v>
      </c>
      <c r="E358" s="42" t="s">
        <v>789</v>
      </c>
      <c r="F358" s="18" t="s">
        <v>758</v>
      </c>
      <c r="G358" s="42" t="s">
        <v>945</v>
      </c>
      <c r="H358" s="18" t="s">
        <v>1000</v>
      </c>
      <c r="I358" s="42" t="s">
        <v>789</v>
      </c>
      <c r="J358" s="18" t="s">
        <v>735</v>
      </c>
      <c r="K358" s="42" t="s">
        <v>1001</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1821</v>
      </c>
      <c r="AY358" s="41" t="s">
        <v>1935</v>
      </c>
      <c r="AZ358" s="33" t="s">
        <v>1234</v>
      </c>
      <c r="BA358" s="41" t="s">
        <v>1935</v>
      </c>
      <c r="BB358" s="33" t="s">
        <v>1931</v>
      </c>
      <c r="BC358" s="41" t="s">
        <v>757</v>
      </c>
      <c r="BD358" s="33" t="s">
        <v>1932</v>
      </c>
      <c r="BE358" s="41" t="str">
        <f t="shared" si="17"/>
        <v>"Bairro"</v>
      </c>
    </row>
    <row r="359" spans="1:57" ht="7.5" customHeight="1" x14ac:dyDescent="0.25">
      <c r="A359" s="39">
        <v>359</v>
      </c>
      <c r="B359" s="67" t="s">
        <v>1120</v>
      </c>
      <c r="C359" s="38" t="s">
        <v>655</v>
      </c>
      <c r="D359" s="18" t="s">
        <v>735</v>
      </c>
      <c r="E359" s="42" t="s">
        <v>793</v>
      </c>
      <c r="F359" s="18" t="s">
        <v>758</v>
      </c>
      <c r="G359" s="42" t="s">
        <v>946</v>
      </c>
      <c r="H359" s="18" t="s">
        <v>1000</v>
      </c>
      <c r="I359" s="42" t="s">
        <v>793</v>
      </c>
      <c r="J359" s="18" t="s">
        <v>735</v>
      </c>
      <c r="K359" s="42" t="s">
        <v>1001</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1821</v>
      </c>
      <c r="AY359" s="41" t="s">
        <v>1935</v>
      </c>
      <c r="AZ359" s="33" t="s">
        <v>1234</v>
      </c>
      <c r="BA359" s="41" t="s">
        <v>1935</v>
      </c>
      <c r="BB359" s="33" t="s">
        <v>1931</v>
      </c>
      <c r="BC359" s="41" t="s">
        <v>757</v>
      </c>
      <c r="BD359" s="33" t="s">
        <v>1932</v>
      </c>
      <c r="BE359" s="41" t="str">
        <f t="shared" si="17"/>
        <v>"Bairro"</v>
      </c>
    </row>
    <row r="360" spans="1:57" ht="7.5" customHeight="1" x14ac:dyDescent="0.25">
      <c r="A360" s="39">
        <v>360</v>
      </c>
      <c r="B360" s="67" t="s">
        <v>1121</v>
      </c>
      <c r="C360" s="38" t="s">
        <v>655</v>
      </c>
      <c r="D360" s="18" t="s">
        <v>735</v>
      </c>
      <c r="E360" s="42" t="s">
        <v>793</v>
      </c>
      <c r="F360" s="18" t="s">
        <v>758</v>
      </c>
      <c r="G360" s="42" t="s">
        <v>947</v>
      </c>
      <c r="H360" s="18" t="s">
        <v>1000</v>
      </c>
      <c r="I360" s="42" t="s">
        <v>793</v>
      </c>
      <c r="J360" s="18" t="s">
        <v>735</v>
      </c>
      <c r="K360" s="42" t="s">
        <v>1001</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1821</v>
      </c>
      <c r="AY360" s="41" t="s">
        <v>1935</v>
      </c>
      <c r="AZ360" s="33" t="s">
        <v>1234</v>
      </c>
      <c r="BA360" s="41" t="s">
        <v>1935</v>
      </c>
      <c r="BB360" s="33" t="s">
        <v>1931</v>
      </c>
      <c r="BC360" s="41" t="s">
        <v>757</v>
      </c>
      <c r="BD360" s="33" t="s">
        <v>1932</v>
      </c>
      <c r="BE360" s="41" t="str">
        <f t="shared" si="17"/>
        <v>"Bairro"</v>
      </c>
    </row>
    <row r="361" spans="1:57" ht="7.5" customHeight="1" x14ac:dyDescent="0.25">
      <c r="A361" s="39">
        <v>361</v>
      </c>
      <c r="B361" s="67" t="s">
        <v>1122</v>
      </c>
      <c r="C361" s="38" t="s">
        <v>655</v>
      </c>
      <c r="D361" s="18" t="s">
        <v>735</v>
      </c>
      <c r="E361" s="42" t="s">
        <v>807</v>
      </c>
      <c r="F361" s="18" t="s">
        <v>758</v>
      </c>
      <c r="G361" s="42" t="s">
        <v>948</v>
      </c>
      <c r="H361" s="18" t="s">
        <v>1000</v>
      </c>
      <c r="I361" s="42" t="s">
        <v>807</v>
      </c>
      <c r="J361" s="18" t="s">
        <v>735</v>
      </c>
      <c r="K361" s="42" t="s">
        <v>1011</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1821</v>
      </c>
      <c r="AY361" s="41" t="s">
        <v>1935</v>
      </c>
      <c r="AZ361" s="33" t="s">
        <v>1234</v>
      </c>
      <c r="BA361" s="41" t="s">
        <v>1935</v>
      </c>
      <c r="BB361" s="33" t="s">
        <v>1931</v>
      </c>
      <c r="BC361" s="41" t="s">
        <v>757</v>
      </c>
      <c r="BD361" s="33" t="s">
        <v>1932</v>
      </c>
      <c r="BE361" s="41" t="str">
        <f t="shared" si="17"/>
        <v>"Bairro"</v>
      </c>
    </row>
    <row r="362" spans="1:57" ht="7.5" customHeight="1" x14ac:dyDescent="0.25">
      <c r="A362" s="39">
        <v>362</v>
      </c>
      <c r="B362" s="67" t="s">
        <v>1123</v>
      </c>
      <c r="C362" s="38" t="s">
        <v>655</v>
      </c>
      <c r="D362" s="18" t="s">
        <v>735</v>
      </c>
      <c r="E362" s="42" t="s">
        <v>807</v>
      </c>
      <c r="F362" s="18" t="s">
        <v>758</v>
      </c>
      <c r="G362" s="42" t="s">
        <v>949</v>
      </c>
      <c r="H362" s="18" t="s">
        <v>1000</v>
      </c>
      <c r="I362" s="42" t="s">
        <v>807</v>
      </c>
      <c r="J362" s="18" t="s">
        <v>735</v>
      </c>
      <c r="K362" s="42" t="s">
        <v>1011</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1821</v>
      </c>
      <c r="AY362" s="41" t="s">
        <v>1935</v>
      </c>
      <c r="AZ362" s="33" t="s">
        <v>1234</v>
      </c>
      <c r="BA362" s="41" t="s">
        <v>1935</v>
      </c>
      <c r="BB362" s="33" t="s">
        <v>1931</v>
      </c>
      <c r="BC362" s="41" t="s">
        <v>757</v>
      </c>
      <c r="BD362" s="33" t="s">
        <v>1932</v>
      </c>
      <c r="BE362" s="41" t="str">
        <f t="shared" si="17"/>
        <v>"Bairro"</v>
      </c>
    </row>
    <row r="363" spans="1:57" ht="7.5" customHeight="1" x14ac:dyDescent="0.25">
      <c r="A363" s="39">
        <v>363</v>
      </c>
      <c r="B363" s="67" t="s">
        <v>1124</v>
      </c>
      <c r="C363" s="38" t="s">
        <v>655</v>
      </c>
      <c r="D363" s="18" t="s">
        <v>735</v>
      </c>
      <c r="E363" s="42" t="s">
        <v>783</v>
      </c>
      <c r="F363" s="18" t="s">
        <v>758</v>
      </c>
      <c r="G363" s="42" t="s">
        <v>950</v>
      </c>
      <c r="H363" s="18" t="s">
        <v>1000</v>
      </c>
      <c r="I363" s="42" t="s">
        <v>783</v>
      </c>
      <c r="J363" s="18" t="s">
        <v>735</v>
      </c>
      <c r="K363" s="42" t="s">
        <v>1005</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1821</v>
      </c>
      <c r="AY363" s="41" t="s">
        <v>1935</v>
      </c>
      <c r="AZ363" s="33" t="s">
        <v>1234</v>
      </c>
      <c r="BA363" s="41" t="s">
        <v>1935</v>
      </c>
      <c r="BB363" s="33" t="s">
        <v>1931</v>
      </c>
      <c r="BC363" s="41" t="s">
        <v>757</v>
      </c>
      <c r="BD363" s="33" t="s">
        <v>1932</v>
      </c>
      <c r="BE363" s="41" t="str">
        <f t="shared" si="17"/>
        <v>"Bairro"</v>
      </c>
    </row>
    <row r="364" spans="1:57" ht="7.5" customHeight="1" x14ac:dyDescent="0.25">
      <c r="A364" s="39">
        <v>364</v>
      </c>
      <c r="B364" s="67" t="s">
        <v>1125</v>
      </c>
      <c r="C364" s="38" t="s">
        <v>655</v>
      </c>
      <c r="D364" s="18" t="s">
        <v>735</v>
      </c>
      <c r="E364" s="42" t="s">
        <v>799</v>
      </c>
      <c r="F364" s="18" t="s">
        <v>758</v>
      </c>
      <c r="G364" s="42" t="s">
        <v>951</v>
      </c>
      <c r="H364" s="18" t="s">
        <v>1000</v>
      </c>
      <c r="I364" s="42" t="s">
        <v>799</v>
      </c>
      <c r="J364" s="18" t="s">
        <v>735</v>
      </c>
      <c r="K364" s="42" t="s">
        <v>1009</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1821</v>
      </c>
      <c r="AY364" s="41" t="s">
        <v>1935</v>
      </c>
      <c r="AZ364" s="33" t="s">
        <v>1234</v>
      </c>
      <c r="BA364" s="41" t="s">
        <v>1935</v>
      </c>
      <c r="BB364" s="33" t="s">
        <v>1931</v>
      </c>
      <c r="BC364" s="41" t="s">
        <v>757</v>
      </c>
      <c r="BD364" s="33" t="s">
        <v>1932</v>
      </c>
      <c r="BE364" s="41" t="str">
        <f t="shared" si="17"/>
        <v>"Bairro"</v>
      </c>
    </row>
    <row r="365" spans="1:57" ht="7.5" customHeight="1" x14ac:dyDescent="0.25">
      <c r="A365" s="39">
        <v>365</v>
      </c>
      <c r="B365" s="67" t="s">
        <v>1126</v>
      </c>
      <c r="C365" s="38" t="s">
        <v>655</v>
      </c>
      <c r="D365" s="18" t="s">
        <v>735</v>
      </c>
      <c r="E365" s="42" t="s">
        <v>807</v>
      </c>
      <c r="F365" s="18" t="s">
        <v>758</v>
      </c>
      <c r="G365" s="42" t="s">
        <v>952</v>
      </c>
      <c r="H365" s="18" t="s">
        <v>1000</v>
      </c>
      <c r="I365" s="42" t="s">
        <v>807</v>
      </c>
      <c r="J365" s="18" t="s">
        <v>735</v>
      </c>
      <c r="K365" s="42" t="s">
        <v>1011</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1821</v>
      </c>
      <c r="AY365" s="41" t="s">
        <v>1935</v>
      </c>
      <c r="AZ365" s="33" t="s">
        <v>1234</v>
      </c>
      <c r="BA365" s="41" t="s">
        <v>1935</v>
      </c>
      <c r="BB365" s="33" t="s">
        <v>1931</v>
      </c>
      <c r="BC365" s="41" t="s">
        <v>757</v>
      </c>
      <c r="BD365" s="33" t="s">
        <v>1932</v>
      </c>
      <c r="BE365" s="41" t="str">
        <f t="shared" si="17"/>
        <v>"Bairro"</v>
      </c>
    </row>
    <row r="366" spans="1:57" ht="7.5" customHeight="1" x14ac:dyDescent="0.25">
      <c r="A366" s="39">
        <v>366</v>
      </c>
      <c r="B366" s="67" t="s">
        <v>1127</v>
      </c>
      <c r="C366" s="38" t="s">
        <v>655</v>
      </c>
      <c r="D366" s="18" t="s">
        <v>735</v>
      </c>
      <c r="E366" s="42" t="s">
        <v>797</v>
      </c>
      <c r="F366" s="18" t="s">
        <v>758</v>
      </c>
      <c r="G366" s="42" t="s">
        <v>953</v>
      </c>
      <c r="H366" s="18" t="s">
        <v>1000</v>
      </c>
      <c r="I366" s="42" t="s">
        <v>797</v>
      </c>
      <c r="J366" s="18" t="s">
        <v>735</v>
      </c>
      <c r="K366" s="42" t="s">
        <v>1001</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1821</v>
      </c>
      <c r="AY366" s="41" t="s">
        <v>1935</v>
      </c>
      <c r="AZ366" s="33" t="s">
        <v>1234</v>
      </c>
      <c r="BA366" s="41" t="s">
        <v>1935</v>
      </c>
      <c r="BB366" s="33" t="s">
        <v>1931</v>
      </c>
      <c r="BC366" s="41" t="s">
        <v>757</v>
      </c>
      <c r="BD366" s="33" t="s">
        <v>1932</v>
      </c>
      <c r="BE366" s="41" t="str">
        <f t="shared" si="17"/>
        <v>"Bairro"</v>
      </c>
    </row>
    <row r="367" spans="1:57" ht="7.5" customHeight="1" x14ac:dyDescent="0.25">
      <c r="A367" s="39">
        <v>367</v>
      </c>
      <c r="B367" s="67" t="s">
        <v>1128</v>
      </c>
      <c r="C367" s="38" t="s">
        <v>655</v>
      </c>
      <c r="D367" s="18" t="s">
        <v>735</v>
      </c>
      <c r="E367" s="42" t="s">
        <v>787</v>
      </c>
      <c r="F367" s="18" t="s">
        <v>758</v>
      </c>
      <c r="G367" s="42" t="s">
        <v>954</v>
      </c>
      <c r="H367" s="18" t="s">
        <v>1000</v>
      </c>
      <c r="I367" s="42" t="s">
        <v>787</v>
      </c>
      <c r="J367" s="18" t="s">
        <v>735</v>
      </c>
      <c r="K367" s="42" t="s">
        <v>1001</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1821</v>
      </c>
      <c r="AY367" s="41" t="s">
        <v>1935</v>
      </c>
      <c r="AZ367" s="33" t="s">
        <v>1234</v>
      </c>
      <c r="BA367" s="41" t="s">
        <v>1935</v>
      </c>
      <c r="BB367" s="33" t="s">
        <v>1931</v>
      </c>
      <c r="BC367" s="41" t="s">
        <v>757</v>
      </c>
      <c r="BD367" s="33" t="s">
        <v>1932</v>
      </c>
      <c r="BE367" s="41" t="str">
        <f t="shared" si="17"/>
        <v>"Bairro"</v>
      </c>
    </row>
    <row r="368" spans="1:57" ht="7.5" customHeight="1" x14ac:dyDescent="0.25">
      <c r="A368" s="39">
        <v>368</v>
      </c>
      <c r="B368" s="67" t="s">
        <v>1129</v>
      </c>
      <c r="C368" s="38" t="s">
        <v>655</v>
      </c>
      <c r="D368" s="18" t="s">
        <v>735</v>
      </c>
      <c r="E368" s="42" t="s">
        <v>831</v>
      </c>
      <c r="F368" s="18" t="s">
        <v>758</v>
      </c>
      <c r="G368" s="42" t="s">
        <v>955</v>
      </c>
      <c r="H368" s="18" t="s">
        <v>1000</v>
      </c>
      <c r="I368" s="42" t="s">
        <v>831</v>
      </c>
      <c r="J368" s="18" t="s">
        <v>735</v>
      </c>
      <c r="K368" s="42" t="s">
        <v>1013</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1821</v>
      </c>
      <c r="AY368" s="41" t="s">
        <v>1935</v>
      </c>
      <c r="AZ368" s="33" t="s">
        <v>1234</v>
      </c>
      <c r="BA368" s="41" t="s">
        <v>1935</v>
      </c>
      <c r="BB368" s="33" t="s">
        <v>1931</v>
      </c>
      <c r="BC368" s="41" t="s">
        <v>757</v>
      </c>
      <c r="BD368" s="33" t="s">
        <v>1932</v>
      </c>
      <c r="BE368" s="41" t="str">
        <f t="shared" si="17"/>
        <v>"Bairro"</v>
      </c>
    </row>
    <row r="369" spans="1:57" ht="7.5" customHeight="1" x14ac:dyDescent="0.25">
      <c r="A369" s="39">
        <v>369</v>
      </c>
      <c r="B369" s="67" t="s">
        <v>1130</v>
      </c>
      <c r="C369" s="38" t="s">
        <v>655</v>
      </c>
      <c r="D369" s="18" t="s">
        <v>735</v>
      </c>
      <c r="E369" s="42" t="s">
        <v>815</v>
      </c>
      <c r="F369" s="18" t="s">
        <v>758</v>
      </c>
      <c r="G369" s="42" t="s">
        <v>956</v>
      </c>
      <c r="H369" s="18" t="s">
        <v>1000</v>
      </c>
      <c r="I369" s="42" t="s">
        <v>815</v>
      </c>
      <c r="J369" s="18" t="s">
        <v>735</v>
      </c>
      <c r="K369" s="42" t="s">
        <v>1015</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1821</v>
      </c>
      <c r="AY369" s="41" t="s">
        <v>1935</v>
      </c>
      <c r="AZ369" s="33" t="s">
        <v>1234</v>
      </c>
      <c r="BA369" s="41" t="s">
        <v>1935</v>
      </c>
      <c r="BB369" s="33" t="s">
        <v>1931</v>
      </c>
      <c r="BC369" s="41" t="s">
        <v>757</v>
      </c>
      <c r="BD369" s="33" t="s">
        <v>1932</v>
      </c>
      <c r="BE369" s="41" t="str">
        <f t="shared" si="17"/>
        <v>"Bairro"</v>
      </c>
    </row>
    <row r="370" spans="1:57" ht="7.5" customHeight="1" x14ac:dyDescent="0.25">
      <c r="A370" s="39">
        <v>370</v>
      </c>
      <c r="B370" s="67" t="s">
        <v>1131</v>
      </c>
      <c r="C370" s="38" t="s">
        <v>655</v>
      </c>
      <c r="D370" s="18" t="s">
        <v>735</v>
      </c>
      <c r="E370" s="42" t="s">
        <v>793</v>
      </c>
      <c r="F370" s="18" t="s">
        <v>758</v>
      </c>
      <c r="G370" s="42" t="s">
        <v>957</v>
      </c>
      <c r="H370" s="18" t="s">
        <v>1000</v>
      </c>
      <c r="I370" s="42" t="s">
        <v>793</v>
      </c>
      <c r="J370" s="18" t="s">
        <v>735</v>
      </c>
      <c r="K370" s="42" t="s">
        <v>1001</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1821</v>
      </c>
      <c r="AY370" s="41" t="s">
        <v>1935</v>
      </c>
      <c r="AZ370" s="33" t="s">
        <v>1234</v>
      </c>
      <c r="BA370" s="41" t="s">
        <v>1935</v>
      </c>
      <c r="BB370" s="33" t="s">
        <v>1931</v>
      </c>
      <c r="BC370" s="41" t="s">
        <v>757</v>
      </c>
      <c r="BD370" s="33" t="s">
        <v>1932</v>
      </c>
      <c r="BE370" s="41" t="str">
        <f t="shared" si="17"/>
        <v>"Bairro"</v>
      </c>
    </row>
    <row r="371" spans="1:57" ht="7.5" customHeight="1" x14ac:dyDescent="0.25">
      <c r="A371" s="39">
        <v>371</v>
      </c>
      <c r="B371" s="67" t="s">
        <v>1132</v>
      </c>
      <c r="C371" s="38" t="s">
        <v>655</v>
      </c>
      <c r="D371" s="18" t="s">
        <v>735</v>
      </c>
      <c r="E371" s="42" t="s">
        <v>807</v>
      </c>
      <c r="F371" s="18" t="s">
        <v>758</v>
      </c>
      <c r="G371" s="42" t="s">
        <v>958</v>
      </c>
      <c r="H371" s="18" t="s">
        <v>1000</v>
      </c>
      <c r="I371" s="42" t="s">
        <v>807</v>
      </c>
      <c r="J371" s="18" t="s">
        <v>735</v>
      </c>
      <c r="K371" s="42" t="s">
        <v>1011</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1821</v>
      </c>
      <c r="AY371" s="41" t="s">
        <v>1935</v>
      </c>
      <c r="AZ371" s="33" t="s">
        <v>1234</v>
      </c>
      <c r="BA371" s="41" t="s">
        <v>1935</v>
      </c>
      <c r="BB371" s="33" t="s">
        <v>1931</v>
      </c>
      <c r="BC371" s="41" t="s">
        <v>757</v>
      </c>
      <c r="BD371" s="33" t="s">
        <v>1932</v>
      </c>
      <c r="BE371" s="41" t="str">
        <f t="shared" ref="BE371:BE434" si="19">_xlfn.CONCAT("""",C371,"""")</f>
        <v>"Bairro"</v>
      </c>
    </row>
    <row r="372" spans="1:57" ht="7.5" customHeight="1" x14ac:dyDescent="0.25">
      <c r="A372" s="39">
        <v>372</v>
      </c>
      <c r="B372" s="67" t="s">
        <v>1133</v>
      </c>
      <c r="C372" s="38" t="s">
        <v>655</v>
      </c>
      <c r="D372" s="18" t="s">
        <v>735</v>
      </c>
      <c r="E372" s="42" t="s">
        <v>811</v>
      </c>
      <c r="F372" s="18" t="s">
        <v>758</v>
      </c>
      <c r="G372" s="42" t="s">
        <v>959</v>
      </c>
      <c r="H372" s="18" t="s">
        <v>1000</v>
      </c>
      <c r="I372" s="42" t="s">
        <v>811</v>
      </c>
      <c r="J372" s="18" t="s">
        <v>735</v>
      </c>
      <c r="K372" s="42" t="s">
        <v>1001</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1821</v>
      </c>
      <c r="AY372" s="41" t="s">
        <v>1935</v>
      </c>
      <c r="AZ372" s="33" t="s">
        <v>1234</v>
      </c>
      <c r="BA372" s="41" t="s">
        <v>1935</v>
      </c>
      <c r="BB372" s="33" t="s">
        <v>1931</v>
      </c>
      <c r="BC372" s="41" t="s">
        <v>757</v>
      </c>
      <c r="BD372" s="33" t="s">
        <v>1932</v>
      </c>
      <c r="BE372" s="41" t="str">
        <f t="shared" si="19"/>
        <v>"Bairro"</v>
      </c>
    </row>
    <row r="373" spans="1:57" ht="7.5" customHeight="1" x14ac:dyDescent="0.25">
      <c r="A373" s="39">
        <v>373</v>
      </c>
      <c r="B373" s="67" t="s">
        <v>1134</v>
      </c>
      <c r="C373" s="38" t="s">
        <v>655</v>
      </c>
      <c r="D373" s="18" t="s">
        <v>735</v>
      </c>
      <c r="E373" s="42" t="s">
        <v>773</v>
      </c>
      <c r="F373" s="18" t="s">
        <v>758</v>
      </c>
      <c r="G373" s="42" t="s">
        <v>960</v>
      </c>
      <c r="H373" s="18" t="s">
        <v>1000</v>
      </c>
      <c r="I373" s="42" t="s">
        <v>773</v>
      </c>
      <c r="J373" s="18" t="s">
        <v>735</v>
      </c>
      <c r="K373" s="42" t="s">
        <v>1020</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1821</v>
      </c>
      <c r="AY373" s="41" t="s">
        <v>1935</v>
      </c>
      <c r="AZ373" s="33" t="s">
        <v>1234</v>
      </c>
      <c r="BA373" s="41" t="s">
        <v>1935</v>
      </c>
      <c r="BB373" s="33" t="s">
        <v>1931</v>
      </c>
      <c r="BC373" s="41" t="s">
        <v>757</v>
      </c>
      <c r="BD373" s="33" t="s">
        <v>1932</v>
      </c>
      <c r="BE373" s="41" t="str">
        <f t="shared" si="19"/>
        <v>"Bairro"</v>
      </c>
    </row>
    <row r="374" spans="1:57" ht="7.5" customHeight="1" x14ac:dyDescent="0.25">
      <c r="A374" s="39">
        <v>374</v>
      </c>
      <c r="B374" s="67" t="s">
        <v>1135</v>
      </c>
      <c r="C374" s="38" t="s">
        <v>655</v>
      </c>
      <c r="D374" s="18" t="s">
        <v>735</v>
      </c>
      <c r="E374" s="42" t="s">
        <v>793</v>
      </c>
      <c r="F374" s="18" t="s">
        <v>758</v>
      </c>
      <c r="G374" s="42" t="s">
        <v>961</v>
      </c>
      <c r="H374" s="18" t="s">
        <v>1000</v>
      </c>
      <c r="I374" s="42" t="s">
        <v>793</v>
      </c>
      <c r="J374" s="18" t="s">
        <v>735</v>
      </c>
      <c r="K374" s="42" t="s">
        <v>1001</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1821</v>
      </c>
      <c r="AY374" s="41" t="s">
        <v>1935</v>
      </c>
      <c r="AZ374" s="33" t="s">
        <v>1234</v>
      </c>
      <c r="BA374" s="41" t="s">
        <v>1935</v>
      </c>
      <c r="BB374" s="33" t="s">
        <v>1931</v>
      </c>
      <c r="BC374" s="41" t="s">
        <v>757</v>
      </c>
      <c r="BD374" s="33" t="s">
        <v>1932</v>
      </c>
      <c r="BE374" s="41" t="str">
        <f t="shared" si="19"/>
        <v>"Bairro"</v>
      </c>
    </row>
    <row r="375" spans="1:57" ht="7.5" customHeight="1" x14ac:dyDescent="0.25">
      <c r="A375" s="39">
        <v>375</v>
      </c>
      <c r="B375" s="67" t="s">
        <v>1136</v>
      </c>
      <c r="C375" s="38" t="s">
        <v>655</v>
      </c>
      <c r="D375" s="18" t="s">
        <v>735</v>
      </c>
      <c r="E375" s="42" t="s">
        <v>797</v>
      </c>
      <c r="F375" s="18" t="s">
        <v>758</v>
      </c>
      <c r="G375" s="42" t="s">
        <v>962</v>
      </c>
      <c r="H375" s="18" t="s">
        <v>1000</v>
      </c>
      <c r="I375" s="42" t="s">
        <v>797</v>
      </c>
      <c r="J375" s="18" t="s">
        <v>735</v>
      </c>
      <c r="K375" s="42" t="s">
        <v>1001</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1821</v>
      </c>
      <c r="AY375" s="41" t="s">
        <v>1935</v>
      </c>
      <c r="AZ375" s="33" t="s">
        <v>1234</v>
      </c>
      <c r="BA375" s="41" t="s">
        <v>1935</v>
      </c>
      <c r="BB375" s="33" t="s">
        <v>1931</v>
      </c>
      <c r="BC375" s="41" t="s">
        <v>757</v>
      </c>
      <c r="BD375" s="33" t="s">
        <v>1932</v>
      </c>
      <c r="BE375" s="41" t="str">
        <f t="shared" si="19"/>
        <v>"Bairro"</v>
      </c>
    </row>
    <row r="376" spans="1:57" ht="7.5" customHeight="1" x14ac:dyDescent="0.25">
      <c r="A376" s="39">
        <v>376</v>
      </c>
      <c r="B376" s="67" t="s">
        <v>1137</v>
      </c>
      <c r="C376" s="38" t="s">
        <v>655</v>
      </c>
      <c r="D376" s="18" t="s">
        <v>735</v>
      </c>
      <c r="E376" s="42" t="s">
        <v>821</v>
      </c>
      <c r="F376" s="18" t="s">
        <v>758</v>
      </c>
      <c r="G376" s="42" t="s">
        <v>963</v>
      </c>
      <c r="H376" s="18" t="s">
        <v>1000</v>
      </c>
      <c r="I376" s="42" t="s">
        <v>821</v>
      </c>
      <c r="J376" s="18" t="s">
        <v>735</v>
      </c>
      <c r="K376" s="42" t="s">
        <v>1024</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1821</v>
      </c>
      <c r="AY376" s="41" t="s">
        <v>1935</v>
      </c>
      <c r="AZ376" s="33" t="s">
        <v>1234</v>
      </c>
      <c r="BA376" s="41" t="s">
        <v>1935</v>
      </c>
      <c r="BB376" s="33" t="s">
        <v>1931</v>
      </c>
      <c r="BC376" s="41" t="s">
        <v>757</v>
      </c>
      <c r="BD376" s="33" t="s">
        <v>1932</v>
      </c>
      <c r="BE376" s="41" t="str">
        <f t="shared" si="19"/>
        <v>"Bairro"</v>
      </c>
    </row>
    <row r="377" spans="1:57" ht="7.5" customHeight="1" x14ac:dyDescent="0.25">
      <c r="A377" s="39">
        <v>377</v>
      </c>
      <c r="B377" s="67" t="s">
        <v>1138</v>
      </c>
      <c r="C377" s="38" t="s">
        <v>655</v>
      </c>
      <c r="D377" s="18" t="s">
        <v>735</v>
      </c>
      <c r="E377" s="42" t="s">
        <v>793</v>
      </c>
      <c r="F377" s="18" t="s">
        <v>758</v>
      </c>
      <c r="G377" s="42" t="s">
        <v>964</v>
      </c>
      <c r="H377" s="18" t="s">
        <v>1000</v>
      </c>
      <c r="I377" s="42" t="s">
        <v>793</v>
      </c>
      <c r="J377" s="18" t="s">
        <v>735</v>
      </c>
      <c r="K377" s="42" t="s">
        <v>1001</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1821</v>
      </c>
      <c r="AY377" s="41" t="s">
        <v>1935</v>
      </c>
      <c r="AZ377" s="33" t="s">
        <v>1234</v>
      </c>
      <c r="BA377" s="41" t="s">
        <v>1935</v>
      </c>
      <c r="BB377" s="33" t="s">
        <v>1931</v>
      </c>
      <c r="BC377" s="41" t="s">
        <v>757</v>
      </c>
      <c r="BD377" s="33" t="s">
        <v>1932</v>
      </c>
      <c r="BE377" s="41" t="str">
        <f t="shared" si="19"/>
        <v>"Bairro"</v>
      </c>
    </row>
    <row r="378" spans="1:57" ht="7.5" customHeight="1" x14ac:dyDescent="0.25">
      <c r="A378" s="39">
        <v>378</v>
      </c>
      <c r="B378" s="67" t="s">
        <v>1139</v>
      </c>
      <c r="C378" s="38" t="s">
        <v>655</v>
      </c>
      <c r="D378" s="18" t="s">
        <v>735</v>
      </c>
      <c r="E378" s="42" t="s">
        <v>805</v>
      </c>
      <c r="F378" s="18" t="s">
        <v>758</v>
      </c>
      <c r="G378" s="42" t="s">
        <v>965</v>
      </c>
      <c r="H378" s="18" t="s">
        <v>1000</v>
      </c>
      <c r="I378" s="42" t="s">
        <v>805</v>
      </c>
      <c r="J378" s="18" t="s">
        <v>735</v>
      </c>
      <c r="K378" s="42" t="s">
        <v>1017</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1821</v>
      </c>
      <c r="AY378" s="41" t="s">
        <v>1935</v>
      </c>
      <c r="AZ378" s="33" t="s">
        <v>1234</v>
      </c>
      <c r="BA378" s="41" t="s">
        <v>1935</v>
      </c>
      <c r="BB378" s="33" t="s">
        <v>1931</v>
      </c>
      <c r="BC378" s="41" t="s">
        <v>757</v>
      </c>
      <c r="BD378" s="33" t="s">
        <v>1932</v>
      </c>
      <c r="BE378" s="41" t="str">
        <f t="shared" si="19"/>
        <v>"Bairro"</v>
      </c>
    </row>
    <row r="379" spans="1:57" ht="7.5" customHeight="1" x14ac:dyDescent="0.25">
      <c r="A379" s="39">
        <v>379</v>
      </c>
      <c r="B379" s="67" t="s">
        <v>1140</v>
      </c>
      <c r="C379" s="38" t="s">
        <v>655</v>
      </c>
      <c r="D379" s="18" t="s">
        <v>735</v>
      </c>
      <c r="E379" s="42" t="s">
        <v>813</v>
      </c>
      <c r="F379" s="18" t="s">
        <v>758</v>
      </c>
      <c r="G379" s="42" t="s">
        <v>966</v>
      </c>
      <c r="H379" s="18" t="s">
        <v>1000</v>
      </c>
      <c r="I379" s="42" t="s">
        <v>813</v>
      </c>
      <c r="J379" s="18" t="s">
        <v>735</v>
      </c>
      <c r="K379" s="42" t="s">
        <v>1020</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1821</v>
      </c>
      <c r="AY379" s="41" t="s">
        <v>1935</v>
      </c>
      <c r="AZ379" s="33" t="s">
        <v>1234</v>
      </c>
      <c r="BA379" s="41" t="s">
        <v>1935</v>
      </c>
      <c r="BB379" s="33" t="s">
        <v>1931</v>
      </c>
      <c r="BC379" s="41" t="s">
        <v>757</v>
      </c>
      <c r="BD379" s="33" t="s">
        <v>1932</v>
      </c>
      <c r="BE379" s="41" t="str">
        <f t="shared" si="19"/>
        <v>"Bairro"</v>
      </c>
    </row>
    <row r="380" spans="1:57" ht="7.5" customHeight="1" x14ac:dyDescent="0.25">
      <c r="A380" s="39">
        <v>380</v>
      </c>
      <c r="B380" s="67" t="s">
        <v>1141</v>
      </c>
      <c r="C380" s="38" t="s">
        <v>655</v>
      </c>
      <c r="D380" s="18" t="s">
        <v>735</v>
      </c>
      <c r="E380" s="42" t="s">
        <v>803</v>
      </c>
      <c r="F380" s="18" t="s">
        <v>758</v>
      </c>
      <c r="G380" s="42" t="s">
        <v>967</v>
      </c>
      <c r="H380" s="18" t="s">
        <v>1000</v>
      </c>
      <c r="I380" s="42" t="s">
        <v>803</v>
      </c>
      <c r="J380" s="18" t="s">
        <v>735</v>
      </c>
      <c r="K380" s="42" t="s">
        <v>1017</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1821</v>
      </c>
      <c r="AY380" s="41" t="s">
        <v>1935</v>
      </c>
      <c r="AZ380" s="33" t="s">
        <v>1234</v>
      </c>
      <c r="BA380" s="41" t="s">
        <v>1935</v>
      </c>
      <c r="BB380" s="33" t="s">
        <v>1931</v>
      </c>
      <c r="BC380" s="41" t="s">
        <v>757</v>
      </c>
      <c r="BD380" s="33" t="s">
        <v>1932</v>
      </c>
      <c r="BE380" s="41" t="str">
        <f t="shared" si="19"/>
        <v>"Bairro"</v>
      </c>
    </row>
    <row r="381" spans="1:57" ht="7.5" customHeight="1" x14ac:dyDescent="0.25">
      <c r="A381" s="39">
        <v>381</v>
      </c>
      <c r="B381" s="67" t="s">
        <v>1142</v>
      </c>
      <c r="C381" s="38" t="s">
        <v>655</v>
      </c>
      <c r="D381" s="18" t="s">
        <v>735</v>
      </c>
      <c r="E381" s="42" t="s">
        <v>769</v>
      </c>
      <c r="F381" s="18" t="s">
        <v>758</v>
      </c>
      <c r="G381" s="42" t="s">
        <v>968</v>
      </c>
      <c r="H381" s="18" t="s">
        <v>1000</v>
      </c>
      <c r="I381" s="42" t="s">
        <v>769</v>
      </c>
      <c r="J381" s="18" t="s">
        <v>735</v>
      </c>
      <c r="K381" s="42" t="s">
        <v>1020</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1821</v>
      </c>
      <c r="AY381" s="41" t="s">
        <v>1935</v>
      </c>
      <c r="AZ381" s="33" t="s">
        <v>1234</v>
      </c>
      <c r="BA381" s="41" t="s">
        <v>1935</v>
      </c>
      <c r="BB381" s="33" t="s">
        <v>1931</v>
      </c>
      <c r="BC381" s="41" t="s">
        <v>757</v>
      </c>
      <c r="BD381" s="33" t="s">
        <v>1932</v>
      </c>
      <c r="BE381" s="41" t="str">
        <f t="shared" si="19"/>
        <v>"Bairro"</v>
      </c>
    </row>
    <row r="382" spans="1:57" ht="7.5" customHeight="1" x14ac:dyDescent="0.25">
      <c r="A382" s="39">
        <v>382</v>
      </c>
      <c r="B382" s="67" t="s">
        <v>1143</v>
      </c>
      <c r="C382" s="38" t="s">
        <v>655</v>
      </c>
      <c r="D382" s="18" t="s">
        <v>735</v>
      </c>
      <c r="E382" s="42" t="s">
        <v>779</v>
      </c>
      <c r="F382" s="18" t="s">
        <v>758</v>
      </c>
      <c r="G382" s="42" t="s">
        <v>969</v>
      </c>
      <c r="H382" s="18" t="s">
        <v>1000</v>
      </c>
      <c r="I382" s="42" t="s">
        <v>779</v>
      </c>
      <c r="J382" s="18" t="s">
        <v>735</v>
      </c>
      <c r="K382" s="42" t="s">
        <v>1024</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1821</v>
      </c>
      <c r="AY382" s="41" t="s">
        <v>1935</v>
      </c>
      <c r="AZ382" s="33" t="s">
        <v>1234</v>
      </c>
      <c r="BA382" s="41" t="s">
        <v>1935</v>
      </c>
      <c r="BB382" s="33" t="s">
        <v>1931</v>
      </c>
      <c r="BC382" s="41" t="s">
        <v>757</v>
      </c>
      <c r="BD382" s="33" t="s">
        <v>1932</v>
      </c>
      <c r="BE382" s="41" t="str">
        <f t="shared" si="19"/>
        <v>"Bairro"</v>
      </c>
    </row>
    <row r="383" spans="1:57" ht="7.5" customHeight="1" x14ac:dyDescent="0.25">
      <c r="A383" s="39">
        <v>383</v>
      </c>
      <c r="B383" s="67" t="s">
        <v>1144</v>
      </c>
      <c r="C383" s="38" t="s">
        <v>655</v>
      </c>
      <c r="D383" s="18" t="s">
        <v>735</v>
      </c>
      <c r="E383" s="42" t="s">
        <v>781</v>
      </c>
      <c r="F383" s="18" t="s">
        <v>758</v>
      </c>
      <c r="G383" s="42" t="s">
        <v>970</v>
      </c>
      <c r="H383" s="18" t="s">
        <v>1000</v>
      </c>
      <c r="I383" s="42" t="s">
        <v>781</v>
      </c>
      <c r="J383" s="18" t="s">
        <v>735</v>
      </c>
      <c r="K383" s="42" t="s">
        <v>1020</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1821</v>
      </c>
      <c r="AY383" s="41" t="s">
        <v>1935</v>
      </c>
      <c r="AZ383" s="33" t="s">
        <v>1234</v>
      </c>
      <c r="BA383" s="41" t="s">
        <v>1935</v>
      </c>
      <c r="BB383" s="33" t="s">
        <v>1931</v>
      </c>
      <c r="BC383" s="41" t="s">
        <v>757</v>
      </c>
      <c r="BD383" s="33" t="s">
        <v>1932</v>
      </c>
      <c r="BE383" s="41" t="str">
        <f t="shared" si="19"/>
        <v>"Bairro"</v>
      </c>
    </row>
    <row r="384" spans="1:57" ht="7.5" customHeight="1" x14ac:dyDescent="0.25">
      <c r="A384" s="39">
        <v>384</v>
      </c>
      <c r="B384" s="67" t="s">
        <v>1145</v>
      </c>
      <c r="C384" s="38" t="s">
        <v>655</v>
      </c>
      <c r="D384" s="18" t="s">
        <v>735</v>
      </c>
      <c r="E384" s="42" t="s">
        <v>793</v>
      </c>
      <c r="F384" s="18" t="s">
        <v>758</v>
      </c>
      <c r="G384" s="42" t="s">
        <v>971</v>
      </c>
      <c r="H384" s="18" t="s">
        <v>1000</v>
      </c>
      <c r="I384" s="42" t="s">
        <v>793</v>
      </c>
      <c r="J384" s="18" t="s">
        <v>735</v>
      </c>
      <c r="K384" s="42" t="s">
        <v>1001</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1821</v>
      </c>
      <c r="AY384" s="41" t="s">
        <v>1935</v>
      </c>
      <c r="AZ384" s="33" t="s">
        <v>1234</v>
      </c>
      <c r="BA384" s="41" t="s">
        <v>1935</v>
      </c>
      <c r="BB384" s="33" t="s">
        <v>1931</v>
      </c>
      <c r="BC384" s="41" t="s">
        <v>757</v>
      </c>
      <c r="BD384" s="33" t="s">
        <v>1932</v>
      </c>
      <c r="BE384" s="41" t="str">
        <f t="shared" si="19"/>
        <v>"Bairro"</v>
      </c>
    </row>
    <row r="385" spans="1:57" ht="7.5" customHeight="1" x14ac:dyDescent="0.25">
      <c r="A385" s="39">
        <v>385</v>
      </c>
      <c r="B385" s="67" t="s">
        <v>693</v>
      </c>
      <c r="C385" s="38" t="s">
        <v>655</v>
      </c>
      <c r="D385" s="18" t="s">
        <v>735</v>
      </c>
      <c r="E385" s="42" t="s">
        <v>769</v>
      </c>
      <c r="F385" s="18" t="s">
        <v>758</v>
      </c>
      <c r="G385" s="42" t="s">
        <v>972</v>
      </c>
      <c r="H385" s="18" t="s">
        <v>1000</v>
      </c>
      <c r="I385" s="42" t="s">
        <v>769</v>
      </c>
      <c r="J385" s="18" t="s">
        <v>735</v>
      </c>
      <c r="K385" s="42" t="s">
        <v>1020</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1821</v>
      </c>
      <c r="AY385" s="41" t="s">
        <v>1935</v>
      </c>
      <c r="AZ385" s="33" t="s">
        <v>1234</v>
      </c>
      <c r="BA385" s="41" t="s">
        <v>1935</v>
      </c>
      <c r="BB385" s="33" t="s">
        <v>1931</v>
      </c>
      <c r="BC385" s="41" t="s">
        <v>757</v>
      </c>
      <c r="BD385" s="33" t="s">
        <v>1932</v>
      </c>
      <c r="BE385" s="41" t="str">
        <f t="shared" si="19"/>
        <v>"Bairro"</v>
      </c>
    </row>
    <row r="386" spans="1:57" ht="7.5" customHeight="1" x14ac:dyDescent="0.25">
      <c r="A386" s="39">
        <v>386</v>
      </c>
      <c r="B386" s="67" t="s">
        <v>1146</v>
      </c>
      <c r="C386" s="38" t="s">
        <v>655</v>
      </c>
      <c r="D386" s="18" t="s">
        <v>735</v>
      </c>
      <c r="E386" s="42" t="s">
        <v>801</v>
      </c>
      <c r="F386" s="18" t="s">
        <v>758</v>
      </c>
      <c r="G386" s="42" t="s">
        <v>973</v>
      </c>
      <c r="H386" s="18" t="s">
        <v>1000</v>
      </c>
      <c r="I386" s="42" t="s">
        <v>801</v>
      </c>
      <c r="J386" s="18" t="s">
        <v>735</v>
      </c>
      <c r="K386" s="42" t="s">
        <v>1013</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1821</v>
      </c>
      <c r="AY386" s="41" t="s">
        <v>1935</v>
      </c>
      <c r="AZ386" s="33" t="s">
        <v>1234</v>
      </c>
      <c r="BA386" s="41" t="s">
        <v>1935</v>
      </c>
      <c r="BB386" s="33" t="s">
        <v>1931</v>
      </c>
      <c r="BC386" s="41" t="s">
        <v>757</v>
      </c>
      <c r="BD386" s="33" t="s">
        <v>1932</v>
      </c>
      <c r="BE386" s="41" t="str">
        <f t="shared" si="19"/>
        <v>"Bairro"</v>
      </c>
    </row>
    <row r="387" spans="1:57" ht="7.5" customHeight="1" x14ac:dyDescent="0.25">
      <c r="A387" s="39">
        <v>387</v>
      </c>
      <c r="B387" s="67" t="s">
        <v>1147</v>
      </c>
      <c r="C387" s="38" t="s">
        <v>655</v>
      </c>
      <c r="D387" s="18" t="s">
        <v>735</v>
      </c>
      <c r="E387" s="42" t="s">
        <v>803</v>
      </c>
      <c r="F387" s="18" t="s">
        <v>758</v>
      </c>
      <c r="G387" s="42" t="s">
        <v>974</v>
      </c>
      <c r="H387" s="18" t="s">
        <v>1000</v>
      </c>
      <c r="I387" s="42" t="s">
        <v>803</v>
      </c>
      <c r="J387" s="18" t="s">
        <v>735</v>
      </c>
      <c r="K387" s="42" t="s">
        <v>1017</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1821</v>
      </c>
      <c r="AY387" s="41" t="s">
        <v>1935</v>
      </c>
      <c r="AZ387" s="33" t="s">
        <v>1234</v>
      </c>
      <c r="BA387" s="41" t="s">
        <v>1935</v>
      </c>
      <c r="BB387" s="33" t="s">
        <v>1931</v>
      </c>
      <c r="BC387" s="41" t="s">
        <v>757</v>
      </c>
      <c r="BD387" s="33" t="s">
        <v>1932</v>
      </c>
      <c r="BE387" s="41" t="str">
        <f t="shared" si="19"/>
        <v>"Bairro"</v>
      </c>
    </row>
    <row r="388" spans="1:57" ht="7.5" customHeight="1" x14ac:dyDescent="0.25">
      <c r="A388" s="39">
        <v>388</v>
      </c>
      <c r="B388" s="67" t="s">
        <v>1148</v>
      </c>
      <c r="C388" s="38" t="s">
        <v>655</v>
      </c>
      <c r="D388" s="18" t="s">
        <v>735</v>
      </c>
      <c r="E388" s="42" t="s">
        <v>805</v>
      </c>
      <c r="F388" s="18" t="s">
        <v>758</v>
      </c>
      <c r="G388" s="42" t="s">
        <v>975</v>
      </c>
      <c r="H388" s="18" t="s">
        <v>1000</v>
      </c>
      <c r="I388" s="42" t="s">
        <v>805</v>
      </c>
      <c r="J388" s="18" t="s">
        <v>735</v>
      </c>
      <c r="K388" s="42" t="s">
        <v>1017</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1821</v>
      </c>
      <c r="AY388" s="41" t="s">
        <v>1935</v>
      </c>
      <c r="AZ388" s="33" t="s">
        <v>1234</v>
      </c>
      <c r="BA388" s="41" t="s">
        <v>1935</v>
      </c>
      <c r="BB388" s="33" t="s">
        <v>1931</v>
      </c>
      <c r="BC388" s="41" t="s">
        <v>757</v>
      </c>
      <c r="BD388" s="33" t="s">
        <v>1932</v>
      </c>
      <c r="BE388" s="41" t="str">
        <f t="shared" si="19"/>
        <v>"Bairro"</v>
      </c>
    </row>
    <row r="389" spans="1:57" ht="7.5" customHeight="1" x14ac:dyDescent="0.25">
      <c r="A389" s="39">
        <v>389</v>
      </c>
      <c r="B389" s="67" t="s">
        <v>1149</v>
      </c>
      <c r="C389" s="38" t="s">
        <v>655</v>
      </c>
      <c r="D389" s="18" t="s">
        <v>735</v>
      </c>
      <c r="E389" s="42" t="s">
        <v>799</v>
      </c>
      <c r="F389" s="18" t="s">
        <v>758</v>
      </c>
      <c r="G389" s="42" t="s">
        <v>976</v>
      </c>
      <c r="H389" s="18" t="s">
        <v>1000</v>
      </c>
      <c r="I389" s="42" t="s">
        <v>799</v>
      </c>
      <c r="J389" s="18" t="s">
        <v>735</v>
      </c>
      <c r="K389" s="42" t="s">
        <v>1009</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1821</v>
      </c>
      <c r="AY389" s="41" t="s">
        <v>1935</v>
      </c>
      <c r="AZ389" s="33" t="s">
        <v>1234</v>
      </c>
      <c r="BA389" s="41" t="s">
        <v>1935</v>
      </c>
      <c r="BB389" s="33" t="s">
        <v>1931</v>
      </c>
      <c r="BC389" s="41" t="s">
        <v>757</v>
      </c>
      <c r="BD389" s="33" t="s">
        <v>1932</v>
      </c>
      <c r="BE389" s="41" t="str">
        <f t="shared" si="19"/>
        <v>"Bairro"</v>
      </c>
    </row>
    <row r="390" spans="1:57" ht="7.5" customHeight="1" x14ac:dyDescent="0.25">
      <c r="A390" s="39">
        <v>390</v>
      </c>
      <c r="B390" s="67" t="s">
        <v>1150</v>
      </c>
      <c r="C390" s="38" t="s">
        <v>655</v>
      </c>
      <c r="D390" s="18" t="s">
        <v>735</v>
      </c>
      <c r="E390" s="42" t="s">
        <v>799</v>
      </c>
      <c r="F390" s="18" t="s">
        <v>758</v>
      </c>
      <c r="G390" s="42" t="s">
        <v>977</v>
      </c>
      <c r="H390" s="18" t="s">
        <v>1000</v>
      </c>
      <c r="I390" s="42" t="s">
        <v>799</v>
      </c>
      <c r="J390" s="18" t="s">
        <v>735</v>
      </c>
      <c r="K390" s="42" t="s">
        <v>1009</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1821</v>
      </c>
      <c r="AY390" s="41" t="s">
        <v>1935</v>
      </c>
      <c r="AZ390" s="33" t="s">
        <v>1234</v>
      </c>
      <c r="BA390" s="41" t="s">
        <v>1935</v>
      </c>
      <c r="BB390" s="33" t="s">
        <v>1931</v>
      </c>
      <c r="BC390" s="41" t="s">
        <v>757</v>
      </c>
      <c r="BD390" s="33" t="s">
        <v>1932</v>
      </c>
      <c r="BE390" s="41" t="str">
        <f t="shared" si="19"/>
        <v>"Bairro"</v>
      </c>
    </row>
    <row r="391" spans="1:57" ht="7.5" customHeight="1" x14ac:dyDescent="0.25">
      <c r="A391" s="39">
        <v>391</v>
      </c>
      <c r="B391" s="67" t="s">
        <v>1151</v>
      </c>
      <c r="C391" s="38" t="s">
        <v>655</v>
      </c>
      <c r="D391" s="18" t="s">
        <v>735</v>
      </c>
      <c r="E391" s="42" t="s">
        <v>807</v>
      </c>
      <c r="F391" s="18" t="s">
        <v>758</v>
      </c>
      <c r="G391" s="42" t="s">
        <v>978</v>
      </c>
      <c r="H391" s="18" t="s">
        <v>1000</v>
      </c>
      <c r="I391" s="42" t="s">
        <v>807</v>
      </c>
      <c r="J391" s="18" t="s">
        <v>735</v>
      </c>
      <c r="K391" s="42" t="s">
        <v>1011</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1821</v>
      </c>
      <c r="AY391" s="41" t="s">
        <v>1935</v>
      </c>
      <c r="AZ391" s="33" t="s">
        <v>1234</v>
      </c>
      <c r="BA391" s="41" t="s">
        <v>1935</v>
      </c>
      <c r="BB391" s="33" t="s">
        <v>1931</v>
      </c>
      <c r="BC391" s="41" t="s">
        <v>757</v>
      </c>
      <c r="BD391" s="33" t="s">
        <v>1932</v>
      </c>
      <c r="BE391" s="41" t="str">
        <f t="shared" si="19"/>
        <v>"Bairro"</v>
      </c>
    </row>
    <row r="392" spans="1:57" ht="7.5" customHeight="1" x14ac:dyDescent="0.25">
      <c r="A392" s="39">
        <v>392</v>
      </c>
      <c r="B392" s="67" t="s">
        <v>1152</v>
      </c>
      <c r="C392" s="38" t="s">
        <v>655</v>
      </c>
      <c r="D392" s="18" t="s">
        <v>735</v>
      </c>
      <c r="E392" s="42" t="s">
        <v>783</v>
      </c>
      <c r="F392" s="18" t="s">
        <v>758</v>
      </c>
      <c r="G392" s="42" t="s">
        <v>979</v>
      </c>
      <c r="H392" s="18" t="s">
        <v>1000</v>
      </c>
      <c r="I392" s="42" t="s">
        <v>783</v>
      </c>
      <c r="J392" s="18" t="s">
        <v>735</v>
      </c>
      <c r="K392" s="42" t="s">
        <v>1005</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1821</v>
      </c>
      <c r="AY392" s="41" t="s">
        <v>1935</v>
      </c>
      <c r="AZ392" s="33" t="s">
        <v>1234</v>
      </c>
      <c r="BA392" s="41" t="s">
        <v>1935</v>
      </c>
      <c r="BB392" s="33" t="s">
        <v>1931</v>
      </c>
      <c r="BC392" s="41" t="s">
        <v>757</v>
      </c>
      <c r="BD392" s="33" t="s">
        <v>1932</v>
      </c>
      <c r="BE392" s="41" t="str">
        <f t="shared" si="19"/>
        <v>"Bairro"</v>
      </c>
    </row>
    <row r="393" spans="1:57" ht="7.5" customHeight="1" x14ac:dyDescent="0.25">
      <c r="A393" s="39">
        <v>393</v>
      </c>
      <c r="B393" s="67" t="s">
        <v>1153</v>
      </c>
      <c r="C393" s="38" t="s">
        <v>655</v>
      </c>
      <c r="D393" s="18" t="s">
        <v>735</v>
      </c>
      <c r="E393" s="42" t="s">
        <v>793</v>
      </c>
      <c r="F393" s="18" t="s">
        <v>758</v>
      </c>
      <c r="G393" s="42" t="s">
        <v>980</v>
      </c>
      <c r="H393" s="18" t="s">
        <v>1000</v>
      </c>
      <c r="I393" s="42" t="s">
        <v>793</v>
      </c>
      <c r="J393" s="18" t="s">
        <v>735</v>
      </c>
      <c r="K393" s="42" t="s">
        <v>1001</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1821</v>
      </c>
      <c r="AY393" s="41" t="s">
        <v>1935</v>
      </c>
      <c r="AZ393" s="33" t="s">
        <v>1234</v>
      </c>
      <c r="BA393" s="41" t="s">
        <v>1935</v>
      </c>
      <c r="BB393" s="33" t="s">
        <v>1931</v>
      </c>
      <c r="BC393" s="41" t="s">
        <v>757</v>
      </c>
      <c r="BD393" s="33" t="s">
        <v>1932</v>
      </c>
      <c r="BE393" s="41" t="str">
        <f t="shared" si="19"/>
        <v>"Bairro"</v>
      </c>
    </row>
    <row r="394" spans="1:57" ht="7.5" customHeight="1" x14ac:dyDescent="0.25">
      <c r="A394" s="39">
        <v>394</v>
      </c>
      <c r="B394" s="67" t="s">
        <v>1154</v>
      </c>
      <c r="C394" s="38" t="s">
        <v>655</v>
      </c>
      <c r="D394" s="18" t="s">
        <v>735</v>
      </c>
      <c r="E394" s="42" t="s">
        <v>791</v>
      </c>
      <c r="F394" s="18" t="s">
        <v>758</v>
      </c>
      <c r="G394" s="42" t="s">
        <v>981</v>
      </c>
      <c r="H394" s="18" t="s">
        <v>1000</v>
      </c>
      <c r="I394" s="42" t="s">
        <v>791</v>
      </c>
      <c r="J394" s="18" t="s">
        <v>735</v>
      </c>
      <c r="K394" s="42" t="s">
        <v>1001</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1821</v>
      </c>
      <c r="AY394" s="41" t="s">
        <v>1935</v>
      </c>
      <c r="AZ394" s="33" t="s">
        <v>1234</v>
      </c>
      <c r="BA394" s="41" t="s">
        <v>1935</v>
      </c>
      <c r="BB394" s="33" t="s">
        <v>1931</v>
      </c>
      <c r="BC394" s="41" t="s">
        <v>757</v>
      </c>
      <c r="BD394" s="33" t="s">
        <v>1932</v>
      </c>
      <c r="BE394" s="41" t="str">
        <f t="shared" si="19"/>
        <v>"Bairro"</v>
      </c>
    </row>
    <row r="395" spans="1:57" ht="7.5" customHeight="1" x14ac:dyDescent="0.25">
      <c r="A395" s="39">
        <v>395</v>
      </c>
      <c r="B395" s="67" t="s">
        <v>1155</v>
      </c>
      <c r="C395" s="38" t="s">
        <v>655</v>
      </c>
      <c r="D395" s="18" t="s">
        <v>735</v>
      </c>
      <c r="E395" s="42" t="s">
        <v>797</v>
      </c>
      <c r="F395" s="18" t="s">
        <v>758</v>
      </c>
      <c r="G395" s="42" t="s">
        <v>982</v>
      </c>
      <c r="H395" s="18" t="s">
        <v>1000</v>
      </c>
      <c r="I395" s="42" t="s">
        <v>797</v>
      </c>
      <c r="J395" s="18" t="s">
        <v>735</v>
      </c>
      <c r="K395" s="42" t="s">
        <v>1001</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1821</v>
      </c>
      <c r="AY395" s="41" t="s">
        <v>1935</v>
      </c>
      <c r="AZ395" s="33" t="s">
        <v>1234</v>
      </c>
      <c r="BA395" s="41" t="s">
        <v>1935</v>
      </c>
      <c r="BB395" s="33" t="s">
        <v>1931</v>
      </c>
      <c r="BC395" s="41" t="s">
        <v>757</v>
      </c>
      <c r="BD395" s="33" t="s">
        <v>1932</v>
      </c>
      <c r="BE395" s="41" t="str">
        <f t="shared" si="19"/>
        <v>"Bairro"</v>
      </c>
    </row>
    <row r="396" spans="1:57" ht="7.5" customHeight="1" x14ac:dyDescent="0.25">
      <c r="A396" s="39">
        <v>396</v>
      </c>
      <c r="B396" s="67" t="s">
        <v>1156</v>
      </c>
      <c r="C396" s="38" t="s">
        <v>655</v>
      </c>
      <c r="D396" s="18" t="s">
        <v>735</v>
      </c>
      <c r="E396" s="42" t="s">
        <v>775</v>
      </c>
      <c r="F396" s="18" t="s">
        <v>758</v>
      </c>
      <c r="G396" s="42" t="s">
        <v>983</v>
      </c>
      <c r="H396" s="18" t="s">
        <v>1000</v>
      </c>
      <c r="I396" s="42" t="s">
        <v>775</v>
      </c>
      <c r="J396" s="18" t="s">
        <v>735</v>
      </c>
      <c r="K396" s="42" t="s">
        <v>1024</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1821</v>
      </c>
      <c r="AY396" s="41" t="s">
        <v>1935</v>
      </c>
      <c r="AZ396" s="33" t="s">
        <v>1234</v>
      </c>
      <c r="BA396" s="41" t="s">
        <v>1935</v>
      </c>
      <c r="BB396" s="33" t="s">
        <v>1931</v>
      </c>
      <c r="BC396" s="41" t="s">
        <v>757</v>
      </c>
      <c r="BD396" s="33" t="s">
        <v>1932</v>
      </c>
      <c r="BE396" s="41" t="str">
        <f t="shared" si="19"/>
        <v>"Bairro"</v>
      </c>
    </row>
    <row r="397" spans="1:57" ht="7.5" customHeight="1" x14ac:dyDescent="0.25">
      <c r="A397" s="39">
        <v>397</v>
      </c>
      <c r="B397" s="67" t="s">
        <v>1157</v>
      </c>
      <c r="C397" s="38" t="s">
        <v>655</v>
      </c>
      <c r="D397" s="18" t="s">
        <v>735</v>
      </c>
      <c r="E397" s="42" t="s">
        <v>815</v>
      </c>
      <c r="F397" s="18" t="s">
        <v>758</v>
      </c>
      <c r="G397" s="42" t="s">
        <v>984</v>
      </c>
      <c r="H397" s="18" t="s">
        <v>1000</v>
      </c>
      <c r="I397" s="42" t="s">
        <v>815</v>
      </c>
      <c r="J397" s="18" t="s">
        <v>735</v>
      </c>
      <c r="K397" s="42" t="s">
        <v>1015</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1821</v>
      </c>
      <c r="AY397" s="41" t="s">
        <v>1935</v>
      </c>
      <c r="AZ397" s="33" t="s">
        <v>1234</v>
      </c>
      <c r="BA397" s="41" t="s">
        <v>1935</v>
      </c>
      <c r="BB397" s="33" t="s">
        <v>1931</v>
      </c>
      <c r="BC397" s="41" t="s">
        <v>757</v>
      </c>
      <c r="BD397" s="33" t="s">
        <v>1932</v>
      </c>
      <c r="BE397" s="41" t="str">
        <f t="shared" si="19"/>
        <v>"Bairro"</v>
      </c>
    </row>
    <row r="398" spans="1:57" ht="7.5" customHeight="1" x14ac:dyDescent="0.25">
      <c r="A398" s="39">
        <v>398</v>
      </c>
      <c r="B398" s="67" t="s">
        <v>1158</v>
      </c>
      <c r="C398" s="38" t="s">
        <v>655</v>
      </c>
      <c r="D398" s="18" t="s">
        <v>735</v>
      </c>
      <c r="E398" s="42" t="s">
        <v>815</v>
      </c>
      <c r="F398" s="18" t="s">
        <v>758</v>
      </c>
      <c r="G398" s="42" t="s">
        <v>985</v>
      </c>
      <c r="H398" s="18" t="s">
        <v>1000</v>
      </c>
      <c r="I398" s="42" t="s">
        <v>815</v>
      </c>
      <c r="J398" s="18" t="s">
        <v>735</v>
      </c>
      <c r="K398" s="42" t="s">
        <v>1015</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1821</v>
      </c>
      <c r="AY398" s="41" t="s">
        <v>1935</v>
      </c>
      <c r="AZ398" s="33" t="s">
        <v>1234</v>
      </c>
      <c r="BA398" s="41" t="s">
        <v>1935</v>
      </c>
      <c r="BB398" s="33" t="s">
        <v>1931</v>
      </c>
      <c r="BC398" s="41" t="s">
        <v>757</v>
      </c>
      <c r="BD398" s="33" t="s">
        <v>1932</v>
      </c>
      <c r="BE398" s="41" t="str">
        <f t="shared" si="19"/>
        <v>"Bairro"</v>
      </c>
    </row>
    <row r="399" spans="1:57" ht="7.5" customHeight="1" x14ac:dyDescent="0.25">
      <c r="A399" s="39">
        <v>399</v>
      </c>
      <c r="B399" s="67" t="s">
        <v>1159</v>
      </c>
      <c r="C399" s="38" t="s">
        <v>655</v>
      </c>
      <c r="D399" s="18" t="s">
        <v>735</v>
      </c>
      <c r="E399" s="42" t="s">
        <v>781</v>
      </c>
      <c r="F399" s="18" t="s">
        <v>758</v>
      </c>
      <c r="G399" s="42" t="s">
        <v>986</v>
      </c>
      <c r="H399" s="18" t="s">
        <v>1000</v>
      </c>
      <c r="I399" s="42" t="s">
        <v>781</v>
      </c>
      <c r="J399" s="18" t="s">
        <v>735</v>
      </c>
      <c r="K399" s="42" t="s">
        <v>1020</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1821</v>
      </c>
      <c r="AY399" s="41" t="s">
        <v>1935</v>
      </c>
      <c r="AZ399" s="33" t="s">
        <v>1234</v>
      </c>
      <c r="BA399" s="41" t="s">
        <v>1935</v>
      </c>
      <c r="BB399" s="33" t="s">
        <v>1931</v>
      </c>
      <c r="BC399" s="41" t="s">
        <v>757</v>
      </c>
      <c r="BD399" s="33" t="s">
        <v>1932</v>
      </c>
      <c r="BE399" s="41" t="str">
        <f t="shared" si="19"/>
        <v>"Bairro"</v>
      </c>
    </row>
    <row r="400" spans="1:57" ht="7.5" customHeight="1" x14ac:dyDescent="0.25">
      <c r="A400" s="39">
        <v>400</v>
      </c>
      <c r="B400" s="67" t="s">
        <v>1160</v>
      </c>
      <c r="C400" s="38" t="s">
        <v>655</v>
      </c>
      <c r="D400" s="18" t="s">
        <v>735</v>
      </c>
      <c r="E400" s="42" t="s">
        <v>797</v>
      </c>
      <c r="F400" s="18" t="s">
        <v>758</v>
      </c>
      <c r="G400" s="42" t="s">
        <v>987</v>
      </c>
      <c r="H400" s="18" t="s">
        <v>1000</v>
      </c>
      <c r="I400" s="42" t="s">
        <v>797</v>
      </c>
      <c r="J400" s="18" t="s">
        <v>735</v>
      </c>
      <c r="K400" s="42" t="s">
        <v>1001</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1821</v>
      </c>
      <c r="AY400" s="41" t="s">
        <v>1935</v>
      </c>
      <c r="AZ400" s="33" t="s">
        <v>1234</v>
      </c>
      <c r="BA400" s="41" t="s">
        <v>1935</v>
      </c>
      <c r="BB400" s="33" t="s">
        <v>1931</v>
      </c>
      <c r="BC400" s="41" t="s">
        <v>757</v>
      </c>
      <c r="BD400" s="33" t="s">
        <v>1932</v>
      </c>
      <c r="BE400" s="41" t="str">
        <f t="shared" si="19"/>
        <v>"Bairro"</v>
      </c>
    </row>
    <row r="401" spans="1:57" ht="7.5" customHeight="1" x14ac:dyDescent="0.25">
      <c r="A401" s="39">
        <v>401</v>
      </c>
      <c r="B401" s="67" t="s">
        <v>1161</v>
      </c>
      <c r="C401" s="38" t="s">
        <v>655</v>
      </c>
      <c r="D401" s="18" t="s">
        <v>735</v>
      </c>
      <c r="E401" s="42" t="s">
        <v>795</v>
      </c>
      <c r="F401" s="18" t="s">
        <v>758</v>
      </c>
      <c r="G401" s="42" t="s">
        <v>988</v>
      </c>
      <c r="H401" s="18" t="s">
        <v>1000</v>
      </c>
      <c r="I401" s="42" t="s">
        <v>795</v>
      </c>
      <c r="J401" s="18" t="s">
        <v>735</v>
      </c>
      <c r="K401" s="42" t="s">
        <v>1001</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1821</v>
      </c>
      <c r="AY401" s="41" t="s">
        <v>1935</v>
      </c>
      <c r="AZ401" s="33" t="s">
        <v>1234</v>
      </c>
      <c r="BA401" s="41" t="s">
        <v>1935</v>
      </c>
      <c r="BB401" s="33" t="s">
        <v>1931</v>
      </c>
      <c r="BC401" s="41" t="s">
        <v>757</v>
      </c>
      <c r="BD401" s="33" t="s">
        <v>1932</v>
      </c>
      <c r="BE401" s="41" t="str">
        <f t="shared" si="19"/>
        <v>"Bairro"</v>
      </c>
    </row>
    <row r="402" spans="1:57" ht="7.5" customHeight="1" x14ac:dyDescent="0.25">
      <c r="A402" s="39">
        <v>402</v>
      </c>
      <c r="B402" s="67" t="s">
        <v>1162</v>
      </c>
      <c r="C402" s="38" t="s">
        <v>655</v>
      </c>
      <c r="D402" s="18" t="s">
        <v>735</v>
      </c>
      <c r="E402" s="42" t="s">
        <v>779</v>
      </c>
      <c r="F402" s="18" t="s">
        <v>758</v>
      </c>
      <c r="G402" s="42" t="s">
        <v>989</v>
      </c>
      <c r="H402" s="18" t="s">
        <v>1000</v>
      </c>
      <c r="I402" s="42" t="s">
        <v>779</v>
      </c>
      <c r="J402" s="18" t="s">
        <v>735</v>
      </c>
      <c r="K402" s="42" t="s">
        <v>1024</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1821</v>
      </c>
      <c r="AY402" s="41" t="s">
        <v>1935</v>
      </c>
      <c r="AZ402" s="33" t="s">
        <v>1234</v>
      </c>
      <c r="BA402" s="41" t="s">
        <v>1935</v>
      </c>
      <c r="BB402" s="33" t="s">
        <v>1931</v>
      </c>
      <c r="BC402" s="41" t="s">
        <v>757</v>
      </c>
      <c r="BD402" s="33" t="s">
        <v>1932</v>
      </c>
      <c r="BE402" s="41" t="str">
        <f t="shared" si="19"/>
        <v>"Bairro"</v>
      </c>
    </row>
    <row r="403" spans="1:57" ht="7.5" customHeight="1" x14ac:dyDescent="0.25">
      <c r="A403" s="39">
        <v>403</v>
      </c>
      <c r="B403" s="67" t="s">
        <v>1163</v>
      </c>
      <c r="C403" s="38" t="s">
        <v>655</v>
      </c>
      <c r="D403" s="18" t="s">
        <v>735</v>
      </c>
      <c r="E403" s="42" t="s">
        <v>829</v>
      </c>
      <c r="F403" s="18" t="s">
        <v>758</v>
      </c>
      <c r="G403" s="42" t="s">
        <v>990</v>
      </c>
      <c r="H403" s="18" t="s">
        <v>1000</v>
      </c>
      <c r="I403" s="42" t="s">
        <v>829</v>
      </c>
      <c r="J403" s="18" t="s">
        <v>735</v>
      </c>
      <c r="K403" s="42" t="s">
        <v>1001</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1821</v>
      </c>
      <c r="AY403" s="41" t="s">
        <v>1935</v>
      </c>
      <c r="AZ403" s="33" t="s">
        <v>1234</v>
      </c>
      <c r="BA403" s="41" t="s">
        <v>1935</v>
      </c>
      <c r="BB403" s="33" t="s">
        <v>1931</v>
      </c>
      <c r="BC403" s="41" t="s">
        <v>757</v>
      </c>
      <c r="BD403" s="33" t="s">
        <v>1932</v>
      </c>
      <c r="BE403" s="41" t="str">
        <f t="shared" si="19"/>
        <v>"Bairro"</v>
      </c>
    </row>
    <row r="404" spans="1:57" ht="7.5" customHeight="1" x14ac:dyDescent="0.25">
      <c r="A404" s="39">
        <v>404</v>
      </c>
      <c r="B404" s="67" t="s">
        <v>1164</v>
      </c>
      <c r="C404" s="38" t="s">
        <v>655</v>
      </c>
      <c r="D404" s="18" t="s">
        <v>735</v>
      </c>
      <c r="E404" s="42" t="s">
        <v>795</v>
      </c>
      <c r="F404" s="18" t="s">
        <v>758</v>
      </c>
      <c r="G404" s="42" t="s">
        <v>991</v>
      </c>
      <c r="H404" s="18" t="s">
        <v>1000</v>
      </c>
      <c r="I404" s="42" t="s">
        <v>795</v>
      </c>
      <c r="J404" s="18" t="s">
        <v>735</v>
      </c>
      <c r="K404" s="42" t="s">
        <v>1001</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1821</v>
      </c>
      <c r="AY404" s="41" t="s">
        <v>1935</v>
      </c>
      <c r="AZ404" s="33" t="s">
        <v>1234</v>
      </c>
      <c r="BA404" s="41" t="s">
        <v>1935</v>
      </c>
      <c r="BB404" s="33" t="s">
        <v>1931</v>
      </c>
      <c r="BC404" s="41" t="s">
        <v>757</v>
      </c>
      <c r="BD404" s="33" t="s">
        <v>1932</v>
      </c>
      <c r="BE404" s="41" t="str">
        <f t="shared" si="19"/>
        <v>"Bairro"</v>
      </c>
    </row>
    <row r="405" spans="1:57" ht="7.5" customHeight="1" x14ac:dyDescent="0.25">
      <c r="A405" s="39">
        <v>405</v>
      </c>
      <c r="B405" s="67" t="s">
        <v>1165</v>
      </c>
      <c r="C405" s="38" t="s">
        <v>655</v>
      </c>
      <c r="D405" s="18" t="s">
        <v>735</v>
      </c>
      <c r="E405" s="42" t="s">
        <v>785</v>
      </c>
      <c r="F405" s="18" t="s">
        <v>758</v>
      </c>
      <c r="G405" s="42" t="s">
        <v>992</v>
      </c>
      <c r="H405" s="18" t="s">
        <v>1000</v>
      </c>
      <c r="I405" s="42" t="s">
        <v>785</v>
      </c>
      <c r="J405" s="18" t="s">
        <v>735</v>
      </c>
      <c r="K405" s="42" t="s">
        <v>1005</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1821</v>
      </c>
      <c r="AY405" s="41" t="s">
        <v>1935</v>
      </c>
      <c r="AZ405" s="33" t="s">
        <v>1234</v>
      </c>
      <c r="BA405" s="41" t="s">
        <v>1935</v>
      </c>
      <c r="BB405" s="33" t="s">
        <v>1931</v>
      </c>
      <c r="BC405" s="41" t="s">
        <v>757</v>
      </c>
      <c r="BD405" s="33" t="s">
        <v>1932</v>
      </c>
      <c r="BE405" s="41" t="str">
        <f t="shared" si="19"/>
        <v>"Bairro"</v>
      </c>
    </row>
    <row r="406" spans="1:57" ht="7.5" customHeight="1" x14ac:dyDescent="0.25">
      <c r="A406" s="39">
        <v>406</v>
      </c>
      <c r="B406" s="67" t="s">
        <v>1166</v>
      </c>
      <c r="C406" s="38" t="s">
        <v>655</v>
      </c>
      <c r="D406" s="18" t="s">
        <v>735</v>
      </c>
      <c r="E406" s="42" t="s">
        <v>801</v>
      </c>
      <c r="F406" s="18" t="s">
        <v>758</v>
      </c>
      <c r="G406" s="42" t="s">
        <v>993</v>
      </c>
      <c r="H406" s="18" t="s">
        <v>1000</v>
      </c>
      <c r="I406" s="42" t="s">
        <v>801</v>
      </c>
      <c r="J406" s="18" t="s">
        <v>735</v>
      </c>
      <c r="K406" s="42" t="s">
        <v>1013</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1821</v>
      </c>
      <c r="AY406" s="41" t="s">
        <v>1935</v>
      </c>
      <c r="AZ406" s="33" t="s">
        <v>1234</v>
      </c>
      <c r="BA406" s="41" t="s">
        <v>1935</v>
      </c>
      <c r="BB406" s="33" t="s">
        <v>1931</v>
      </c>
      <c r="BC406" s="41" t="s">
        <v>757</v>
      </c>
      <c r="BD406" s="33" t="s">
        <v>1932</v>
      </c>
      <c r="BE406" s="41" t="str">
        <f t="shared" si="19"/>
        <v>"Bairro"</v>
      </c>
    </row>
    <row r="407" spans="1:57" ht="7.5" customHeight="1" x14ac:dyDescent="0.25">
      <c r="A407" s="39">
        <v>407</v>
      </c>
      <c r="B407" s="67" t="s">
        <v>1167</v>
      </c>
      <c r="C407" s="38" t="s">
        <v>655</v>
      </c>
      <c r="D407" s="18" t="s">
        <v>735</v>
      </c>
      <c r="E407" s="42" t="s">
        <v>795</v>
      </c>
      <c r="F407" s="18" t="s">
        <v>758</v>
      </c>
      <c r="G407" s="42" t="s">
        <v>994</v>
      </c>
      <c r="H407" s="18" t="s">
        <v>1000</v>
      </c>
      <c r="I407" s="42" t="s">
        <v>795</v>
      </c>
      <c r="J407" s="18" t="s">
        <v>735</v>
      </c>
      <c r="K407" s="42" t="s">
        <v>1001</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1821</v>
      </c>
      <c r="AY407" s="41" t="s">
        <v>1935</v>
      </c>
      <c r="AZ407" s="33" t="s">
        <v>1234</v>
      </c>
      <c r="BA407" s="41" t="s">
        <v>1935</v>
      </c>
      <c r="BB407" s="33" t="s">
        <v>1931</v>
      </c>
      <c r="BC407" s="41" t="s">
        <v>757</v>
      </c>
      <c r="BD407" s="33" t="s">
        <v>1932</v>
      </c>
      <c r="BE407" s="41" t="str">
        <f t="shared" si="19"/>
        <v>"Bairro"</v>
      </c>
    </row>
    <row r="408" spans="1:57" ht="7.5" customHeight="1" x14ac:dyDescent="0.25">
      <c r="A408" s="39">
        <v>408</v>
      </c>
      <c r="B408" s="67" t="s">
        <v>1168</v>
      </c>
      <c r="C408" s="38" t="s">
        <v>655</v>
      </c>
      <c r="D408" s="18" t="s">
        <v>735</v>
      </c>
      <c r="E408" s="42" t="s">
        <v>831</v>
      </c>
      <c r="F408" s="18" t="s">
        <v>758</v>
      </c>
      <c r="G408" s="42" t="s">
        <v>995</v>
      </c>
      <c r="H408" s="18" t="s">
        <v>1000</v>
      </c>
      <c r="I408" s="42" t="s">
        <v>831</v>
      </c>
      <c r="J408" s="18" t="s">
        <v>735</v>
      </c>
      <c r="K408" s="42" t="s">
        <v>1013</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1821</v>
      </c>
      <c r="AY408" s="41" t="s">
        <v>1935</v>
      </c>
      <c r="AZ408" s="33" t="s">
        <v>1234</v>
      </c>
      <c r="BA408" s="41" t="s">
        <v>1935</v>
      </c>
      <c r="BB408" s="33" t="s">
        <v>1931</v>
      </c>
      <c r="BC408" s="41" t="s">
        <v>757</v>
      </c>
      <c r="BD408" s="33" t="s">
        <v>1932</v>
      </c>
      <c r="BE408" s="41" t="str">
        <f t="shared" si="19"/>
        <v>"Bairro"</v>
      </c>
    </row>
    <row r="409" spans="1:57" ht="7.5" customHeight="1" x14ac:dyDescent="0.25">
      <c r="A409" s="39">
        <v>409</v>
      </c>
      <c r="B409" s="67" t="s">
        <v>1169</v>
      </c>
      <c r="C409" s="38" t="s">
        <v>655</v>
      </c>
      <c r="D409" s="18" t="s">
        <v>735</v>
      </c>
      <c r="E409" s="42" t="s">
        <v>799</v>
      </c>
      <c r="F409" s="18" t="s">
        <v>758</v>
      </c>
      <c r="G409" s="42" t="s">
        <v>996</v>
      </c>
      <c r="H409" s="18" t="s">
        <v>1000</v>
      </c>
      <c r="I409" s="42" t="s">
        <v>799</v>
      </c>
      <c r="J409" s="18" t="s">
        <v>735</v>
      </c>
      <c r="K409" s="42" t="s">
        <v>1009</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1821</v>
      </c>
      <c r="AY409" s="41" t="s">
        <v>1935</v>
      </c>
      <c r="AZ409" s="33" t="s">
        <v>1234</v>
      </c>
      <c r="BA409" s="41" t="s">
        <v>1935</v>
      </c>
      <c r="BB409" s="33" t="s">
        <v>1931</v>
      </c>
      <c r="BC409" s="41" t="s">
        <v>757</v>
      </c>
      <c r="BD409" s="33" t="s">
        <v>1932</v>
      </c>
      <c r="BE409" s="41" t="str">
        <f t="shared" si="19"/>
        <v>"Bairro"</v>
      </c>
    </row>
    <row r="410" spans="1:57" ht="7.5" customHeight="1" x14ac:dyDescent="0.25">
      <c r="A410" s="39">
        <v>410</v>
      </c>
      <c r="B410" s="67" t="s">
        <v>1170</v>
      </c>
      <c r="C410" s="38" t="s">
        <v>655</v>
      </c>
      <c r="D410" s="18" t="s">
        <v>735</v>
      </c>
      <c r="E410" s="42" t="s">
        <v>795</v>
      </c>
      <c r="F410" s="18" t="s">
        <v>758</v>
      </c>
      <c r="G410" s="42" t="s">
        <v>997</v>
      </c>
      <c r="H410" s="18" t="s">
        <v>1000</v>
      </c>
      <c r="I410" s="42" t="s">
        <v>795</v>
      </c>
      <c r="J410" s="18" t="s">
        <v>735</v>
      </c>
      <c r="K410" s="42" t="s">
        <v>1001</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1821</v>
      </c>
      <c r="AY410" s="41" t="s">
        <v>1935</v>
      </c>
      <c r="AZ410" s="33" t="s">
        <v>1234</v>
      </c>
      <c r="BA410" s="41" t="s">
        <v>1935</v>
      </c>
      <c r="BB410" s="33" t="s">
        <v>1931</v>
      </c>
      <c r="BC410" s="41" t="s">
        <v>757</v>
      </c>
      <c r="BD410" s="33" t="s">
        <v>1932</v>
      </c>
      <c r="BE410" s="41" t="str">
        <f t="shared" si="19"/>
        <v>"Bairro"</v>
      </c>
    </row>
    <row r="411" spans="1:57" ht="7.5" customHeight="1" x14ac:dyDescent="0.25">
      <c r="A411" s="39">
        <v>411</v>
      </c>
      <c r="B411" s="67" t="s">
        <v>1171</v>
      </c>
      <c r="C411" s="38" t="s">
        <v>655</v>
      </c>
      <c r="D411" s="18" t="s">
        <v>735</v>
      </c>
      <c r="E411" s="42" t="s">
        <v>807</v>
      </c>
      <c r="F411" s="18" t="s">
        <v>758</v>
      </c>
      <c r="G411" s="42" t="s">
        <v>998</v>
      </c>
      <c r="H411" s="18" t="s">
        <v>1000</v>
      </c>
      <c r="I411" s="42" t="s">
        <v>807</v>
      </c>
      <c r="J411" s="18" t="s">
        <v>735</v>
      </c>
      <c r="K411" s="42" t="s">
        <v>1011</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1821</v>
      </c>
      <c r="AY411" s="41" t="s">
        <v>1935</v>
      </c>
      <c r="AZ411" s="33" t="s">
        <v>1234</v>
      </c>
      <c r="BA411" s="41" t="s">
        <v>1935</v>
      </c>
      <c r="BB411" s="33" t="s">
        <v>1931</v>
      </c>
      <c r="BC411" s="41" t="s">
        <v>757</v>
      </c>
      <c r="BD411" s="33" t="s">
        <v>1932</v>
      </c>
      <c r="BE411" s="41" t="str">
        <f t="shared" si="19"/>
        <v>"Bairro"</v>
      </c>
    </row>
    <row r="412" spans="1:57" ht="7.5" customHeight="1" x14ac:dyDescent="0.25">
      <c r="A412" s="39">
        <v>412</v>
      </c>
      <c r="B412" s="69" t="s">
        <v>1172</v>
      </c>
      <c r="C412" s="38" t="s">
        <v>659</v>
      </c>
      <c r="D412" s="18" t="s">
        <v>735</v>
      </c>
      <c r="E412" s="42" t="s">
        <v>745</v>
      </c>
      <c r="F412" s="18" t="s">
        <v>1</v>
      </c>
      <c r="G412" s="20" t="s">
        <v>1</v>
      </c>
      <c r="H412" s="18" t="s">
        <v>1</v>
      </c>
      <c r="I412" s="20" t="s">
        <v>1</v>
      </c>
      <c r="J412" s="18" t="s">
        <v>1</v>
      </c>
      <c r="K412" s="20" t="s">
        <v>1</v>
      </c>
      <c r="L412" s="18" t="s">
        <v>1</v>
      </c>
      <c r="M412" s="20" t="s">
        <v>1</v>
      </c>
      <c r="N412" s="40" t="s">
        <v>78</v>
      </c>
      <c r="O412" s="28" t="s">
        <v>1173</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1821</v>
      </c>
      <c r="AY412" s="41" t="s">
        <v>1935</v>
      </c>
      <c r="AZ412" s="33" t="s">
        <v>1234</v>
      </c>
      <c r="BA412" s="41" t="s">
        <v>1935</v>
      </c>
      <c r="BB412" s="33" t="s">
        <v>1931</v>
      </c>
      <c r="BC412" s="41" t="s">
        <v>757</v>
      </c>
      <c r="BD412" s="33" t="s">
        <v>1932</v>
      </c>
      <c r="BE412" s="41" t="str">
        <f t="shared" si="19"/>
        <v>"Macrozona"</v>
      </c>
    </row>
    <row r="413" spans="1:57" ht="7.5" customHeight="1" x14ac:dyDescent="0.25">
      <c r="A413" s="39">
        <v>413</v>
      </c>
      <c r="B413" s="69" t="s">
        <v>1174</v>
      </c>
      <c r="C413" s="38" t="s">
        <v>659</v>
      </c>
      <c r="D413" s="18" t="s">
        <v>735</v>
      </c>
      <c r="E413" s="42" t="s">
        <v>745</v>
      </c>
      <c r="F413" s="18" t="s">
        <v>1</v>
      </c>
      <c r="G413" s="20" t="s">
        <v>1</v>
      </c>
      <c r="H413" s="18" t="s">
        <v>1</v>
      </c>
      <c r="I413" s="20" t="s">
        <v>1</v>
      </c>
      <c r="J413" s="18" t="s">
        <v>1</v>
      </c>
      <c r="K413" s="20" t="s">
        <v>1</v>
      </c>
      <c r="L413" s="18" t="s">
        <v>1</v>
      </c>
      <c r="M413" s="20" t="s">
        <v>1</v>
      </c>
      <c r="N413" s="40" t="s">
        <v>78</v>
      </c>
      <c r="O413" s="28" t="s">
        <v>1175</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1821</v>
      </c>
      <c r="AY413" s="41" t="s">
        <v>1935</v>
      </c>
      <c r="AZ413" s="33" t="s">
        <v>1234</v>
      </c>
      <c r="BA413" s="41" t="s">
        <v>1935</v>
      </c>
      <c r="BB413" s="33" t="s">
        <v>1931</v>
      </c>
      <c r="BC413" s="41" t="s">
        <v>757</v>
      </c>
      <c r="BD413" s="33" t="s">
        <v>1932</v>
      </c>
      <c r="BE413" s="41" t="str">
        <f t="shared" si="19"/>
        <v>"Macrozona"</v>
      </c>
    </row>
    <row r="414" spans="1:57" ht="7.5" customHeight="1" x14ac:dyDescent="0.25">
      <c r="A414" s="39">
        <v>414</v>
      </c>
      <c r="B414" s="69" t="s">
        <v>1176</v>
      </c>
      <c r="C414" s="38" t="s">
        <v>659</v>
      </c>
      <c r="D414" s="18" t="s">
        <v>735</v>
      </c>
      <c r="E414" s="42" t="s">
        <v>745</v>
      </c>
      <c r="F414" s="18" t="s">
        <v>1</v>
      </c>
      <c r="G414" s="20" t="s">
        <v>1</v>
      </c>
      <c r="H414" s="18" t="s">
        <v>1</v>
      </c>
      <c r="I414" s="20" t="s">
        <v>1</v>
      </c>
      <c r="J414" s="18" t="s">
        <v>1</v>
      </c>
      <c r="K414" s="20" t="s">
        <v>1</v>
      </c>
      <c r="L414" s="18" t="s">
        <v>1</v>
      </c>
      <c r="M414" s="20" t="s">
        <v>1</v>
      </c>
      <c r="N414" s="40" t="s">
        <v>78</v>
      </c>
      <c r="O414" s="28" t="s">
        <v>1177</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1821</v>
      </c>
      <c r="AY414" s="41" t="s">
        <v>1935</v>
      </c>
      <c r="AZ414" s="33" t="s">
        <v>1234</v>
      </c>
      <c r="BA414" s="41" t="s">
        <v>1935</v>
      </c>
      <c r="BB414" s="33" t="s">
        <v>1931</v>
      </c>
      <c r="BC414" s="41" t="s">
        <v>757</v>
      </c>
      <c r="BD414" s="33" t="s">
        <v>1932</v>
      </c>
      <c r="BE414" s="41" t="str">
        <f t="shared" si="19"/>
        <v>"Macrozona"</v>
      </c>
    </row>
    <row r="415" spans="1:57" ht="7.5" customHeight="1" x14ac:dyDescent="0.25">
      <c r="A415" s="39">
        <v>415</v>
      </c>
      <c r="B415" s="69" t="s">
        <v>1178</v>
      </c>
      <c r="C415" s="38" t="s">
        <v>659</v>
      </c>
      <c r="D415" s="18" t="s">
        <v>735</v>
      </c>
      <c r="E415" s="42" t="s">
        <v>745</v>
      </c>
      <c r="F415" s="18" t="s">
        <v>1</v>
      </c>
      <c r="G415" s="20" t="s">
        <v>1</v>
      </c>
      <c r="H415" s="18" t="s">
        <v>1</v>
      </c>
      <c r="I415" s="20" t="s">
        <v>1</v>
      </c>
      <c r="J415" s="18" t="s">
        <v>1</v>
      </c>
      <c r="K415" s="20" t="s">
        <v>1</v>
      </c>
      <c r="L415" s="18" t="s">
        <v>1</v>
      </c>
      <c r="M415" s="20" t="s">
        <v>1</v>
      </c>
      <c r="N415" s="40" t="s">
        <v>78</v>
      </c>
      <c r="O415" s="28" t="s">
        <v>1179</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1821</v>
      </c>
      <c r="AY415" s="41" t="s">
        <v>1935</v>
      </c>
      <c r="AZ415" s="33" t="s">
        <v>1234</v>
      </c>
      <c r="BA415" s="41" t="s">
        <v>1935</v>
      </c>
      <c r="BB415" s="33" t="s">
        <v>1931</v>
      </c>
      <c r="BC415" s="41" t="s">
        <v>757</v>
      </c>
      <c r="BD415" s="33" t="s">
        <v>1932</v>
      </c>
      <c r="BE415" s="41" t="str">
        <f t="shared" si="19"/>
        <v>"Macrozona"</v>
      </c>
    </row>
    <row r="416" spans="1:57" ht="7.5" customHeight="1" x14ac:dyDescent="0.25">
      <c r="A416" s="39">
        <v>416</v>
      </c>
      <c r="B416" s="69" t="s">
        <v>1180</v>
      </c>
      <c r="C416" s="38" t="s">
        <v>659</v>
      </c>
      <c r="D416" s="18" t="s">
        <v>735</v>
      </c>
      <c r="E416" s="42" t="s">
        <v>745</v>
      </c>
      <c r="F416" s="18" t="s">
        <v>1</v>
      </c>
      <c r="G416" s="20" t="s">
        <v>1</v>
      </c>
      <c r="H416" s="18" t="s">
        <v>1</v>
      </c>
      <c r="I416" s="20" t="s">
        <v>1</v>
      </c>
      <c r="J416" s="18" t="s">
        <v>1</v>
      </c>
      <c r="K416" s="20" t="s">
        <v>1</v>
      </c>
      <c r="L416" s="18" t="s">
        <v>1</v>
      </c>
      <c r="M416" s="20" t="s">
        <v>1</v>
      </c>
      <c r="N416" s="40" t="s">
        <v>78</v>
      </c>
      <c r="O416" s="28" t="s">
        <v>1181</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1821</v>
      </c>
      <c r="AY416" s="41" t="s">
        <v>1935</v>
      </c>
      <c r="AZ416" s="33" t="s">
        <v>1234</v>
      </c>
      <c r="BA416" s="41" t="s">
        <v>1935</v>
      </c>
      <c r="BB416" s="33" t="s">
        <v>1931</v>
      </c>
      <c r="BC416" s="41" t="s">
        <v>757</v>
      </c>
      <c r="BD416" s="33" t="s">
        <v>1932</v>
      </c>
      <c r="BE416" s="41" t="str">
        <f t="shared" si="19"/>
        <v>"Macrozona"</v>
      </c>
    </row>
    <row r="417" spans="1:57" ht="7.5" customHeight="1" x14ac:dyDescent="0.25">
      <c r="A417" s="39">
        <v>417</v>
      </c>
      <c r="B417" s="69" t="s">
        <v>1182</v>
      </c>
      <c r="C417" s="38" t="s">
        <v>659</v>
      </c>
      <c r="D417" s="18" t="s">
        <v>735</v>
      </c>
      <c r="E417" s="42" t="s">
        <v>745</v>
      </c>
      <c r="F417" s="18" t="s">
        <v>1</v>
      </c>
      <c r="G417" s="20" t="s">
        <v>1</v>
      </c>
      <c r="H417" s="18" t="s">
        <v>1</v>
      </c>
      <c r="I417" s="20" t="s">
        <v>1</v>
      </c>
      <c r="J417" s="18" t="s">
        <v>1</v>
      </c>
      <c r="K417" s="20" t="s">
        <v>1</v>
      </c>
      <c r="L417" s="18" t="s">
        <v>1</v>
      </c>
      <c r="M417" s="20" t="s">
        <v>1</v>
      </c>
      <c r="N417" s="40" t="s">
        <v>78</v>
      </c>
      <c r="O417" s="28" t="s">
        <v>1183</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1821</v>
      </c>
      <c r="AY417" s="41" t="s">
        <v>1935</v>
      </c>
      <c r="AZ417" s="33" t="s">
        <v>1234</v>
      </c>
      <c r="BA417" s="41" t="s">
        <v>1935</v>
      </c>
      <c r="BB417" s="33" t="s">
        <v>1931</v>
      </c>
      <c r="BC417" s="41" t="s">
        <v>757</v>
      </c>
      <c r="BD417" s="33" t="s">
        <v>1932</v>
      </c>
      <c r="BE417" s="41" t="str">
        <f t="shared" si="19"/>
        <v>"Macrozona"</v>
      </c>
    </row>
    <row r="418" spans="1:57" ht="7.5" customHeight="1" x14ac:dyDescent="0.25">
      <c r="A418" s="39">
        <v>418</v>
      </c>
      <c r="B418" s="69" t="s">
        <v>1184</v>
      </c>
      <c r="C418" s="38" t="s">
        <v>659</v>
      </c>
      <c r="D418" s="18" t="s">
        <v>735</v>
      </c>
      <c r="E418" s="42" t="s">
        <v>745</v>
      </c>
      <c r="F418" s="18" t="s">
        <v>1</v>
      </c>
      <c r="G418" s="20" t="s">
        <v>1</v>
      </c>
      <c r="H418" s="18" t="s">
        <v>1</v>
      </c>
      <c r="I418" s="20" t="s">
        <v>1</v>
      </c>
      <c r="J418" s="18" t="s">
        <v>1</v>
      </c>
      <c r="K418" s="20" t="s">
        <v>1</v>
      </c>
      <c r="L418" s="18" t="s">
        <v>1</v>
      </c>
      <c r="M418" s="20" t="s">
        <v>1</v>
      </c>
      <c r="N418" s="40" t="s">
        <v>78</v>
      </c>
      <c r="O418" s="28" t="s">
        <v>1185</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1821</v>
      </c>
      <c r="AY418" s="41" t="s">
        <v>1935</v>
      </c>
      <c r="AZ418" s="33" t="s">
        <v>1234</v>
      </c>
      <c r="BA418" s="41" t="s">
        <v>1935</v>
      </c>
      <c r="BB418" s="33" t="s">
        <v>1931</v>
      </c>
      <c r="BC418" s="41" t="s">
        <v>757</v>
      </c>
      <c r="BD418" s="33" t="s">
        <v>1932</v>
      </c>
      <c r="BE418" s="41" t="str">
        <f t="shared" si="19"/>
        <v>"Macrozona"</v>
      </c>
    </row>
    <row r="419" spans="1:57" ht="7.5" customHeight="1" x14ac:dyDescent="0.25">
      <c r="A419" s="39">
        <v>419</v>
      </c>
      <c r="B419" s="69" t="s">
        <v>1186</v>
      </c>
      <c r="C419" s="38" t="s">
        <v>1422</v>
      </c>
      <c r="D419" s="18" t="s">
        <v>735</v>
      </c>
      <c r="E419" s="42" t="s">
        <v>745</v>
      </c>
      <c r="F419" s="18" t="s">
        <v>1</v>
      </c>
      <c r="G419" s="20" t="s">
        <v>1</v>
      </c>
      <c r="H419" s="18" t="s">
        <v>1</v>
      </c>
      <c r="I419" s="20" t="s">
        <v>1</v>
      </c>
      <c r="J419" s="18" t="s">
        <v>1</v>
      </c>
      <c r="K419" s="20" t="s">
        <v>1</v>
      </c>
      <c r="L419" s="18" t="s">
        <v>1</v>
      </c>
      <c r="M419" s="20" t="s">
        <v>1</v>
      </c>
      <c r="N419" s="40" t="s">
        <v>78</v>
      </c>
      <c r="O419" s="28" t="s">
        <v>1187</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1821</v>
      </c>
      <c r="AY419" s="41" t="s">
        <v>1935</v>
      </c>
      <c r="AZ419" s="33" t="s">
        <v>1234</v>
      </c>
      <c r="BA419" s="41" t="s">
        <v>1935</v>
      </c>
      <c r="BB419" s="33" t="s">
        <v>1931</v>
      </c>
      <c r="BC419" s="41" t="s">
        <v>757</v>
      </c>
      <c r="BD419" s="33" t="s">
        <v>1932</v>
      </c>
      <c r="BE419" s="41" t="str">
        <f t="shared" si="19"/>
        <v>"Zona.de.Uso"</v>
      </c>
    </row>
    <row r="420" spans="1:57" ht="7.5" customHeight="1" x14ac:dyDescent="0.25">
      <c r="A420" s="39">
        <v>420</v>
      </c>
      <c r="B420" s="69" t="s">
        <v>1188</v>
      </c>
      <c r="C420" s="38" t="s">
        <v>1422</v>
      </c>
      <c r="D420" s="18" t="s">
        <v>735</v>
      </c>
      <c r="E420" s="42" t="s">
        <v>745</v>
      </c>
      <c r="F420" s="18" t="s">
        <v>1</v>
      </c>
      <c r="G420" s="20" t="s">
        <v>1</v>
      </c>
      <c r="H420" s="18" t="s">
        <v>1</v>
      </c>
      <c r="I420" s="20" t="s">
        <v>1</v>
      </c>
      <c r="J420" s="18" t="s">
        <v>1</v>
      </c>
      <c r="K420" s="20" t="s">
        <v>1</v>
      </c>
      <c r="L420" s="18" t="s">
        <v>1</v>
      </c>
      <c r="M420" s="20" t="s">
        <v>1</v>
      </c>
      <c r="N420" s="40" t="s">
        <v>78</v>
      </c>
      <c r="O420" s="28" t="s">
        <v>1189</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1821</v>
      </c>
      <c r="AY420" s="41" t="s">
        <v>1935</v>
      </c>
      <c r="AZ420" s="33" t="s">
        <v>1234</v>
      </c>
      <c r="BA420" s="41" t="s">
        <v>1935</v>
      </c>
      <c r="BB420" s="33" t="s">
        <v>1931</v>
      </c>
      <c r="BC420" s="41" t="s">
        <v>757</v>
      </c>
      <c r="BD420" s="33" t="s">
        <v>1932</v>
      </c>
      <c r="BE420" s="41" t="str">
        <f t="shared" si="19"/>
        <v>"Zona.de.Uso"</v>
      </c>
    </row>
    <row r="421" spans="1:57" ht="7.5" customHeight="1" x14ac:dyDescent="0.25">
      <c r="A421" s="39">
        <v>421</v>
      </c>
      <c r="B421" s="69" t="s">
        <v>1190</v>
      </c>
      <c r="C421" s="38" t="s">
        <v>1422</v>
      </c>
      <c r="D421" s="18" t="s">
        <v>735</v>
      </c>
      <c r="E421" s="42" t="s">
        <v>745</v>
      </c>
      <c r="F421" s="18" t="s">
        <v>1</v>
      </c>
      <c r="G421" s="20" t="s">
        <v>1</v>
      </c>
      <c r="H421" s="18" t="s">
        <v>1</v>
      </c>
      <c r="I421" s="20" t="s">
        <v>1</v>
      </c>
      <c r="J421" s="18" t="s">
        <v>1</v>
      </c>
      <c r="K421" s="20" t="s">
        <v>1</v>
      </c>
      <c r="L421" s="18" t="s">
        <v>1</v>
      </c>
      <c r="M421" s="20" t="s">
        <v>1</v>
      </c>
      <c r="N421" s="40" t="s">
        <v>78</v>
      </c>
      <c r="O421" s="28" t="s">
        <v>1189</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1821</v>
      </c>
      <c r="AY421" s="41" t="s">
        <v>1935</v>
      </c>
      <c r="AZ421" s="33" t="s">
        <v>1234</v>
      </c>
      <c r="BA421" s="41" t="s">
        <v>1935</v>
      </c>
      <c r="BB421" s="33" t="s">
        <v>1931</v>
      </c>
      <c r="BC421" s="41" t="s">
        <v>757</v>
      </c>
      <c r="BD421" s="33" t="s">
        <v>1932</v>
      </c>
      <c r="BE421" s="41" t="str">
        <f t="shared" si="19"/>
        <v>"Zona.de.Uso"</v>
      </c>
    </row>
    <row r="422" spans="1:57" ht="7.5" customHeight="1" x14ac:dyDescent="0.25">
      <c r="A422" s="39">
        <v>422</v>
      </c>
      <c r="B422" s="69" t="s">
        <v>1191</v>
      </c>
      <c r="C422" s="38" t="s">
        <v>1422</v>
      </c>
      <c r="D422" s="18" t="s">
        <v>735</v>
      </c>
      <c r="E422" s="42" t="s">
        <v>745</v>
      </c>
      <c r="F422" s="18" t="s">
        <v>1</v>
      </c>
      <c r="G422" s="20" t="s">
        <v>1</v>
      </c>
      <c r="H422" s="18" t="s">
        <v>1</v>
      </c>
      <c r="I422" s="20" t="s">
        <v>1</v>
      </c>
      <c r="J422" s="18" t="s">
        <v>1</v>
      </c>
      <c r="K422" s="20" t="s">
        <v>1</v>
      </c>
      <c r="L422" s="18" t="s">
        <v>1</v>
      </c>
      <c r="M422" s="20" t="s">
        <v>1</v>
      </c>
      <c r="N422" s="40" t="s">
        <v>78</v>
      </c>
      <c r="O422" s="28" t="s">
        <v>1192</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1821</v>
      </c>
      <c r="AY422" s="41" t="s">
        <v>1935</v>
      </c>
      <c r="AZ422" s="33" t="s">
        <v>1234</v>
      </c>
      <c r="BA422" s="41" t="s">
        <v>1935</v>
      </c>
      <c r="BB422" s="33" t="s">
        <v>1931</v>
      </c>
      <c r="BC422" s="41" t="s">
        <v>757</v>
      </c>
      <c r="BD422" s="33" t="s">
        <v>1932</v>
      </c>
      <c r="BE422" s="41" t="str">
        <f t="shared" si="19"/>
        <v>"Zona.de.Uso"</v>
      </c>
    </row>
    <row r="423" spans="1:57" ht="7.5" customHeight="1" x14ac:dyDescent="0.25">
      <c r="A423" s="39">
        <v>423</v>
      </c>
      <c r="B423" s="69" t="s">
        <v>1193</v>
      </c>
      <c r="C423" s="38" t="s">
        <v>1422</v>
      </c>
      <c r="D423" s="18" t="s">
        <v>735</v>
      </c>
      <c r="E423" s="42" t="s">
        <v>745</v>
      </c>
      <c r="F423" s="18" t="s">
        <v>1</v>
      </c>
      <c r="G423" s="20" t="s">
        <v>1</v>
      </c>
      <c r="H423" s="18" t="s">
        <v>1</v>
      </c>
      <c r="I423" s="20" t="s">
        <v>1</v>
      </c>
      <c r="J423" s="18" t="s">
        <v>1</v>
      </c>
      <c r="K423" s="20" t="s">
        <v>1</v>
      </c>
      <c r="L423" s="18" t="s">
        <v>1</v>
      </c>
      <c r="M423" s="20" t="s">
        <v>1</v>
      </c>
      <c r="N423" s="40" t="s">
        <v>78</v>
      </c>
      <c r="O423" s="28" t="s">
        <v>1194</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1821</v>
      </c>
      <c r="AY423" s="41" t="s">
        <v>1935</v>
      </c>
      <c r="AZ423" s="33" t="s">
        <v>1234</v>
      </c>
      <c r="BA423" s="41" t="s">
        <v>1935</v>
      </c>
      <c r="BB423" s="33" t="s">
        <v>1931</v>
      </c>
      <c r="BC423" s="41" t="s">
        <v>757</v>
      </c>
      <c r="BD423" s="33" t="s">
        <v>1932</v>
      </c>
      <c r="BE423" s="41" t="str">
        <f t="shared" si="19"/>
        <v>"Zona.de.Uso"</v>
      </c>
    </row>
    <row r="424" spans="1:57" ht="7.5" customHeight="1" x14ac:dyDescent="0.25">
      <c r="A424" s="39">
        <v>424</v>
      </c>
      <c r="B424" s="69" t="s">
        <v>1195</v>
      </c>
      <c r="C424" s="38" t="s">
        <v>1422</v>
      </c>
      <c r="D424" s="18" t="s">
        <v>735</v>
      </c>
      <c r="E424" s="42" t="s">
        <v>745</v>
      </c>
      <c r="F424" s="18" t="s">
        <v>1</v>
      </c>
      <c r="G424" s="20" t="s">
        <v>1</v>
      </c>
      <c r="H424" s="18" t="s">
        <v>1</v>
      </c>
      <c r="I424" s="20" t="s">
        <v>1</v>
      </c>
      <c r="J424" s="18" t="s">
        <v>1</v>
      </c>
      <c r="K424" s="20" t="s">
        <v>1</v>
      </c>
      <c r="L424" s="18" t="s">
        <v>1</v>
      </c>
      <c r="M424" s="20" t="s">
        <v>1</v>
      </c>
      <c r="N424" s="40" t="s">
        <v>78</v>
      </c>
      <c r="O424" s="28" t="s">
        <v>1196</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1821</v>
      </c>
      <c r="AY424" s="41" t="s">
        <v>1935</v>
      </c>
      <c r="AZ424" s="33" t="s">
        <v>1234</v>
      </c>
      <c r="BA424" s="41" t="s">
        <v>1935</v>
      </c>
      <c r="BB424" s="33" t="s">
        <v>1931</v>
      </c>
      <c r="BC424" s="41" t="s">
        <v>757</v>
      </c>
      <c r="BD424" s="33" t="s">
        <v>1932</v>
      </c>
      <c r="BE424" s="41" t="str">
        <f t="shared" si="19"/>
        <v>"Zona.de.Uso"</v>
      </c>
    </row>
    <row r="425" spans="1:57" ht="7.5" customHeight="1" x14ac:dyDescent="0.25">
      <c r="A425" s="39">
        <v>425</v>
      </c>
      <c r="B425" s="69" t="s">
        <v>1197</v>
      </c>
      <c r="C425" s="38" t="s">
        <v>1422</v>
      </c>
      <c r="D425" s="18" t="s">
        <v>735</v>
      </c>
      <c r="E425" s="42" t="s">
        <v>745</v>
      </c>
      <c r="F425" s="18" t="s">
        <v>1</v>
      </c>
      <c r="G425" s="20" t="s">
        <v>1</v>
      </c>
      <c r="H425" s="18" t="s">
        <v>1</v>
      </c>
      <c r="I425" s="20" t="s">
        <v>1</v>
      </c>
      <c r="J425" s="18" t="s">
        <v>1</v>
      </c>
      <c r="K425" s="20" t="s">
        <v>1</v>
      </c>
      <c r="L425" s="18" t="s">
        <v>1</v>
      </c>
      <c r="M425" s="20" t="s">
        <v>1</v>
      </c>
      <c r="N425" s="40" t="s">
        <v>78</v>
      </c>
      <c r="O425" s="28" t="s">
        <v>1198</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1821</v>
      </c>
      <c r="AY425" s="41" t="s">
        <v>1935</v>
      </c>
      <c r="AZ425" s="33" t="s">
        <v>1234</v>
      </c>
      <c r="BA425" s="41" t="s">
        <v>1935</v>
      </c>
      <c r="BB425" s="33" t="s">
        <v>1931</v>
      </c>
      <c r="BC425" s="41" t="s">
        <v>757</v>
      </c>
      <c r="BD425" s="33" t="s">
        <v>1932</v>
      </c>
      <c r="BE425" s="41" t="str">
        <f t="shared" si="19"/>
        <v>"Zona.de.Uso"</v>
      </c>
    </row>
    <row r="426" spans="1:57" ht="7.5" customHeight="1" x14ac:dyDescent="0.25">
      <c r="A426" s="39">
        <v>426</v>
      </c>
      <c r="B426" s="69" t="s">
        <v>1199</v>
      </c>
      <c r="C426" s="38" t="s">
        <v>1422</v>
      </c>
      <c r="D426" s="18" t="s">
        <v>735</v>
      </c>
      <c r="E426" s="42" t="s">
        <v>745</v>
      </c>
      <c r="F426" s="18" t="s">
        <v>1</v>
      </c>
      <c r="G426" s="20" t="s">
        <v>1</v>
      </c>
      <c r="H426" s="18" t="s">
        <v>1</v>
      </c>
      <c r="I426" s="20" t="s">
        <v>1</v>
      </c>
      <c r="J426" s="18" t="s">
        <v>1</v>
      </c>
      <c r="K426" s="20" t="s">
        <v>1</v>
      </c>
      <c r="L426" s="18" t="s">
        <v>1</v>
      </c>
      <c r="M426" s="20" t="s">
        <v>1</v>
      </c>
      <c r="N426" s="40" t="s">
        <v>78</v>
      </c>
      <c r="O426" s="28" t="s">
        <v>1200</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1821</v>
      </c>
      <c r="AY426" s="41" t="s">
        <v>1935</v>
      </c>
      <c r="AZ426" s="33" t="s">
        <v>1234</v>
      </c>
      <c r="BA426" s="41" t="s">
        <v>1935</v>
      </c>
      <c r="BB426" s="33" t="s">
        <v>1931</v>
      </c>
      <c r="BC426" s="41" t="s">
        <v>757</v>
      </c>
      <c r="BD426" s="33" t="s">
        <v>1932</v>
      </c>
      <c r="BE426" s="41" t="str">
        <f t="shared" si="19"/>
        <v>"Zona.de.Uso"</v>
      </c>
    </row>
    <row r="427" spans="1:57" ht="7.5" customHeight="1" x14ac:dyDescent="0.25">
      <c r="A427" s="39">
        <v>427</v>
      </c>
      <c r="B427" s="69" t="s">
        <v>1201</v>
      </c>
      <c r="C427" s="38" t="s">
        <v>1422</v>
      </c>
      <c r="D427" s="18" t="s">
        <v>735</v>
      </c>
      <c r="E427" s="42" t="s">
        <v>745</v>
      </c>
      <c r="F427" s="18" t="s">
        <v>1</v>
      </c>
      <c r="G427" s="20" t="s">
        <v>1</v>
      </c>
      <c r="H427" s="18" t="s">
        <v>1</v>
      </c>
      <c r="I427" s="20" t="s">
        <v>1</v>
      </c>
      <c r="J427" s="18" t="s">
        <v>1</v>
      </c>
      <c r="K427" s="20" t="s">
        <v>1</v>
      </c>
      <c r="L427" s="18" t="s">
        <v>1</v>
      </c>
      <c r="M427" s="20" t="s">
        <v>1</v>
      </c>
      <c r="N427" s="40" t="s">
        <v>78</v>
      </c>
      <c r="O427" s="28" t="s">
        <v>1200</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1821</v>
      </c>
      <c r="AY427" s="41" t="s">
        <v>1935</v>
      </c>
      <c r="AZ427" s="33" t="s">
        <v>1234</v>
      </c>
      <c r="BA427" s="41" t="s">
        <v>1935</v>
      </c>
      <c r="BB427" s="33" t="s">
        <v>1931</v>
      </c>
      <c r="BC427" s="41" t="s">
        <v>757</v>
      </c>
      <c r="BD427" s="33" t="s">
        <v>1932</v>
      </c>
      <c r="BE427" s="41" t="str">
        <f t="shared" si="19"/>
        <v>"Zona.de.Uso"</v>
      </c>
    </row>
    <row r="428" spans="1:57" ht="7.5" customHeight="1" x14ac:dyDescent="0.25">
      <c r="A428" s="39">
        <v>428</v>
      </c>
      <c r="B428" s="69" t="s">
        <v>1202</v>
      </c>
      <c r="C428" s="38" t="s">
        <v>1422</v>
      </c>
      <c r="D428" s="18" t="s">
        <v>735</v>
      </c>
      <c r="E428" s="42" t="s">
        <v>745</v>
      </c>
      <c r="F428" s="18" t="s">
        <v>1</v>
      </c>
      <c r="G428" s="20" t="s">
        <v>1</v>
      </c>
      <c r="H428" s="18" t="s">
        <v>1</v>
      </c>
      <c r="I428" s="20" t="s">
        <v>1</v>
      </c>
      <c r="J428" s="18" t="s">
        <v>1</v>
      </c>
      <c r="K428" s="20" t="s">
        <v>1</v>
      </c>
      <c r="L428" s="18" t="s">
        <v>1</v>
      </c>
      <c r="M428" s="20" t="s">
        <v>1</v>
      </c>
      <c r="N428" s="40" t="s">
        <v>78</v>
      </c>
      <c r="O428" s="28" t="s">
        <v>1203</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1821</v>
      </c>
      <c r="AY428" s="41" t="s">
        <v>1935</v>
      </c>
      <c r="AZ428" s="33" t="s">
        <v>1234</v>
      </c>
      <c r="BA428" s="41" t="s">
        <v>1935</v>
      </c>
      <c r="BB428" s="33" t="s">
        <v>1931</v>
      </c>
      <c r="BC428" s="41" t="s">
        <v>757</v>
      </c>
      <c r="BD428" s="33" t="s">
        <v>1932</v>
      </c>
      <c r="BE428" s="41" t="str">
        <f t="shared" si="19"/>
        <v>"Zona.de.Uso"</v>
      </c>
    </row>
    <row r="429" spans="1:57" ht="7.5" customHeight="1" x14ac:dyDescent="0.25">
      <c r="A429" s="39">
        <v>429</v>
      </c>
      <c r="B429" s="69" t="s">
        <v>1204</v>
      </c>
      <c r="C429" s="38" t="s">
        <v>1422</v>
      </c>
      <c r="D429" s="18" t="s">
        <v>735</v>
      </c>
      <c r="E429" s="42" t="s">
        <v>745</v>
      </c>
      <c r="F429" s="18" t="s">
        <v>1</v>
      </c>
      <c r="G429" s="20" t="s">
        <v>1</v>
      </c>
      <c r="H429" s="18" t="s">
        <v>1</v>
      </c>
      <c r="I429" s="20" t="s">
        <v>1</v>
      </c>
      <c r="J429" s="18" t="s">
        <v>1</v>
      </c>
      <c r="K429" s="20" t="s">
        <v>1</v>
      </c>
      <c r="L429" s="18" t="s">
        <v>1</v>
      </c>
      <c r="M429" s="20" t="s">
        <v>1</v>
      </c>
      <c r="N429" s="40" t="s">
        <v>78</v>
      </c>
      <c r="O429" s="28" t="s">
        <v>1205</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1821</v>
      </c>
      <c r="AY429" s="41" t="s">
        <v>1935</v>
      </c>
      <c r="AZ429" s="33" t="s">
        <v>1234</v>
      </c>
      <c r="BA429" s="41" t="s">
        <v>1935</v>
      </c>
      <c r="BB429" s="33" t="s">
        <v>1931</v>
      </c>
      <c r="BC429" s="41" t="s">
        <v>757</v>
      </c>
      <c r="BD429" s="33" t="s">
        <v>1932</v>
      </c>
      <c r="BE429" s="41" t="str">
        <f t="shared" si="19"/>
        <v>"Zona.de.Uso"</v>
      </c>
    </row>
    <row r="430" spans="1:57" ht="7.5" customHeight="1" x14ac:dyDescent="0.25">
      <c r="A430" s="39">
        <v>430</v>
      </c>
      <c r="B430" s="69" t="s">
        <v>1206</v>
      </c>
      <c r="C430" s="38" t="s">
        <v>1422</v>
      </c>
      <c r="D430" s="18" t="s">
        <v>735</v>
      </c>
      <c r="E430" s="42" t="s">
        <v>745</v>
      </c>
      <c r="F430" s="18" t="s">
        <v>1</v>
      </c>
      <c r="G430" s="20" t="s">
        <v>1</v>
      </c>
      <c r="H430" s="18" t="s">
        <v>1</v>
      </c>
      <c r="I430" s="20" t="s">
        <v>1</v>
      </c>
      <c r="J430" s="18" t="s">
        <v>1</v>
      </c>
      <c r="K430" s="20" t="s">
        <v>1</v>
      </c>
      <c r="L430" s="18" t="s">
        <v>1</v>
      </c>
      <c r="M430" s="20" t="s">
        <v>1</v>
      </c>
      <c r="N430" s="40" t="s">
        <v>78</v>
      </c>
      <c r="O430" s="28" t="s">
        <v>1207</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1821</v>
      </c>
      <c r="AY430" s="41" t="s">
        <v>1935</v>
      </c>
      <c r="AZ430" s="33" t="s">
        <v>1234</v>
      </c>
      <c r="BA430" s="41" t="s">
        <v>1935</v>
      </c>
      <c r="BB430" s="33" t="s">
        <v>1931</v>
      </c>
      <c r="BC430" s="41" t="s">
        <v>757</v>
      </c>
      <c r="BD430" s="33" t="s">
        <v>1932</v>
      </c>
      <c r="BE430" s="41" t="str">
        <f t="shared" si="19"/>
        <v>"Zona.de.Uso"</v>
      </c>
    </row>
    <row r="431" spans="1:57" ht="7.5" customHeight="1" x14ac:dyDescent="0.25">
      <c r="A431" s="39">
        <v>431</v>
      </c>
      <c r="B431" s="69" t="s">
        <v>1208</v>
      </c>
      <c r="C431" s="38" t="s">
        <v>1422</v>
      </c>
      <c r="D431" s="18" t="s">
        <v>735</v>
      </c>
      <c r="E431" s="42" t="s">
        <v>745</v>
      </c>
      <c r="F431" s="18" t="s">
        <v>1</v>
      </c>
      <c r="G431" s="20" t="s">
        <v>1</v>
      </c>
      <c r="H431" s="18" t="s">
        <v>1</v>
      </c>
      <c r="I431" s="20" t="s">
        <v>1</v>
      </c>
      <c r="J431" s="18" t="s">
        <v>1</v>
      </c>
      <c r="K431" s="20" t="s">
        <v>1</v>
      </c>
      <c r="L431" s="18" t="s">
        <v>1</v>
      </c>
      <c r="M431" s="20" t="s">
        <v>1</v>
      </c>
      <c r="N431" s="40" t="s">
        <v>78</v>
      </c>
      <c r="O431" s="28" t="s">
        <v>1209</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1821</v>
      </c>
      <c r="AY431" s="41" t="s">
        <v>1935</v>
      </c>
      <c r="AZ431" s="33" t="s">
        <v>1234</v>
      </c>
      <c r="BA431" s="41" t="s">
        <v>1935</v>
      </c>
      <c r="BB431" s="33" t="s">
        <v>1931</v>
      </c>
      <c r="BC431" s="41" t="s">
        <v>757</v>
      </c>
      <c r="BD431" s="33" t="s">
        <v>1932</v>
      </c>
      <c r="BE431" s="41" t="str">
        <f t="shared" si="19"/>
        <v>"Zona.de.Uso"</v>
      </c>
    </row>
    <row r="432" spans="1:57" ht="7.5" customHeight="1" x14ac:dyDescent="0.25">
      <c r="A432" s="39">
        <v>432</v>
      </c>
      <c r="B432" s="69" t="s">
        <v>1210</v>
      </c>
      <c r="C432" s="38" t="s">
        <v>1422</v>
      </c>
      <c r="D432" s="18" t="s">
        <v>735</v>
      </c>
      <c r="E432" s="42" t="s">
        <v>745</v>
      </c>
      <c r="F432" s="18" t="s">
        <v>1</v>
      </c>
      <c r="G432" s="20" t="s">
        <v>1</v>
      </c>
      <c r="H432" s="18" t="s">
        <v>1</v>
      </c>
      <c r="I432" s="20" t="s">
        <v>1</v>
      </c>
      <c r="J432" s="18" t="s">
        <v>1</v>
      </c>
      <c r="K432" s="20" t="s">
        <v>1</v>
      </c>
      <c r="L432" s="18" t="s">
        <v>1</v>
      </c>
      <c r="M432" s="20" t="s">
        <v>1</v>
      </c>
      <c r="N432" s="40" t="s">
        <v>78</v>
      </c>
      <c r="O432" s="28" t="s">
        <v>1211</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1821</v>
      </c>
      <c r="AY432" s="41" t="s">
        <v>1935</v>
      </c>
      <c r="AZ432" s="33" t="s">
        <v>1234</v>
      </c>
      <c r="BA432" s="41" t="s">
        <v>1935</v>
      </c>
      <c r="BB432" s="33" t="s">
        <v>1931</v>
      </c>
      <c r="BC432" s="41" t="s">
        <v>757</v>
      </c>
      <c r="BD432" s="33" t="s">
        <v>1932</v>
      </c>
      <c r="BE432" s="41" t="str">
        <f t="shared" si="19"/>
        <v>"Zona.de.Uso"</v>
      </c>
    </row>
    <row r="433" spans="1:57" ht="7.5" customHeight="1" x14ac:dyDescent="0.25">
      <c r="A433" s="39">
        <v>433</v>
      </c>
      <c r="B433" s="69" t="s">
        <v>1212</v>
      </c>
      <c r="C433" s="38" t="s">
        <v>1422</v>
      </c>
      <c r="D433" s="18" t="s">
        <v>735</v>
      </c>
      <c r="E433" s="42" t="s">
        <v>745</v>
      </c>
      <c r="F433" s="18" t="s">
        <v>1</v>
      </c>
      <c r="G433" s="20" t="s">
        <v>1</v>
      </c>
      <c r="H433" s="18" t="s">
        <v>1</v>
      </c>
      <c r="I433" s="20" t="s">
        <v>1</v>
      </c>
      <c r="J433" s="18" t="s">
        <v>1</v>
      </c>
      <c r="K433" s="20" t="s">
        <v>1</v>
      </c>
      <c r="L433" s="18" t="s">
        <v>1</v>
      </c>
      <c r="M433" s="20" t="s">
        <v>1</v>
      </c>
      <c r="N433" s="40" t="s">
        <v>78</v>
      </c>
      <c r="O433" s="28" t="s">
        <v>1211</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1821</v>
      </c>
      <c r="AY433" s="41" t="s">
        <v>1935</v>
      </c>
      <c r="AZ433" s="33" t="s">
        <v>1234</v>
      </c>
      <c r="BA433" s="41" t="s">
        <v>1935</v>
      </c>
      <c r="BB433" s="33" t="s">
        <v>1931</v>
      </c>
      <c r="BC433" s="41" t="s">
        <v>757</v>
      </c>
      <c r="BD433" s="33" t="s">
        <v>1932</v>
      </c>
      <c r="BE433" s="41" t="str">
        <f t="shared" si="19"/>
        <v>"Zona.de.Uso"</v>
      </c>
    </row>
    <row r="434" spans="1:57" ht="7.5" customHeight="1" x14ac:dyDescent="0.25">
      <c r="A434" s="39">
        <v>434</v>
      </c>
      <c r="B434" s="69" t="s">
        <v>1213</v>
      </c>
      <c r="C434" s="38" t="s">
        <v>1422</v>
      </c>
      <c r="D434" s="18" t="s">
        <v>735</v>
      </c>
      <c r="E434" s="42" t="s">
        <v>745</v>
      </c>
      <c r="F434" s="18" t="s">
        <v>1</v>
      </c>
      <c r="G434" s="20" t="s">
        <v>1</v>
      </c>
      <c r="H434" s="18" t="s">
        <v>1</v>
      </c>
      <c r="I434" s="20" t="s">
        <v>1</v>
      </c>
      <c r="J434" s="18" t="s">
        <v>1</v>
      </c>
      <c r="K434" s="20" t="s">
        <v>1</v>
      </c>
      <c r="L434" s="18" t="s">
        <v>1</v>
      </c>
      <c r="M434" s="20" t="s">
        <v>1</v>
      </c>
      <c r="N434" s="40" t="s">
        <v>78</v>
      </c>
      <c r="O434" s="28" t="s">
        <v>1211</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1821</v>
      </c>
      <c r="AY434" s="41" t="s">
        <v>1935</v>
      </c>
      <c r="AZ434" s="33" t="s">
        <v>1234</v>
      </c>
      <c r="BA434" s="41" t="s">
        <v>1935</v>
      </c>
      <c r="BB434" s="33" t="s">
        <v>1931</v>
      </c>
      <c r="BC434" s="41" t="s">
        <v>757</v>
      </c>
      <c r="BD434" s="33" t="s">
        <v>1932</v>
      </c>
      <c r="BE434" s="41" t="str">
        <f t="shared" si="19"/>
        <v>"Zona.de.Uso"</v>
      </c>
    </row>
    <row r="435" spans="1:57" ht="7.5" customHeight="1" x14ac:dyDescent="0.25">
      <c r="A435" s="39">
        <v>435</v>
      </c>
      <c r="B435" s="69" t="s">
        <v>1214</v>
      </c>
      <c r="C435" s="38" t="s">
        <v>1422</v>
      </c>
      <c r="D435" s="18" t="s">
        <v>735</v>
      </c>
      <c r="E435" s="42" t="s">
        <v>745</v>
      </c>
      <c r="F435" s="18" t="s">
        <v>1</v>
      </c>
      <c r="G435" s="20" t="s">
        <v>1</v>
      </c>
      <c r="H435" s="18" t="s">
        <v>1</v>
      </c>
      <c r="I435" s="20" t="s">
        <v>1</v>
      </c>
      <c r="J435" s="18" t="s">
        <v>1</v>
      </c>
      <c r="K435" s="20" t="s">
        <v>1</v>
      </c>
      <c r="L435" s="18" t="s">
        <v>1</v>
      </c>
      <c r="M435" s="20" t="s">
        <v>1</v>
      </c>
      <c r="N435" s="40" t="s">
        <v>78</v>
      </c>
      <c r="O435" s="28" t="s">
        <v>1215</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1821</v>
      </c>
      <c r="AY435" s="41" t="s">
        <v>1935</v>
      </c>
      <c r="AZ435" s="33" t="s">
        <v>1234</v>
      </c>
      <c r="BA435" s="41" t="s">
        <v>1935</v>
      </c>
      <c r="BB435" s="33" t="s">
        <v>1931</v>
      </c>
      <c r="BC435" s="41" t="s">
        <v>757</v>
      </c>
      <c r="BD435" s="33" t="s">
        <v>1932</v>
      </c>
      <c r="BE435" s="41" t="str">
        <f t="shared" ref="BE435:BE447" si="21">_xlfn.CONCAT("""",C435,"""")</f>
        <v>"Zona.de.Uso"</v>
      </c>
    </row>
    <row r="436" spans="1:57" ht="7.5" customHeight="1" x14ac:dyDescent="0.25">
      <c r="A436" s="39">
        <v>436</v>
      </c>
      <c r="B436" s="69" t="s">
        <v>1216</v>
      </c>
      <c r="C436" s="38" t="s">
        <v>1422</v>
      </c>
      <c r="D436" s="18" t="s">
        <v>735</v>
      </c>
      <c r="E436" s="42" t="s">
        <v>745</v>
      </c>
      <c r="F436" s="18" t="s">
        <v>1</v>
      </c>
      <c r="G436" s="20" t="s">
        <v>1</v>
      </c>
      <c r="H436" s="18" t="s">
        <v>1</v>
      </c>
      <c r="I436" s="20" t="s">
        <v>1</v>
      </c>
      <c r="J436" s="18" t="s">
        <v>1</v>
      </c>
      <c r="K436" s="20" t="s">
        <v>1</v>
      </c>
      <c r="L436" s="18" t="s">
        <v>1</v>
      </c>
      <c r="M436" s="20" t="s">
        <v>1</v>
      </c>
      <c r="N436" s="40" t="s">
        <v>78</v>
      </c>
      <c r="O436" s="28" t="s">
        <v>1215</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1821</v>
      </c>
      <c r="AY436" s="41" t="s">
        <v>1935</v>
      </c>
      <c r="AZ436" s="33" t="s">
        <v>1234</v>
      </c>
      <c r="BA436" s="41" t="s">
        <v>1935</v>
      </c>
      <c r="BB436" s="33" t="s">
        <v>1931</v>
      </c>
      <c r="BC436" s="41" t="s">
        <v>757</v>
      </c>
      <c r="BD436" s="33" t="s">
        <v>1932</v>
      </c>
      <c r="BE436" s="41" t="str">
        <f t="shared" si="21"/>
        <v>"Zona.de.Uso"</v>
      </c>
    </row>
    <row r="437" spans="1:57" ht="7.5" customHeight="1" x14ac:dyDescent="0.25">
      <c r="A437" s="39">
        <v>437</v>
      </c>
      <c r="B437" s="69" t="s">
        <v>1217</v>
      </c>
      <c r="C437" s="38" t="s">
        <v>1422</v>
      </c>
      <c r="D437" s="18" t="s">
        <v>735</v>
      </c>
      <c r="E437" s="42" t="s">
        <v>745</v>
      </c>
      <c r="F437" s="18" t="s">
        <v>1</v>
      </c>
      <c r="G437" s="20" t="s">
        <v>1</v>
      </c>
      <c r="H437" s="18" t="s">
        <v>1</v>
      </c>
      <c r="I437" s="20" t="s">
        <v>1</v>
      </c>
      <c r="J437" s="18" t="s">
        <v>1</v>
      </c>
      <c r="K437" s="20" t="s">
        <v>1</v>
      </c>
      <c r="L437" s="18" t="s">
        <v>1</v>
      </c>
      <c r="M437" s="20" t="s">
        <v>1</v>
      </c>
      <c r="N437" s="40" t="s">
        <v>78</v>
      </c>
      <c r="O437" s="28" t="s">
        <v>1218</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1821</v>
      </c>
      <c r="AY437" s="41" t="s">
        <v>1935</v>
      </c>
      <c r="AZ437" s="33" t="s">
        <v>1234</v>
      </c>
      <c r="BA437" s="41" t="s">
        <v>1935</v>
      </c>
      <c r="BB437" s="33" t="s">
        <v>1931</v>
      </c>
      <c r="BC437" s="41" t="s">
        <v>757</v>
      </c>
      <c r="BD437" s="33" t="s">
        <v>1932</v>
      </c>
      <c r="BE437" s="41" t="str">
        <f t="shared" si="21"/>
        <v>"Zona.de.Uso"</v>
      </c>
    </row>
    <row r="438" spans="1:57" ht="7.5" customHeight="1" x14ac:dyDescent="0.25">
      <c r="A438" s="39">
        <v>438</v>
      </c>
      <c r="B438" s="69" t="s">
        <v>1219</v>
      </c>
      <c r="C438" s="38" t="s">
        <v>1422</v>
      </c>
      <c r="D438" s="18" t="s">
        <v>735</v>
      </c>
      <c r="E438" s="42" t="s">
        <v>745</v>
      </c>
      <c r="F438" s="18" t="s">
        <v>1</v>
      </c>
      <c r="G438" s="20" t="s">
        <v>1</v>
      </c>
      <c r="H438" s="18" t="s">
        <v>1</v>
      </c>
      <c r="I438" s="20" t="s">
        <v>1</v>
      </c>
      <c r="J438" s="18" t="s">
        <v>1</v>
      </c>
      <c r="K438" s="20" t="s">
        <v>1</v>
      </c>
      <c r="L438" s="18" t="s">
        <v>1</v>
      </c>
      <c r="M438" s="20" t="s">
        <v>1</v>
      </c>
      <c r="N438" s="40" t="s">
        <v>78</v>
      </c>
      <c r="O438" s="28" t="s">
        <v>1220</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1821</v>
      </c>
      <c r="AY438" s="41" t="s">
        <v>1935</v>
      </c>
      <c r="AZ438" s="33" t="s">
        <v>1234</v>
      </c>
      <c r="BA438" s="41" t="s">
        <v>1935</v>
      </c>
      <c r="BB438" s="33" t="s">
        <v>1931</v>
      </c>
      <c r="BC438" s="41" t="s">
        <v>757</v>
      </c>
      <c r="BD438" s="33" t="s">
        <v>1932</v>
      </c>
      <c r="BE438" s="41" t="str">
        <f t="shared" si="21"/>
        <v>"Zona.de.Uso"</v>
      </c>
    </row>
    <row r="439" spans="1:57" ht="7.5" customHeight="1" x14ac:dyDescent="0.25">
      <c r="A439" s="39">
        <v>439</v>
      </c>
      <c r="B439" s="67" t="s">
        <v>1001</v>
      </c>
      <c r="C439" s="38" t="s">
        <v>652</v>
      </c>
      <c r="D439" s="18" t="s">
        <v>735</v>
      </c>
      <c r="E439" s="42" t="s">
        <v>745</v>
      </c>
      <c r="F439" s="18" t="s">
        <v>1</v>
      </c>
      <c r="G439" s="20" t="s">
        <v>1</v>
      </c>
      <c r="H439" s="18" t="s">
        <v>1</v>
      </c>
      <c r="I439" s="20" t="s">
        <v>1</v>
      </c>
      <c r="J439" s="18" t="s">
        <v>1</v>
      </c>
      <c r="K439" s="20" t="s">
        <v>1</v>
      </c>
      <c r="L439" s="18" t="s">
        <v>1</v>
      </c>
      <c r="M439" s="20" t="s">
        <v>1</v>
      </c>
      <c r="N439" s="40" t="s">
        <v>78</v>
      </c>
      <c r="O439" s="28" t="s">
        <v>1221</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1821</v>
      </c>
      <c r="AY439" s="41" t="s">
        <v>1935</v>
      </c>
      <c r="AZ439" s="33" t="s">
        <v>1234</v>
      </c>
      <c r="BA439" s="41" t="s">
        <v>1935</v>
      </c>
      <c r="BB439" s="33" t="s">
        <v>1931</v>
      </c>
      <c r="BC439" s="41" t="s">
        <v>757</v>
      </c>
      <c r="BD439" s="33" t="s">
        <v>1932</v>
      </c>
      <c r="BE439" s="41" t="str">
        <f t="shared" si="21"/>
        <v>"Zona"</v>
      </c>
    </row>
    <row r="440" spans="1:57" ht="7.5" customHeight="1" x14ac:dyDescent="0.25">
      <c r="A440" s="39">
        <v>440</v>
      </c>
      <c r="B440" s="67" t="s">
        <v>1005</v>
      </c>
      <c r="C440" s="38" t="s">
        <v>652</v>
      </c>
      <c r="D440" s="18" t="s">
        <v>735</v>
      </c>
      <c r="E440" s="42" t="s">
        <v>745</v>
      </c>
      <c r="F440" s="18" t="s">
        <v>1</v>
      </c>
      <c r="G440" s="20" t="s">
        <v>1</v>
      </c>
      <c r="H440" s="18" t="s">
        <v>1</v>
      </c>
      <c r="I440" s="20" t="s">
        <v>1</v>
      </c>
      <c r="J440" s="18" t="s">
        <v>1</v>
      </c>
      <c r="K440" s="20" t="s">
        <v>1</v>
      </c>
      <c r="L440" s="18" t="s">
        <v>1</v>
      </c>
      <c r="M440" s="20" t="s">
        <v>1</v>
      </c>
      <c r="N440" s="40" t="s">
        <v>78</v>
      </c>
      <c r="O440" s="28" t="s">
        <v>1222</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1821</v>
      </c>
      <c r="AY440" s="41" t="s">
        <v>1935</v>
      </c>
      <c r="AZ440" s="33" t="s">
        <v>1234</v>
      </c>
      <c r="BA440" s="41" t="s">
        <v>1935</v>
      </c>
      <c r="BB440" s="33" t="s">
        <v>1931</v>
      </c>
      <c r="BC440" s="41" t="s">
        <v>757</v>
      </c>
      <c r="BD440" s="33" t="s">
        <v>1932</v>
      </c>
      <c r="BE440" s="41" t="str">
        <f t="shared" si="21"/>
        <v>"Zona"</v>
      </c>
    </row>
    <row r="441" spans="1:57" ht="7.5" customHeight="1" x14ac:dyDescent="0.25">
      <c r="A441" s="39">
        <v>441</v>
      </c>
      <c r="B441" s="67" t="s">
        <v>1009</v>
      </c>
      <c r="C441" s="38" t="s">
        <v>652</v>
      </c>
      <c r="D441" s="18" t="s">
        <v>735</v>
      </c>
      <c r="E441" s="42" t="s">
        <v>745</v>
      </c>
      <c r="F441" s="18" t="s">
        <v>1</v>
      </c>
      <c r="G441" s="20" t="s">
        <v>1</v>
      </c>
      <c r="H441" s="18" t="s">
        <v>1</v>
      </c>
      <c r="I441" s="20" t="s">
        <v>1</v>
      </c>
      <c r="J441" s="18" t="s">
        <v>1</v>
      </c>
      <c r="K441" s="20" t="s">
        <v>1</v>
      </c>
      <c r="L441" s="18" t="s">
        <v>1</v>
      </c>
      <c r="M441" s="20" t="s">
        <v>1</v>
      </c>
      <c r="N441" s="40" t="s">
        <v>78</v>
      </c>
      <c r="O441" s="28" t="s">
        <v>1223</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1821</v>
      </c>
      <c r="AY441" s="41" t="s">
        <v>1935</v>
      </c>
      <c r="AZ441" s="33" t="s">
        <v>1234</v>
      </c>
      <c r="BA441" s="41" t="s">
        <v>1935</v>
      </c>
      <c r="BB441" s="33" t="s">
        <v>1931</v>
      </c>
      <c r="BC441" s="41" t="s">
        <v>757</v>
      </c>
      <c r="BD441" s="33" t="s">
        <v>1932</v>
      </c>
      <c r="BE441" s="41" t="str">
        <f t="shared" si="21"/>
        <v>"Zona"</v>
      </c>
    </row>
    <row r="442" spans="1:57" ht="7.5" customHeight="1" x14ac:dyDescent="0.25">
      <c r="A442" s="39">
        <v>442</v>
      </c>
      <c r="B442" s="67" t="s">
        <v>1011</v>
      </c>
      <c r="C442" s="38" t="s">
        <v>652</v>
      </c>
      <c r="D442" s="18" t="s">
        <v>735</v>
      </c>
      <c r="E442" s="42" t="s">
        <v>745</v>
      </c>
      <c r="F442" s="18" t="s">
        <v>1</v>
      </c>
      <c r="G442" s="20" t="s">
        <v>1</v>
      </c>
      <c r="H442" s="18" t="s">
        <v>1</v>
      </c>
      <c r="I442" s="20" t="s">
        <v>1</v>
      </c>
      <c r="J442" s="18" t="s">
        <v>1</v>
      </c>
      <c r="K442" s="20" t="s">
        <v>1</v>
      </c>
      <c r="L442" s="18" t="s">
        <v>1</v>
      </c>
      <c r="M442" s="20" t="s">
        <v>1</v>
      </c>
      <c r="N442" s="40" t="s">
        <v>78</v>
      </c>
      <c r="O442" s="28" t="s">
        <v>1224</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1821</v>
      </c>
      <c r="AY442" s="41" t="s">
        <v>1935</v>
      </c>
      <c r="AZ442" s="33" t="s">
        <v>1234</v>
      </c>
      <c r="BA442" s="41" t="s">
        <v>1935</v>
      </c>
      <c r="BB442" s="33" t="s">
        <v>1931</v>
      </c>
      <c r="BC442" s="41" t="s">
        <v>757</v>
      </c>
      <c r="BD442" s="33" t="s">
        <v>1932</v>
      </c>
      <c r="BE442" s="41" t="str">
        <f t="shared" si="21"/>
        <v>"Zona"</v>
      </c>
    </row>
    <row r="443" spans="1:57" ht="7.5" customHeight="1" x14ac:dyDescent="0.25">
      <c r="A443" s="39">
        <v>443</v>
      </c>
      <c r="B443" s="67" t="s">
        <v>1013</v>
      </c>
      <c r="C443" s="38" t="s">
        <v>652</v>
      </c>
      <c r="D443" s="18" t="s">
        <v>735</v>
      </c>
      <c r="E443" s="42" t="s">
        <v>745</v>
      </c>
      <c r="F443" s="18" t="s">
        <v>1</v>
      </c>
      <c r="G443" s="20" t="s">
        <v>1</v>
      </c>
      <c r="H443" s="18" t="s">
        <v>1</v>
      </c>
      <c r="I443" s="20" t="s">
        <v>1</v>
      </c>
      <c r="J443" s="18" t="s">
        <v>1</v>
      </c>
      <c r="K443" s="20" t="s">
        <v>1</v>
      </c>
      <c r="L443" s="18" t="s">
        <v>1</v>
      </c>
      <c r="M443" s="20" t="s">
        <v>1</v>
      </c>
      <c r="N443" s="40" t="s">
        <v>78</v>
      </c>
      <c r="O443" s="28" t="s">
        <v>1225</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1821</v>
      </c>
      <c r="AY443" s="41" t="s">
        <v>1935</v>
      </c>
      <c r="AZ443" s="33" t="s">
        <v>1234</v>
      </c>
      <c r="BA443" s="41" t="s">
        <v>1935</v>
      </c>
      <c r="BB443" s="33" t="s">
        <v>1931</v>
      </c>
      <c r="BC443" s="41" t="s">
        <v>757</v>
      </c>
      <c r="BD443" s="33" t="s">
        <v>1932</v>
      </c>
      <c r="BE443" s="41" t="str">
        <f t="shared" si="21"/>
        <v>"Zona"</v>
      </c>
    </row>
    <row r="444" spans="1:57" ht="7.5" customHeight="1" x14ac:dyDescent="0.25">
      <c r="A444" s="39">
        <v>444</v>
      </c>
      <c r="B444" s="67" t="s">
        <v>1015</v>
      </c>
      <c r="C444" s="38" t="s">
        <v>652</v>
      </c>
      <c r="D444" s="18" t="s">
        <v>735</v>
      </c>
      <c r="E444" s="42" t="s">
        <v>745</v>
      </c>
      <c r="F444" s="18" t="s">
        <v>1</v>
      </c>
      <c r="G444" s="20" t="s">
        <v>1</v>
      </c>
      <c r="H444" s="18" t="s">
        <v>1</v>
      </c>
      <c r="I444" s="20" t="s">
        <v>1</v>
      </c>
      <c r="J444" s="18" t="s">
        <v>1</v>
      </c>
      <c r="K444" s="20" t="s">
        <v>1</v>
      </c>
      <c r="L444" s="18" t="s">
        <v>1</v>
      </c>
      <c r="M444" s="20" t="s">
        <v>1</v>
      </c>
      <c r="N444" s="40" t="s">
        <v>78</v>
      </c>
      <c r="O444" s="28" t="s">
        <v>1226</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1821</v>
      </c>
      <c r="AY444" s="41" t="s">
        <v>1935</v>
      </c>
      <c r="AZ444" s="33" t="s">
        <v>1234</v>
      </c>
      <c r="BA444" s="41" t="s">
        <v>1935</v>
      </c>
      <c r="BB444" s="33" t="s">
        <v>1931</v>
      </c>
      <c r="BC444" s="41" t="s">
        <v>757</v>
      </c>
      <c r="BD444" s="33" t="s">
        <v>1932</v>
      </c>
      <c r="BE444" s="41" t="str">
        <f t="shared" si="21"/>
        <v>"Zona"</v>
      </c>
    </row>
    <row r="445" spans="1:57" ht="7.5" customHeight="1" x14ac:dyDescent="0.25">
      <c r="A445" s="39">
        <v>445</v>
      </c>
      <c r="B445" s="67" t="s">
        <v>1017</v>
      </c>
      <c r="C445" s="38" t="s">
        <v>652</v>
      </c>
      <c r="D445" s="18" t="s">
        <v>735</v>
      </c>
      <c r="E445" s="42" t="s">
        <v>745</v>
      </c>
      <c r="F445" s="18" t="s">
        <v>1</v>
      </c>
      <c r="G445" s="20" t="s">
        <v>1</v>
      </c>
      <c r="H445" s="18" t="s">
        <v>1</v>
      </c>
      <c r="I445" s="20" t="s">
        <v>1</v>
      </c>
      <c r="J445" s="18" t="s">
        <v>1</v>
      </c>
      <c r="K445" s="20" t="s">
        <v>1</v>
      </c>
      <c r="L445" s="18" t="s">
        <v>1</v>
      </c>
      <c r="M445" s="20" t="s">
        <v>1</v>
      </c>
      <c r="N445" s="40" t="s">
        <v>78</v>
      </c>
      <c r="O445" s="28" t="s">
        <v>1227</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1821</v>
      </c>
      <c r="AY445" s="41" t="s">
        <v>1935</v>
      </c>
      <c r="AZ445" s="33" t="s">
        <v>1234</v>
      </c>
      <c r="BA445" s="41" t="s">
        <v>1935</v>
      </c>
      <c r="BB445" s="33" t="s">
        <v>1931</v>
      </c>
      <c r="BC445" s="41" t="s">
        <v>757</v>
      </c>
      <c r="BD445" s="33" t="s">
        <v>1932</v>
      </c>
      <c r="BE445" s="41" t="str">
        <f t="shared" si="21"/>
        <v>"Zona"</v>
      </c>
    </row>
    <row r="446" spans="1:57" ht="7.5" customHeight="1" x14ac:dyDescent="0.25">
      <c r="A446" s="39">
        <v>446</v>
      </c>
      <c r="B446" s="67" t="s">
        <v>1020</v>
      </c>
      <c r="C446" s="38" t="s">
        <v>652</v>
      </c>
      <c r="D446" s="18" t="s">
        <v>735</v>
      </c>
      <c r="E446" s="42" t="s">
        <v>745</v>
      </c>
      <c r="F446" s="18" t="s">
        <v>1</v>
      </c>
      <c r="G446" s="20" t="s">
        <v>1</v>
      </c>
      <c r="H446" s="18" t="s">
        <v>1</v>
      </c>
      <c r="I446" s="20" t="s">
        <v>1</v>
      </c>
      <c r="J446" s="18" t="s">
        <v>1</v>
      </c>
      <c r="K446" s="20" t="s">
        <v>1</v>
      </c>
      <c r="L446" s="18" t="s">
        <v>1</v>
      </c>
      <c r="M446" s="20" t="s">
        <v>1</v>
      </c>
      <c r="N446" s="40" t="s">
        <v>78</v>
      </c>
      <c r="O446" s="28" t="s">
        <v>1228</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1821</v>
      </c>
      <c r="AY446" s="41" t="s">
        <v>1935</v>
      </c>
      <c r="AZ446" s="33" t="s">
        <v>1234</v>
      </c>
      <c r="BA446" s="41" t="s">
        <v>1935</v>
      </c>
      <c r="BB446" s="33" t="s">
        <v>1931</v>
      </c>
      <c r="BC446" s="41" t="s">
        <v>757</v>
      </c>
      <c r="BD446" s="33" t="s">
        <v>1932</v>
      </c>
      <c r="BE446" s="41" t="str">
        <f t="shared" si="21"/>
        <v>"Zona"</v>
      </c>
    </row>
    <row r="447" spans="1:57" ht="7.5" customHeight="1" x14ac:dyDescent="0.25">
      <c r="A447" s="39">
        <v>447</v>
      </c>
      <c r="B447" s="67" t="s">
        <v>1024</v>
      </c>
      <c r="C447" s="38" t="s">
        <v>652</v>
      </c>
      <c r="D447" s="18" t="s">
        <v>735</v>
      </c>
      <c r="E447" s="42" t="s">
        <v>745</v>
      </c>
      <c r="F447" s="18" t="s">
        <v>1</v>
      </c>
      <c r="G447" s="20" t="s">
        <v>1</v>
      </c>
      <c r="H447" s="18" t="s">
        <v>1</v>
      </c>
      <c r="I447" s="20" t="s">
        <v>1</v>
      </c>
      <c r="J447" s="18" t="s">
        <v>1</v>
      </c>
      <c r="K447" s="20" t="s">
        <v>1</v>
      </c>
      <c r="L447" s="18" t="s">
        <v>1</v>
      </c>
      <c r="M447" s="20" t="s">
        <v>1</v>
      </c>
      <c r="N447" s="40" t="s">
        <v>78</v>
      </c>
      <c r="O447" s="28" t="s">
        <v>1229</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1821</v>
      </c>
      <c r="AY447" s="41" t="s">
        <v>1935</v>
      </c>
      <c r="AZ447" s="33" t="s">
        <v>1234</v>
      </c>
      <c r="BA447" s="41" t="s">
        <v>1935</v>
      </c>
      <c r="BB447" s="33" t="s">
        <v>1931</v>
      </c>
      <c r="BC447" s="41" t="s">
        <v>757</v>
      </c>
      <c r="BD447" s="33" t="s">
        <v>1932</v>
      </c>
      <c r="BE447" s="41" t="str">
        <f t="shared" si="21"/>
        <v>"Zona"</v>
      </c>
    </row>
    <row r="448" spans="1:57" ht="7.5" customHeight="1" x14ac:dyDescent="0.25">
      <c r="A448" s="39">
        <v>448</v>
      </c>
      <c r="B448" s="64" t="s">
        <v>1242</v>
      </c>
      <c r="C448" s="65" t="s">
        <v>553</v>
      </c>
      <c r="D448" s="18" t="s">
        <v>1965</v>
      </c>
      <c r="E448" s="20" t="s">
        <v>1487</v>
      </c>
      <c r="F448" s="18" t="s">
        <v>1</v>
      </c>
      <c r="G448" s="20" t="s">
        <v>1</v>
      </c>
      <c r="H448" s="18" t="s">
        <v>1</v>
      </c>
      <c r="I448" s="20" t="s">
        <v>1</v>
      </c>
      <c r="J448" s="18" t="s">
        <v>1</v>
      </c>
      <c r="K448" s="20" t="s">
        <v>1</v>
      </c>
      <c r="L448" s="18" t="s">
        <v>1</v>
      </c>
      <c r="M448" s="20" t="s">
        <v>1</v>
      </c>
      <c r="N448" s="33" t="s">
        <v>78</v>
      </c>
      <c r="O448" s="28" t="s">
        <v>1243</v>
      </c>
      <c r="P448" s="33" t="s">
        <v>1230</v>
      </c>
      <c r="Q448" s="28" t="s">
        <v>1244</v>
      </c>
      <c r="R448" s="33" t="s">
        <v>1</v>
      </c>
      <c r="S448" s="28" t="s">
        <v>1</v>
      </c>
      <c r="T448" s="33" t="s">
        <v>1231</v>
      </c>
      <c r="U448" s="28">
        <v>-22.891933999999999</v>
      </c>
      <c r="V448" s="33" t="s">
        <v>1232</v>
      </c>
      <c r="W448" s="28">
        <v>-43.195279999999997</v>
      </c>
      <c r="X448" s="33" t="s">
        <v>1245</v>
      </c>
      <c r="Y448" s="49">
        <v>29</v>
      </c>
      <c r="Z448" s="33" t="s">
        <v>1246</v>
      </c>
      <c r="AA448" s="49">
        <v>15</v>
      </c>
      <c r="AB448" s="33" t="s">
        <v>1247</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1953</v>
      </c>
      <c r="AW448" s="41" t="s">
        <v>1957</v>
      </c>
      <c r="AX448" s="33" t="s">
        <v>1821</v>
      </c>
      <c r="AY448" s="41" t="s">
        <v>1967</v>
      </c>
      <c r="AZ448" s="33" t="s">
        <v>1234</v>
      </c>
      <c r="BA448" s="28" t="s">
        <v>1938</v>
      </c>
      <c r="BB448" s="33" t="s">
        <v>1931</v>
      </c>
      <c r="BC448" s="41" t="s">
        <v>1934</v>
      </c>
      <c r="BD448" s="33" t="s">
        <v>1932</v>
      </c>
      <c r="BE448" s="41" t="str">
        <f t="shared" ref="BE448:BE464" si="22">_xlfn.CONCAT("""",C448,"""")</f>
        <v>"Porto.Marítimo"</v>
      </c>
    </row>
    <row r="449" spans="1:57" ht="7.5" customHeight="1" x14ac:dyDescent="0.25">
      <c r="A449" s="39">
        <v>449</v>
      </c>
      <c r="B449" s="64" t="s">
        <v>1248</v>
      </c>
      <c r="C449" s="65" t="s">
        <v>564</v>
      </c>
      <c r="D449" s="18" t="s">
        <v>1249</v>
      </c>
      <c r="E449" s="20" t="s">
        <v>1242</v>
      </c>
      <c r="F449" s="18" t="s">
        <v>1</v>
      </c>
      <c r="G449" s="20" t="s">
        <v>1</v>
      </c>
      <c r="H449" s="18" t="s">
        <v>1</v>
      </c>
      <c r="I449" s="20" t="s">
        <v>1</v>
      </c>
      <c r="J449" s="18" t="s">
        <v>1</v>
      </c>
      <c r="K449" s="20" t="s">
        <v>1</v>
      </c>
      <c r="L449" s="18" t="s">
        <v>1</v>
      </c>
      <c r="M449" s="20" t="s">
        <v>1</v>
      </c>
      <c r="N449" s="33" t="s">
        <v>78</v>
      </c>
      <c r="O449" s="28" t="s">
        <v>1250</v>
      </c>
      <c r="P449" s="33" t="s">
        <v>1230</v>
      </c>
      <c r="Q449" s="28" t="s">
        <v>1251</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1821</v>
      </c>
      <c r="AY449" s="41" t="s">
        <v>1967</v>
      </c>
      <c r="AZ449" s="33" t="s">
        <v>1234</v>
      </c>
      <c r="BA449" s="28" t="s">
        <v>1940</v>
      </c>
      <c r="BB449" s="33" t="s">
        <v>1931</v>
      </c>
      <c r="BC449" s="41" t="s">
        <v>1934</v>
      </c>
      <c r="BD449" s="33" t="s">
        <v>1932</v>
      </c>
      <c r="BE449" s="41" t="str">
        <f t="shared" si="22"/>
        <v>"Cais"</v>
      </c>
    </row>
    <row r="450" spans="1:57" ht="7.5" customHeight="1" x14ac:dyDescent="0.25">
      <c r="A450" s="39">
        <v>450</v>
      </c>
      <c r="B450" s="64" t="s">
        <v>1252</v>
      </c>
      <c r="C450" s="65" t="s">
        <v>561</v>
      </c>
      <c r="D450" s="18" t="s">
        <v>1249</v>
      </c>
      <c r="E450" s="20" t="s">
        <v>1242</v>
      </c>
      <c r="F450" s="18" t="s">
        <v>1</v>
      </c>
      <c r="G450" s="20" t="s">
        <v>1</v>
      </c>
      <c r="H450" s="18" t="s">
        <v>1</v>
      </c>
      <c r="I450" s="20" t="s">
        <v>1</v>
      </c>
      <c r="J450" s="18" t="s">
        <v>1</v>
      </c>
      <c r="K450" s="20" t="s">
        <v>1</v>
      </c>
      <c r="L450" s="18" t="s">
        <v>1</v>
      </c>
      <c r="M450" s="20" t="s">
        <v>1</v>
      </c>
      <c r="N450" s="33" t="s">
        <v>78</v>
      </c>
      <c r="O450" s="28" t="s">
        <v>1253</v>
      </c>
      <c r="P450" s="33" t="s">
        <v>1230</v>
      </c>
      <c r="Q450" s="28" t="s">
        <v>1254</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1821</v>
      </c>
      <c r="AY450" s="41" t="s">
        <v>1967</v>
      </c>
      <c r="AZ450" s="33" t="s">
        <v>1234</v>
      </c>
      <c r="BA450" s="28" t="s">
        <v>1939</v>
      </c>
      <c r="BB450" s="33" t="s">
        <v>1931</v>
      </c>
      <c r="BC450" s="41" t="s">
        <v>1934</v>
      </c>
      <c r="BD450" s="33" t="s">
        <v>1932</v>
      </c>
      <c r="BE450" s="41" t="str">
        <f t="shared" si="22"/>
        <v>"Pier"</v>
      </c>
    </row>
    <row r="451" spans="1:57" ht="7.5" customHeight="1" x14ac:dyDescent="0.25">
      <c r="A451" s="39">
        <v>451</v>
      </c>
      <c r="B451" s="64" t="s">
        <v>1255</v>
      </c>
      <c r="C451" s="65" t="s">
        <v>480</v>
      </c>
      <c r="D451" s="18" t="s">
        <v>1249</v>
      </c>
      <c r="E451" s="20" t="s">
        <v>1242</v>
      </c>
      <c r="F451" s="18" t="s">
        <v>1</v>
      </c>
      <c r="G451" s="20" t="s">
        <v>1</v>
      </c>
      <c r="H451" s="18" t="s">
        <v>1</v>
      </c>
      <c r="I451" s="20" t="s">
        <v>1</v>
      </c>
      <c r="J451" s="18" t="s">
        <v>1</v>
      </c>
      <c r="K451" s="20" t="s">
        <v>1</v>
      </c>
      <c r="L451" s="18" t="s">
        <v>1</v>
      </c>
      <c r="M451" s="20" t="s">
        <v>1</v>
      </c>
      <c r="N451" s="33" t="s">
        <v>78</v>
      </c>
      <c r="O451" s="28" t="s">
        <v>1256</v>
      </c>
      <c r="P451" s="33" t="s">
        <v>1230</v>
      </c>
      <c r="Q451" s="28" t="s">
        <v>1257</v>
      </c>
      <c r="R451" s="33" t="s">
        <v>1</v>
      </c>
      <c r="S451" s="28" t="s">
        <v>1</v>
      </c>
      <c r="T451" s="33" t="s">
        <v>1231</v>
      </c>
      <c r="U451" s="28">
        <v>-23.063932999999999</v>
      </c>
      <c r="V451" s="33" t="s">
        <v>1232</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1821</v>
      </c>
      <c r="AY451" s="41" t="s">
        <v>1967</v>
      </c>
      <c r="AZ451" s="33" t="s">
        <v>1234</v>
      </c>
      <c r="BA451" s="28" t="s">
        <v>1941</v>
      </c>
      <c r="BB451" s="33" t="s">
        <v>1931</v>
      </c>
      <c r="BC451" s="41" t="s">
        <v>1934</v>
      </c>
      <c r="BD451" s="33" t="s">
        <v>1932</v>
      </c>
      <c r="BE451" s="41" t="str">
        <f t="shared" si="22"/>
        <v>"Farol"</v>
      </c>
    </row>
    <row r="452" spans="1:57" ht="7.5" customHeight="1" x14ac:dyDescent="0.25">
      <c r="A452" s="39">
        <v>452</v>
      </c>
      <c r="B452" s="64" t="s">
        <v>1258</v>
      </c>
      <c r="C452" s="65" t="s">
        <v>1486</v>
      </c>
      <c r="D452" s="18" t="s">
        <v>1249</v>
      </c>
      <c r="E452" s="20" t="s">
        <v>1242</v>
      </c>
      <c r="F452" s="18" t="s">
        <v>1</v>
      </c>
      <c r="G452" s="20" t="s">
        <v>1</v>
      </c>
      <c r="H452" s="18" t="s">
        <v>1</v>
      </c>
      <c r="I452" s="20" t="s">
        <v>1</v>
      </c>
      <c r="J452" s="18" t="s">
        <v>1</v>
      </c>
      <c r="K452" s="20" t="s">
        <v>1</v>
      </c>
      <c r="L452" s="18" t="s">
        <v>1</v>
      </c>
      <c r="M452" s="20" t="s">
        <v>1</v>
      </c>
      <c r="N452" s="33" t="s">
        <v>78</v>
      </c>
      <c r="O452" s="43" t="s">
        <v>1259</v>
      </c>
      <c r="P452" s="33" t="s">
        <v>1230</v>
      </c>
      <c r="Q452" s="28" t="s">
        <v>1260</v>
      </c>
      <c r="R452" s="33" t="s">
        <v>1</v>
      </c>
      <c r="S452" s="28" t="s">
        <v>1</v>
      </c>
      <c r="T452" s="33" t="s">
        <v>1966</v>
      </c>
      <c r="U452" s="28" t="s">
        <v>1261</v>
      </c>
      <c r="V452" s="33" t="s">
        <v>1961</v>
      </c>
      <c r="W452" s="28" t="s">
        <v>1262</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1953</v>
      </c>
      <c r="AW452" s="41" t="s">
        <v>1958</v>
      </c>
      <c r="AX452" s="33" t="s">
        <v>1821</v>
      </c>
      <c r="AY452" s="41" t="s">
        <v>1967</v>
      </c>
      <c r="AZ452" s="33" t="s">
        <v>1234</v>
      </c>
      <c r="BA452" s="28" t="s">
        <v>1942</v>
      </c>
      <c r="BB452" s="33" t="s">
        <v>1931</v>
      </c>
      <c r="BC452" s="41" t="s">
        <v>1934</v>
      </c>
      <c r="BD452" s="33" t="s">
        <v>1932</v>
      </c>
      <c r="BE452" s="41" t="str">
        <f t="shared" si="22"/>
        <v>"Zona.de.Estocagem"</v>
      </c>
    </row>
    <row r="453" spans="1:57" ht="7.5" customHeight="1" x14ac:dyDescent="0.25">
      <c r="A453" s="39">
        <v>453</v>
      </c>
      <c r="B453" s="64" t="s">
        <v>1263</v>
      </c>
      <c r="C453" s="65" t="s">
        <v>1486</v>
      </c>
      <c r="D453" s="18" t="s">
        <v>1249</v>
      </c>
      <c r="E453" s="20" t="s">
        <v>1242</v>
      </c>
      <c r="F453" s="18" t="s">
        <v>1</v>
      </c>
      <c r="G453" s="20" t="s">
        <v>1</v>
      </c>
      <c r="H453" s="18" t="s">
        <v>1</v>
      </c>
      <c r="I453" s="20" t="s">
        <v>1</v>
      </c>
      <c r="J453" s="18" t="s">
        <v>1</v>
      </c>
      <c r="K453" s="20" t="s">
        <v>1</v>
      </c>
      <c r="L453" s="18" t="s">
        <v>1</v>
      </c>
      <c r="M453" s="20" t="s">
        <v>1</v>
      </c>
      <c r="N453" s="33" t="s">
        <v>78</v>
      </c>
      <c r="O453" s="43" t="s">
        <v>1264</v>
      </c>
      <c r="P453" s="33" t="s">
        <v>1230</v>
      </c>
      <c r="Q453" s="28" t="s">
        <v>1265</v>
      </c>
      <c r="R453" s="33" t="s">
        <v>1</v>
      </c>
      <c r="S453" s="28" t="s">
        <v>1</v>
      </c>
      <c r="T453" s="33" t="s">
        <v>1966</v>
      </c>
      <c r="U453" s="28" t="s">
        <v>1261</v>
      </c>
      <c r="V453" s="33" t="s">
        <v>1961</v>
      </c>
      <c r="W453" s="28" t="s">
        <v>1262</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1953</v>
      </c>
      <c r="AW453" s="41" t="s">
        <v>1958</v>
      </c>
      <c r="AX453" s="33" t="s">
        <v>1821</v>
      </c>
      <c r="AY453" s="41" t="s">
        <v>1967</v>
      </c>
      <c r="AZ453" s="33" t="s">
        <v>1234</v>
      </c>
      <c r="BA453" s="28" t="s">
        <v>1942</v>
      </c>
      <c r="BB453" s="33" t="s">
        <v>1931</v>
      </c>
      <c r="BC453" s="41" t="s">
        <v>1934</v>
      </c>
      <c r="BD453" s="33" t="s">
        <v>1932</v>
      </c>
      <c r="BE453" s="41" t="str">
        <f t="shared" si="22"/>
        <v>"Zona.de.Estocagem"</v>
      </c>
    </row>
    <row r="454" spans="1:57" ht="7.5" customHeight="1" x14ac:dyDescent="0.25">
      <c r="A454" s="39">
        <v>454</v>
      </c>
      <c r="B454" s="64" t="s">
        <v>1266</v>
      </c>
      <c r="C454" s="65" t="s">
        <v>1486</v>
      </c>
      <c r="D454" s="18" t="s">
        <v>1249</v>
      </c>
      <c r="E454" s="20" t="s">
        <v>1242</v>
      </c>
      <c r="F454" s="18" t="s">
        <v>1</v>
      </c>
      <c r="G454" s="20" t="s">
        <v>1</v>
      </c>
      <c r="H454" s="18" t="s">
        <v>1</v>
      </c>
      <c r="I454" s="20" t="s">
        <v>1</v>
      </c>
      <c r="J454" s="18" t="s">
        <v>1</v>
      </c>
      <c r="K454" s="20" t="s">
        <v>1</v>
      </c>
      <c r="L454" s="18" t="s">
        <v>1</v>
      </c>
      <c r="M454" s="20" t="s">
        <v>1</v>
      </c>
      <c r="N454" s="33" t="s">
        <v>78</v>
      </c>
      <c r="O454" s="43" t="s">
        <v>1267</v>
      </c>
      <c r="P454" s="33" t="s">
        <v>1230</v>
      </c>
      <c r="Q454" s="28" t="s">
        <v>1268</v>
      </c>
      <c r="R454" s="33" t="s">
        <v>1</v>
      </c>
      <c r="S454" s="28" t="s">
        <v>1</v>
      </c>
      <c r="T454" s="33" t="s">
        <v>1966</v>
      </c>
      <c r="U454" s="28" t="s">
        <v>1261</v>
      </c>
      <c r="V454" s="33" t="s">
        <v>1961</v>
      </c>
      <c r="W454" s="28" t="s">
        <v>1262</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1953</v>
      </c>
      <c r="AW454" s="41" t="s">
        <v>1958</v>
      </c>
      <c r="AX454" s="33" t="s">
        <v>1821</v>
      </c>
      <c r="AY454" s="41" t="s">
        <v>1967</v>
      </c>
      <c r="AZ454" s="33" t="s">
        <v>1234</v>
      </c>
      <c r="BA454" s="28" t="s">
        <v>1942</v>
      </c>
      <c r="BB454" s="33" t="s">
        <v>1931</v>
      </c>
      <c r="BC454" s="41" t="s">
        <v>1934</v>
      </c>
      <c r="BD454" s="33" t="s">
        <v>1932</v>
      </c>
      <c r="BE454" s="41" t="str">
        <f t="shared" si="22"/>
        <v>"Zona.de.Estocagem"</v>
      </c>
    </row>
    <row r="455" spans="1:57" ht="7.5" customHeight="1" x14ac:dyDescent="0.25">
      <c r="A455" s="39">
        <v>455</v>
      </c>
      <c r="B455" s="64" t="s">
        <v>1269</v>
      </c>
      <c r="C455" s="65" t="s">
        <v>1486</v>
      </c>
      <c r="D455" s="18" t="s">
        <v>1249</v>
      </c>
      <c r="E455" s="20" t="s">
        <v>1242</v>
      </c>
      <c r="F455" s="18" t="s">
        <v>1</v>
      </c>
      <c r="G455" s="20" t="s">
        <v>1</v>
      </c>
      <c r="H455" s="18" t="s">
        <v>1</v>
      </c>
      <c r="I455" s="20" t="s">
        <v>1</v>
      </c>
      <c r="J455" s="18" t="s">
        <v>1</v>
      </c>
      <c r="K455" s="20" t="s">
        <v>1</v>
      </c>
      <c r="L455" s="18" t="s">
        <v>1</v>
      </c>
      <c r="M455" s="20" t="s">
        <v>1</v>
      </c>
      <c r="N455" s="33" t="s">
        <v>78</v>
      </c>
      <c r="O455" s="43" t="s">
        <v>1270</v>
      </c>
      <c r="P455" s="33" t="s">
        <v>1230</v>
      </c>
      <c r="Q455" s="28" t="s">
        <v>1271</v>
      </c>
      <c r="R455" s="33" t="s">
        <v>1</v>
      </c>
      <c r="S455" s="28" t="s">
        <v>1</v>
      </c>
      <c r="T455" s="33" t="s">
        <v>1966</v>
      </c>
      <c r="U455" s="28" t="s">
        <v>1261</v>
      </c>
      <c r="V455" s="33" t="s">
        <v>1961</v>
      </c>
      <c r="W455" s="28" t="s">
        <v>1262</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1953</v>
      </c>
      <c r="AW455" s="41" t="s">
        <v>1958</v>
      </c>
      <c r="AX455" s="33" t="s">
        <v>1821</v>
      </c>
      <c r="AY455" s="41" t="s">
        <v>1967</v>
      </c>
      <c r="AZ455" s="33" t="s">
        <v>1234</v>
      </c>
      <c r="BA455" s="28" t="s">
        <v>1942</v>
      </c>
      <c r="BB455" s="33" t="s">
        <v>1931</v>
      </c>
      <c r="BC455" s="41" t="s">
        <v>1934</v>
      </c>
      <c r="BD455" s="33" t="s">
        <v>1932</v>
      </c>
      <c r="BE455" s="41" t="str">
        <f t="shared" si="22"/>
        <v>"Zona.de.Estocagem"</v>
      </c>
    </row>
    <row r="456" spans="1:57" ht="7.5" customHeight="1" x14ac:dyDescent="0.25">
      <c r="A456" s="39">
        <v>456</v>
      </c>
      <c r="B456" s="64" t="s">
        <v>1272</v>
      </c>
      <c r="C456" s="65" t="s">
        <v>1486</v>
      </c>
      <c r="D456" s="18" t="s">
        <v>1249</v>
      </c>
      <c r="E456" s="20" t="s">
        <v>1242</v>
      </c>
      <c r="F456" s="18" t="s">
        <v>1</v>
      </c>
      <c r="G456" s="20" t="s">
        <v>1</v>
      </c>
      <c r="H456" s="18" t="s">
        <v>1</v>
      </c>
      <c r="I456" s="20" t="s">
        <v>1</v>
      </c>
      <c r="J456" s="18" t="s">
        <v>1</v>
      </c>
      <c r="K456" s="20" t="s">
        <v>1</v>
      </c>
      <c r="L456" s="18" t="s">
        <v>1</v>
      </c>
      <c r="M456" s="20" t="s">
        <v>1</v>
      </c>
      <c r="N456" s="33" t="s">
        <v>78</v>
      </c>
      <c r="O456" s="43" t="s">
        <v>1273</v>
      </c>
      <c r="P456" s="33" t="s">
        <v>1230</v>
      </c>
      <c r="Q456" s="28" t="s">
        <v>1274</v>
      </c>
      <c r="R456" s="33" t="s">
        <v>1</v>
      </c>
      <c r="S456" s="28" t="s">
        <v>1</v>
      </c>
      <c r="T456" s="33" t="s">
        <v>1966</v>
      </c>
      <c r="U456" s="28" t="s">
        <v>1275</v>
      </c>
      <c r="V456" s="33" t="s">
        <v>1961</v>
      </c>
      <c r="W456" s="28" t="s">
        <v>1262</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1953</v>
      </c>
      <c r="AW456" s="41" t="s">
        <v>1958</v>
      </c>
      <c r="AX456" s="33" t="s">
        <v>1821</v>
      </c>
      <c r="AY456" s="41" t="s">
        <v>1967</v>
      </c>
      <c r="AZ456" s="33" t="s">
        <v>1234</v>
      </c>
      <c r="BA456" s="28" t="s">
        <v>1942</v>
      </c>
      <c r="BB456" s="33" t="s">
        <v>1931</v>
      </c>
      <c r="BC456" s="41" t="s">
        <v>1934</v>
      </c>
      <c r="BD456" s="33" t="s">
        <v>1932</v>
      </c>
      <c r="BE456" s="41" t="str">
        <f t="shared" si="22"/>
        <v>"Zona.de.Estocagem"</v>
      </c>
    </row>
    <row r="457" spans="1:57" ht="7.5" customHeight="1" x14ac:dyDescent="0.25">
      <c r="A457" s="39">
        <v>457</v>
      </c>
      <c r="B457" s="64" t="s">
        <v>1276</v>
      </c>
      <c r="C457" s="65" t="s">
        <v>1486</v>
      </c>
      <c r="D457" s="18" t="s">
        <v>1249</v>
      </c>
      <c r="E457" s="20" t="s">
        <v>1242</v>
      </c>
      <c r="F457" s="18" t="s">
        <v>1</v>
      </c>
      <c r="G457" s="20" t="s">
        <v>1</v>
      </c>
      <c r="H457" s="18" t="s">
        <v>1</v>
      </c>
      <c r="I457" s="20" t="s">
        <v>1</v>
      </c>
      <c r="J457" s="18" t="s">
        <v>1</v>
      </c>
      <c r="K457" s="20" t="s">
        <v>1</v>
      </c>
      <c r="L457" s="18" t="s">
        <v>1</v>
      </c>
      <c r="M457" s="20" t="s">
        <v>1</v>
      </c>
      <c r="N457" s="33" t="s">
        <v>78</v>
      </c>
      <c r="O457" s="43" t="s">
        <v>1277</v>
      </c>
      <c r="P457" s="33" t="s">
        <v>1230</v>
      </c>
      <c r="Q457" s="28" t="s">
        <v>1278</v>
      </c>
      <c r="R457" s="33" t="s">
        <v>1</v>
      </c>
      <c r="S457" s="28" t="s">
        <v>1</v>
      </c>
      <c r="T457" s="33" t="s">
        <v>1966</v>
      </c>
      <c r="U457" s="28" t="s">
        <v>1279</v>
      </c>
      <c r="V457" s="33" t="s">
        <v>1961</v>
      </c>
      <c r="W457" s="28" t="s">
        <v>1280</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1953</v>
      </c>
      <c r="AW457" s="41" t="s">
        <v>1958</v>
      </c>
      <c r="AX457" s="33" t="s">
        <v>1821</v>
      </c>
      <c r="AY457" s="41" t="s">
        <v>1967</v>
      </c>
      <c r="AZ457" s="33" t="s">
        <v>1234</v>
      </c>
      <c r="BA457" s="28" t="s">
        <v>1942</v>
      </c>
      <c r="BB457" s="33" t="s">
        <v>1931</v>
      </c>
      <c r="BC457" s="41" t="s">
        <v>1934</v>
      </c>
      <c r="BD457" s="33" t="s">
        <v>1932</v>
      </c>
      <c r="BE457" s="41" t="str">
        <f t="shared" si="22"/>
        <v>"Zona.de.Estocagem"</v>
      </c>
    </row>
    <row r="458" spans="1:57" ht="7.5" customHeight="1" x14ac:dyDescent="0.25">
      <c r="A458" s="39">
        <v>458</v>
      </c>
      <c r="B458" s="64" t="s">
        <v>1281</v>
      </c>
      <c r="C458" s="65" t="s">
        <v>1486</v>
      </c>
      <c r="D458" s="18" t="s">
        <v>1249</v>
      </c>
      <c r="E458" s="20" t="s">
        <v>1242</v>
      </c>
      <c r="F458" s="18" t="s">
        <v>1</v>
      </c>
      <c r="G458" s="20" t="s">
        <v>1</v>
      </c>
      <c r="H458" s="18" t="s">
        <v>1</v>
      </c>
      <c r="I458" s="20" t="s">
        <v>1</v>
      </c>
      <c r="J458" s="18" t="s">
        <v>1</v>
      </c>
      <c r="K458" s="20" t="s">
        <v>1</v>
      </c>
      <c r="L458" s="18" t="s">
        <v>1</v>
      </c>
      <c r="M458" s="20" t="s">
        <v>1</v>
      </c>
      <c r="N458" s="33" t="s">
        <v>78</v>
      </c>
      <c r="O458" s="43" t="s">
        <v>1282</v>
      </c>
      <c r="P458" s="33" t="s">
        <v>1230</v>
      </c>
      <c r="Q458" s="28" t="s">
        <v>1283</v>
      </c>
      <c r="R458" s="33" t="s">
        <v>1</v>
      </c>
      <c r="S458" s="28" t="s">
        <v>1</v>
      </c>
      <c r="T458" s="33" t="s">
        <v>1966</v>
      </c>
      <c r="U458" s="28" t="s">
        <v>1284</v>
      </c>
      <c r="V458" s="33" t="s">
        <v>1961</v>
      </c>
      <c r="W458" s="28" t="s">
        <v>1285</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1953</v>
      </c>
      <c r="AW458" s="41" t="s">
        <v>1958</v>
      </c>
      <c r="AX458" s="33" t="s">
        <v>1821</v>
      </c>
      <c r="AY458" s="41" t="s">
        <v>1967</v>
      </c>
      <c r="AZ458" s="33" t="s">
        <v>1234</v>
      </c>
      <c r="BA458" s="28" t="s">
        <v>1942</v>
      </c>
      <c r="BB458" s="33" t="s">
        <v>1931</v>
      </c>
      <c r="BC458" s="41" t="s">
        <v>1934</v>
      </c>
      <c r="BD458" s="33" t="s">
        <v>1932</v>
      </c>
      <c r="BE458" s="41" t="str">
        <f t="shared" si="22"/>
        <v>"Zona.de.Estocagem"</v>
      </c>
    </row>
    <row r="459" spans="1:57" ht="7.5" customHeight="1" x14ac:dyDescent="0.25">
      <c r="A459" s="39">
        <v>459</v>
      </c>
      <c r="B459" s="64" t="s">
        <v>1286</v>
      </c>
      <c r="C459" s="65" t="s">
        <v>1482</v>
      </c>
      <c r="D459" s="18" t="s">
        <v>1249</v>
      </c>
      <c r="E459" s="20" t="s">
        <v>1242</v>
      </c>
      <c r="F459" s="18" t="s">
        <v>1</v>
      </c>
      <c r="G459" s="20" t="s">
        <v>1</v>
      </c>
      <c r="H459" s="18" t="s">
        <v>1</v>
      </c>
      <c r="I459" s="20" t="s">
        <v>1</v>
      </c>
      <c r="J459" s="18" t="s">
        <v>1</v>
      </c>
      <c r="K459" s="20" t="s">
        <v>1</v>
      </c>
      <c r="L459" s="18" t="s">
        <v>1</v>
      </c>
      <c r="M459" s="20" t="s">
        <v>1</v>
      </c>
      <c r="N459" s="33" t="s">
        <v>78</v>
      </c>
      <c r="O459" s="43" t="s">
        <v>1287</v>
      </c>
      <c r="P459" s="33" t="s">
        <v>1230</v>
      </c>
      <c r="Q459" s="28" t="s">
        <v>1288</v>
      </c>
      <c r="R459" s="33" t="s">
        <v>1</v>
      </c>
      <c r="S459" s="28" t="s">
        <v>1</v>
      </c>
      <c r="T459" s="33" t="s">
        <v>1966</v>
      </c>
      <c r="U459" s="28" t="s">
        <v>1284</v>
      </c>
      <c r="V459" s="33" t="s">
        <v>1961</v>
      </c>
      <c r="W459" s="28" t="s">
        <v>1285</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1953</v>
      </c>
      <c r="AW459" s="41" t="s">
        <v>1959</v>
      </c>
      <c r="AX459" s="33" t="s">
        <v>1821</v>
      </c>
      <c r="AY459" s="41" t="s">
        <v>1967</v>
      </c>
      <c r="AZ459" s="33" t="s">
        <v>1234</v>
      </c>
      <c r="BA459" s="28" t="s">
        <v>1942</v>
      </c>
      <c r="BB459" s="33" t="s">
        <v>1931</v>
      </c>
      <c r="BC459" s="41" t="s">
        <v>1934</v>
      </c>
      <c r="BD459" s="33" t="s">
        <v>1932</v>
      </c>
      <c r="BE459" s="41" t="str">
        <f t="shared" si="22"/>
        <v>"Zona.de.Pátio"</v>
      </c>
    </row>
    <row r="460" spans="1:57" ht="7.5" customHeight="1" x14ac:dyDescent="0.25">
      <c r="A460" s="39">
        <v>460</v>
      </c>
      <c r="B460" s="64" t="s">
        <v>1289</v>
      </c>
      <c r="C460" s="65" t="s">
        <v>1482</v>
      </c>
      <c r="D460" s="18" t="s">
        <v>1249</v>
      </c>
      <c r="E460" s="20" t="s">
        <v>1242</v>
      </c>
      <c r="F460" s="18" t="s">
        <v>1</v>
      </c>
      <c r="G460" s="20" t="s">
        <v>1</v>
      </c>
      <c r="H460" s="18" t="s">
        <v>1</v>
      </c>
      <c r="I460" s="20" t="s">
        <v>1</v>
      </c>
      <c r="J460" s="18" t="s">
        <v>1</v>
      </c>
      <c r="K460" s="20" t="s">
        <v>1</v>
      </c>
      <c r="L460" s="18" t="s">
        <v>1</v>
      </c>
      <c r="M460" s="20" t="s">
        <v>1</v>
      </c>
      <c r="N460" s="33" t="s">
        <v>78</v>
      </c>
      <c r="O460" s="43" t="s">
        <v>1290</v>
      </c>
      <c r="P460" s="33" t="s">
        <v>1230</v>
      </c>
      <c r="Q460" s="28" t="s">
        <v>1291</v>
      </c>
      <c r="R460" s="33" t="s">
        <v>1</v>
      </c>
      <c r="S460" s="28" t="s">
        <v>1</v>
      </c>
      <c r="T460" s="33" t="s">
        <v>1966</v>
      </c>
      <c r="U460" s="28" t="s">
        <v>1284</v>
      </c>
      <c r="V460" s="33" t="s">
        <v>1961</v>
      </c>
      <c r="W460" s="28" t="s">
        <v>1285</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1953</v>
      </c>
      <c r="AW460" s="41" t="s">
        <v>1959</v>
      </c>
      <c r="AX460" s="33" t="s">
        <v>1821</v>
      </c>
      <c r="AY460" s="41" t="s">
        <v>1967</v>
      </c>
      <c r="AZ460" s="33" t="s">
        <v>1234</v>
      </c>
      <c r="BA460" s="28" t="s">
        <v>1942</v>
      </c>
      <c r="BB460" s="33" t="s">
        <v>1931</v>
      </c>
      <c r="BC460" s="41" t="s">
        <v>1934</v>
      </c>
      <c r="BD460" s="33" t="s">
        <v>1932</v>
      </c>
      <c r="BE460" s="41" t="str">
        <f t="shared" si="22"/>
        <v>"Zona.de.Pátio"</v>
      </c>
    </row>
    <row r="461" spans="1:57" ht="7.5" customHeight="1" x14ac:dyDescent="0.25">
      <c r="A461" s="39">
        <v>461</v>
      </c>
      <c r="B461" s="64" t="s">
        <v>1292</v>
      </c>
      <c r="C461" s="65" t="s">
        <v>486</v>
      </c>
      <c r="D461" s="18" t="s">
        <v>1249</v>
      </c>
      <c r="E461" s="20" t="s">
        <v>1242</v>
      </c>
      <c r="F461" s="18" t="s">
        <v>1</v>
      </c>
      <c r="G461" s="20" t="s">
        <v>1</v>
      </c>
      <c r="H461" s="18" t="s">
        <v>1</v>
      </c>
      <c r="I461" s="20" t="s">
        <v>1</v>
      </c>
      <c r="J461" s="18" t="s">
        <v>1</v>
      </c>
      <c r="K461" s="20" t="s">
        <v>1</v>
      </c>
      <c r="L461" s="18" t="s">
        <v>1</v>
      </c>
      <c r="M461" s="20" t="s">
        <v>1</v>
      </c>
      <c r="N461" s="33" t="s">
        <v>78</v>
      </c>
      <c r="O461" s="43" t="s">
        <v>1293</v>
      </c>
      <c r="P461" s="33" t="s">
        <v>1230</v>
      </c>
      <c r="Q461" s="28" t="s">
        <v>1294</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1821</v>
      </c>
      <c r="AY461" s="41" t="s">
        <v>1967</v>
      </c>
      <c r="AZ461" s="33" t="s">
        <v>1234</v>
      </c>
      <c r="BA461" s="28" t="s">
        <v>1943</v>
      </c>
      <c r="BB461" s="33" t="s">
        <v>1931</v>
      </c>
      <c r="BC461" s="41" t="s">
        <v>1934</v>
      </c>
      <c r="BD461" s="33" t="s">
        <v>1932</v>
      </c>
      <c r="BE461" s="41" t="str">
        <f t="shared" si="22"/>
        <v>"Bóia.de.Navegação"</v>
      </c>
    </row>
    <row r="462" spans="1:57" ht="7.5" customHeight="1" x14ac:dyDescent="0.25">
      <c r="A462" s="39">
        <v>462</v>
      </c>
      <c r="B462" s="64" t="s">
        <v>1295</v>
      </c>
      <c r="C462" s="65" t="s">
        <v>486</v>
      </c>
      <c r="D462" s="18" t="s">
        <v>1249</v>
      </c>
      <c r="E462" s="20" t="s">
        <v>1242</v>
      </c>
      <c r="F462" s="18" t="s">
        <v>1</v>
      </c>
      <c r="G462" s="20" t="s">
        <v>1</v>
      </c>
      <c r="H462" s="18" t="s">
        <v>1</v>
      </c>
      <c r="I462" s="20" t="s">
        <v>1</v>
      </c>
      <c r="J462" s="18" t="s">
        <v>1</v>
      </c>
      <c r="K462" s="20" t="s">
        <v>1</v>
      </c>
      <c r="L462" s="18" t="s">
        <v>1</v>
      </c>
      <c r="M462" s="20" t="s">
        <v>1</v>
      </c>
      <c r="N462" s="33" t="s">
        <v>78</v>
      </c>
      <c r="O462" s="43" t="s">
        <v>1293</v>
      </c>
      <c r="P462" s="33" t="s">
        <v>1230</v>
      </c>
      <c r="Q462" s="51" t="s">
        <v>1296</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1821</v>
      </c>
      <c r="AY462" s="41" t="s">
        <v>1967</v>
      </c>
      <c r="AZ462" s="33" t="s">
        <v>1234</v>
      </c>
      <c r="BA462" s="28" t="s">
        <v>1943</v>
      </c>
      <c r="BB462" s="33" t="s">
        <v>1931</v>
      </c>
      <c r="BC462" s="41" t="s">
        <v>1934</v>
      </c>
      <c r="BD462" s="33" t="s">
        <v>1932</v>
      </c>
      <c r="BE462" s="41" t="str">
        <f t="shared" si="22"/>
        <v>"Bóia.de.Navegação"</v>
      </c>
    </row>
    <row r="463" spans="1:57" ht="7.5" customHeight="1" x14ac:dyDescent="0.25">
      <c r="A463" s="39">
        <v>463</v>
      </c>
      <c r="B463" s="64" t="s">
        <v>1297</v>
      </c>
      <c r="C463" s="65" t="s">
        <v>486</v>
      </c>
      <c r="D463" s="18" t="s">
        <v>1249</v>
      </c>
      <c r="E463" s="20" t="s">
        <v>1242</v>
      </c>
      <c r="F463" s="18" t="s">
        <v>1</v>
      </c>
      <c r="G463" s="20" t="s">
        <v>1</v>
      </c>
      <c r="H463" s="18" t="s">
        <v>1</v>
      </c>
      <c r="I463" s="20" t="s">
        <v>1</v>
      </c>
      <c r="J463" s="18" t="s">
        <v>1</v>
      </c>
      <c r="K463" s="20" t="s">
        <v>1</v>
      </c>
      <c r="L463" s="18" t="s">
        <v>1</v>
      </c>
      <c r="M463" s="20" t="s">
        <v>1</v>
      </c>
      <c r="N463" s="33" t="s">
        <v>78</v>
      </c>
      <c r="O463" s="43" t="s">
        <v>1298</v>
      </c>
      <c r="P463" s="33" t="s">
        <v>1230</v>
      </c>
      <c r="Q463" s="51" t="s">
        <v>1299</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1821</v>
      </c>
      <c r="AY463" s="41" t="s">
        <v>1967</v>
      </c>
      <c r="AZ463" s="33" t="s">
        <v>1234</v>
      </c>
      <c r="BA463" s="28" t="s">
        <v>1943</v>
      </c>
      <c r="BB463" s="33" t="s">
        <v>1931</v>
      </c>
      <c r="BC463" s="41" t="s">
        <v>1934</v>
      </c>
      <c r="BD463" s="33" t="s">
        <v>1932</v>
      </c>
      <c r="BE463" s="41" t="str">
        <f t="shared" si="22"/>
        <v>"Bóia.de.Navegação"</v>
      </c>
    </row>
    <row r="464" spans="1:57" ht="7.5" customHeight="1" x14ac:dyDescent="0.15">
      <c r="A464" s="39">
        <v>464</v>
      </c>
      <c r="B464" s="70" t="s">
        <v>1487</v>
      </c>
      <c r="C464" s="71" t="s">
        <v>408</v>
      </c>
      <c r="D464" s="18" t="s">
        <v>1</v>
      </c>
      <c r="E464" s="20" t="s">
        <v>1</v>
      </c>
      <c r="F464" s="18" t="s">
        <v>1</v>
      </c>
      <c r="G464" s="20" t="s">
        <v>1</v>
      </c>
      <c r="H464" s="18" t="s">
        <v>1</v>
      </c>
      <c r="I464" s="20" t="s">
        <v>1</v>
      </c>
      <c r="J464" s="18" t="s">
        <v>1</v>
      </c>
      <c r="K464" s="20" t="s">
        <v>1</v>
      </c>
      <c r="L464" s="18" t="s">
        <v>1</v>
      </c>
      <c r="M464" s="20" t="s">
        <v>1</v>
      </c>
      <c r="N464" s="33" t="s">
        <v>78</v>
      </c>
      <c r="O464" s="28" t="s">
        <v>1948</v>
      </c>
      <c r="P464" s="33" t="s">
        <v>1230</v>
      </c>
      <c r="Q464" s="28" t="s">
        <v>1239</v>
      </c>
      <c r="R464" s="33" t="s">
        <v>1</v>
      </c>
      <c r="S464" s="28" t="s">
        <v>1</v>
      </c>
      <c r="T464" s="33" t="s">
        <v>1962</v>
      </c>
      <c r="U464" s="31" t="s">
        <v>1240</v>
      </c>
      <c r="V464" s="33" t="s">
        <v>1963</v>
      </c>
      <c r="W464" s="28" t="s">
        <v>1241</v>
      </c>
      <c r="X464" s="33" t="s">
        <v>1235</v>
      </c>
      <c r="Y464" s="41">
        <v>400</v>
      </c>
      <c r="Z464" s="33" t="s">
        <v>1</v>
      </c>
      <c r="AA464" s="41" t="s">
        <v>1</v>
      </c>
      <c r="AB464" s="33" t="s">
        <v>1</v>
      </c>
      <c r="AC464" s="41" t="s">
        <v>1</v>
      </c>
      <c r="AD464" s="33" t="s">
        <v>1236</v>
      </c>
      <c r="AE464" s="44">
        <v>40</v>
      </c>
      <c r="AF464" s="33" t="s">
        <v>1237</v>
      </c>
      <c r="AG464" s="50">
        <v>320000</v>
      </c>
      <c r="AH464" s="33" t="s">
        <v>1238</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1821</v>
      </c>
      <c r="AY464" s="41" t="s">
        <v>1936</v>
      </c>
      <c r="AZ464" s="33" t="s">
        <v>1234</v>
      </c>
      <c r="BA464" s="28" t="s">
        <v>1937</v>
      </c>
      <c r="BB464" s="33" t="s">
        <v>1931</v>
      </c>
      <c r="BC464" s="41" t="s">
        <v>1934</v>
      </c>
      <c r="BD464" s="33" t="s">
        <v>1932</v>
      </c>
      <c r="BE464" s="41" t="str">
        <f t="shared" si="22"/>
        <v>"Ultrapetroleiro"</v>
      </c>
    </row>
  </sheetData>
  <autoFilter ref="F1:F463" xr:uid="{CEF52033-0BF0-4BCC-B911-A6BC1CA10036}"/>
  <phoneticPr fontId="1" type="noConversion"/>
  <conditionalFormatting sqref="A1:B2 B3:B463 A465:B1048576 D1:F6 A3:A464 G6 D7:BB8 BC7:XFD12 D9:G9 H9:BB10 D10:I10 G11:N11 P11 O11:O12 Q11:BB12 D11:F1048576 H12:P12 G13:G17 H13:XFD1048576 H1:XFD6">
    <cfRule type="cellIs" dxfId="16" priority="46" operator="equal">
      <formula>"null"</formula>
    </cfRule>
  </conditionalFormatting>
  <conditionalFormatting sqref="B464">
    <cfRule type="duplicateValues" dxfId="15" priority="14"/>
    <cfRule type="cellIs" dxfId="14" priority="15" operator="equal">
      <formula>"null"</formula>
    </cfRule>
  </conditionalFormatting>
  <conditionalFormatting sqref="B465:B1048576 B1:B463">
    <cfRule type="duplicateValues" dxfId="13" priority="45"/>
  </conditionalFormatting>
  <conditionalFormatting sqref="G2:G4">
    <cfRule type="cellIs" dxfId="12" priority="20" operator="equal">
      <formula>"null"</formula>
    </cfRule>
  </conditionalFormatting>
  <conditionalFormatting sqref="G51:G247">
    <cfRule type="cellIs" dxfId="11" priority="11" operator="equal">
      <formula>"null"</formula>
    </cfRule>
  </conditionalFormatting>
  <conditionalFormatting sqref="G412:G464">
    <cfRule type="cellIs" dxfId="10" priority="10" operator="equal">
      <formula>"null"</formula>
    </cfRule>
  </conditionalFormatting>
  <conditionalFormatting sqref="C2">
    <cfRule type="duplicateValues" dxfId="7" priority="4"/>
  </conditionalFormatting>
  <conditionalFormatting sqref="C2">
    <cfRule type="duplicateValues" dxfId="6" priority="5"/>
    <cfRule type="duplicateValues" dxfId="5" priority="6"/>
  </conditionalFormatting>
  <conditionalFormatting sqref="C2">
    <cfRule type="duplicateValues" dxfId="4" priority="7"/>
    <cfRule type="duplicateValues" dxfId="3" priority="8"/>
  </conditionalFormatting>
  <conditionalFormatting sqref="C2">
    <cfRule type="cellIs" dxfId="2" priority="3" operator="equal">
      <formula>"null"</formula>
    </cfRule>
  </conditionalFormatting>
  <conditionalFormatting sqref="C2">
    <cfRule type="duplicateValues" dxfId="1" priority="1"/>
  </conditionalFormatting>
  <conditionalFormatting sqref="C2">
    <cfRule type="duplicateValues" dxfId="0"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2026-08-10T18:09:36Z</dcterms:modified>
</cp:coreProperties>
</file>