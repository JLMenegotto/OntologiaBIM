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D88C9310-1227-4816-A68D-63DD9393F3E6}" xr6:coauthVersionLast="47" xr6:coauthVersionMax="47" xr10:uidLastSave="{00000000-0000-0000-0000-000000000000}"/>
  <bookViews>
    <workbookView xWindow="-103" yWindow="-103" windowWidth="22149" windowHeight="13200" tabRatio="520" activeTab="1" xr2:uid="{00000000-000D-0000-FFFF-FFFF00000000}"/>
  </bookViews>
  <sheets>
    <sheet name="Projeto" sheetId="13" r:id="rId1"/>
    <sheet name="Classes" sheetId="17" r:id="rId2"/>
    <sheet name="Disjunt" sheetId="3" r:id="rId3"/>
    <sheet name="Interop" sheetId="16" r:id="rId4"/>
    <sheet name="FatosIn" sheetId="25" r:id="rId5"/>
  </sheets>
  <definedNames>
    <definedName name="_xlnm._FilterDatabase" localSheetId="1" hidden="1">Classes!#REF!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7" l="1"/>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V62" i="17"/>
  <c r="U62" i="17"/>
  <c r="T62" i="17"/>
  <c r="O62" i="17"/>
  <c r="N62" i="17"/>
  <c r="M62" i="17"/>
  <c r="L62" i="17"/>
  <c r="V61" i="17"/>
  <c r="U61" i="17"/>
  <c r="T61" i="17"/>
  <c r="O61" i="17"/>
  <c r="N61" i="17"/>
  <c r="M61" i="17"/>
  <c r="L61" i="17"/>
  <c r="V60" i="17"/>
  <c r="U60" i="17"/>
  <c r="T60" i="17"/>
  <c r="O60" i="17"/>
  <c r="N60" i="17"/>
  <c r="M60" i="17"/>
  <c r="L60" i="17"/>
  <c r="V59" i="17"/>
  <c r="U59" i="17"/>
  <c r="T59" i="17"/>
  <c r="O59" i="17"/>
  <c r="N59" i="17"/>
  <c r="M59" i="17"/>
  <c r="L59" i="17"/>
  <c r="V58" i="17"/>
  <c r="U58" i="17"/>
  <c r="T58" i="17"/>
  <c r="O58" i="17"/>
  <c r="N58" i="17"/>
  <c r="M58" i="17"/>
  <c r="L58" i="17"/>
  <c r="V57" i="17"/>
  <c r="U57" i="17"/>
  <c r="T57" i="17"/>
  <c r="O57" i="17"/>
  <c r="N57" i="17"/>
  <c r="M57" i="17"/>
  <c r="L57" i="17"/>
  <c r="V56" i="17"/>
  <c r="U56" i="17"/>
  <c r="T56" i="17"/>
  <c r="O56" i="17"/>
  <c r="N56" i="17"/>
  <c r="M56" i="17"/>
  <c r="L56" i="17"/>
  <c r="V55" i="17"/>
  <c r="U55" i="17"/>
  <c r="T55" i="17"/>
  <c r="O55" i="17"/>
  <c r="N55" i="17"/>
  <c r="M55" i="17"/>
  <c r="L55" i="17"/>
  <c r="V54" i="17"/>
  <c r="U54" i="17"/>
  <c r="T54" i="17"/>
  <c r="O54" i="17"/>
  <c r="N54" i="17"/>
  <c r="M54" i="17"/>
  <c r="L54" i="17"/>
  <c r="V53" i="17"/>
  <c r="U53" i="17"/>
  <c r="T53" i="17"/>
  <c r="O53" i="17"/>
  <c r="N53" i="17"/>
  <c r="M53" i="17"/>
  <c r="L53" i="17"/>
  <c r="V52" i="17"/>
  <c r="U52" i="17"/>
  <c r="T52" i="17"/>
  <c r="O52" i="17"/>
  <c r="N52" i="17"/>
  <c r="M52" i="17"/>
  <c r="L52" i="17"/>
  <c r="V51" i="17"/>
  <c r="U51" i="17"/>
  <c r="T51" i="17"/>
  <c r="O51" i="17"/>
  <c r="N51" i="17"/>
  <c r="M51" i="17"/>
  <c r="L51" i="17"/>
  <c r="V50" i="17"/>
  <c r="U50" i="17"/>
  <c r="T50" i="17"/>
  <c r="O50" i="17"/>
  <c r="N50" i="17"/>
  <c r="M50" i="17"/>
  <c r="L50" i="17"/>
  <c r="V49" i="17"/>
  <c r="U49" i="17"/>
  <c r="T49" i="17"/>
  <c r="O49" i="17"/>
  <c r="N49" i="17"/>
  <c r="M49" i="17"/>
  <c r="L49" i="17"/>
  <c r="V48" i="17"/>
  <c r="U48" i="17"/>
  <c r="T48" i="17"/>
  <c r="O48" i="17"/>
  <c r="N48" i="17"/>
  <c r="M48" i="17"/>
  <c r="L48" i="17"/>
  <c r="V47" i="17"/>
  <c r="U47" i="17"/>
  <c r="T47" i="17"/>
  <c r="O47" i="17"/>
  <c r="N47" i="17"/>
  <c r="M47" i="17"/>
  <c r="L47" i="17"/>
  <c r="V46" i="17"/>
  <c r="U46" i="17"/>
  <c r="T46" i="17"/>
  <c r="O46" i="17"/>
  <c r="N46" i="17"/>
  <c r="M46" i="17"/>
  <c r="L46" i="17"/>
  <c r="V45" i="17"/>
  <c r="U45" i="17"/>
  <c r="T45" i="17"/>
  <c r="O45" i="17"/>
  <c r="N45" i="17"/>
  <c r="M45" i="17"/>
  <c r="L45" i="17"/>
  <c r="V44" i="17"/>
  <c r="U44" i="17"/>
  <c r="T44" i="17"/>
  <c r="O44" i="17"/>
  <c r="N44" i="17"/>
  <c r="M44" i="17"/>
  <c r="L44" i="17"/>
  <c r="V43" i="17"/>
  <c r="U43" i="17"/>
  <c r="T43" i="17"/>
  <c r="O43" i="17"/>
  <c r="N43" i="17"/>
  <c r="M43" i="17"/>
  <c r="L43" i="17"/>
  <c r="V42" i="17"/>
  <c r="U42" i="17"/>
  <c r="T42" i="17"/>
  <c r="O42" i="17"/>
  <c r="N42" i="17"/>
  <c r="M42" i="17"/>
  <c r="L42" i="17"/>
  <c r="V41" i="17"/>
  <c r="U41" i="17"/>
  <c r="T41" i="17"/>
  <c r="O41" i="17"/>
  <c r="N41" i="17"/>
  <c r="M41" i="17"/>
  <c r="L41" i="17"/>
  <c r="V40" i="17"/>
  <c r="U40" i="17"/>
  <c r="T40" i="17"/>
  <c r="O40" i="17"/>
  <c r="N40" i="17"/>
  <c r="M40" i="17"/>
  <c r="L40" i="17"/>
  <c r="V39" i="17"/>
  <c r="U39" i="17"/>
  <c r="T39" i="17"/>
  <c r="O39" i="17"/>
  <c r="N39" i="17"/>
  <c r="M39" i="17"/>
  <c r="L39" i="17"/>
  <c r="V38" i="17"/>
  <c r="U38" i="17"/>
  <c r="T38" i="17"/>
  <c r="O38" i="17"/>
  <c r="N38" i="17"/>
  <c r="M38" i="17"/>
  <c r="L38" i="17"/>
  <c r="V37" i="17"/>
  <c r="U37" i="17"/>
  <c r="T37" i="17"/>
  <c r="O37" i="17"/>
  <c r="N37" i="17"/>
  <c r="M37" i="17"/>
  <c r="L37" i="17"/>
  <c r="V36" i="17"/>
  <c r="U36" i="17"/>
  <c r="T36" i="17"/>
  <c r="O36" i="17"/>
  <c r="N36" i="17"/>
  <c r="M36" i="17"/>
  <c r="L36" i="17"/>
  <c r="V35" i="17"/>
  <c r="U35" i="17"/>
  <c r="T35" i="17"/>
  <c r="O35" i="17"/>
  <c r="N35" i="17"/>
  <c r="M35" i="17"/>
  <c r="L35" i="17"/>
  <c r="V34" i="17"/>
  <c r="U34" i="17"/>
  <c r="T34" i="17"/>
  <c r="O34" i="17"/>
  <c r="N34" i="17"/>
  <c r="M34" i="17"/>
  <c r="L34" i="17"/>
  <c r="V33" i="17"/>
  <c r="U33" i="17"/>
  <c r="T33" i="17"/>
  <c r="O33" i="17"/>
  <c r="N33" i="17"/>
  <c r="M33" i="17"/>
  <c r="L33" i="17"/>
  <c r="V32" i="17"/>
  <c r="U32" i="17"/>
  <c r="T32" i="17"/>
  <c r="O32" i="17"/>
  <c r="N32" i="17"/>
  <c r="M32" i="17"/>
  <c r="L32" i="17"/>
  <c r="V31" i="17"/>
  <c r="U31" i="17"/>
  <c r="T31" i="17"/>
  <c r="O31" i="17"/>
  <c r="N31" i="17"/>
  <c r="M31" i="17"/>
  <c r="L31" i="17"/>
  <c r="V30" i="17"/>
  <c r="U30" i="17"/>
  <c r="T30" i="17"/>
  <c r="O30" i="17"/>
  <c r="N30" i="17"/>
  <c r="M30" i="17"/>
  <c r="L30" i="17"/>
  <c r="V29" i="17"/>
  <c r="U29" i="17"/>
  <c r="T29" i="17"/>
  <c r="O29" i="17"/>
  <c r="N29" i="17"/>
  <c r="M29" i="17"/>
  <c r="L29" i="17"/>
  <c r="V28" i="17"/>
  <c r="U28" i="17"/>
  <c r="T28" i="17"/>
  <c r="O28" i="17"/>
  <c r="N28" i="17"/>
  <c r="M28" i="17"/>
  <c r="L28" i="17"/>
  <c r="V27" i="17"/>
  <c r="U27" i="17"/>
  <c r="T27" i="17"/>
  <c r="O27" i="17"/>
  <c r="N27" i="17"/>
  <c r="M27" i="17"/>
  <c r="L27" i="17"/>
  <c r="V26" i="17"/>
  <c r="U26" i="17"/>
  <c r="T26" i="17"/>
  <c r="O26" i="17"/>
  <c r="N26" i="17"/>
  <c r="M26" i="17"/>
  <c r="L26" i="17"/>
  <c r="V25" i="17"/>
  <c r="U25" i="17"/>
  <c r="T25" i="17"/>
  <c r="O25" i="17"/>
  <c r="N25" i="17"/>
  <c r="M25" i="17"/>
  <c r="L25" i="17"/>
  <c r="V24" i="17"/>
  <c r="U24" i="17"/>
  <c r="T24" i="17"/>
  <c r="O24" i="17"/>
  <c r="N24" i="17"/>
  <c r="M24" i="17"/>
  <c r="L24" i="17"/>
  <c r="V23" i="17"/>
  <c r="U23" i="17"/>
  <c r="T23" i="17"/>
  <c r="O23" i="17"/>
  <c r="N23" i="17"/>
  <c r="M23" i="17"/>
  <c r="L23" i="17"/>
  <c r="V22" i="17"/>
  <c r="U22" i="17"/>
  <c r="T22" i="17"/>
  <c r="O22" i="17"/>
  <c r="N22" i="17"/>
  <c r="M22" i="17"/>
  <c r="L22" i="17"/>
  <c r="V21" i="17"/>
  <c r="U21" i="17"/>
  <c r="T21" i="17"/>
  <c r="O21" i="17"/>
  <c r="N21" i="17"/>
  <c r="M21" i="17"/>
  <c r="L21" i="17"/>
  <c r="V20" i="17"/>
  <c r="U20" i="17"/>
  <c r="T20" i="17"/>
  <c r="O20" i="17"/>
  <c r="N20" i="17"/>
  <c r="M20" i="17"/>
  <c r="L20" i="17"/>
  <c r="V19" i="17"/>
  <c r="U19" i="17"/>
  <c r="T19" i="17"/>
  <c r="O19" i="17"/>
  <c r="N19" i="17"/>
  <c r="M19" i="17"/>
  <c r="L19" i="17"/>
  <c r="V18" i="17"/>
  <c r="U18" i="17"/>
  <c r="T18" i="17"/>
  <c r="O18" i="17"/>
  <c r="N18" i="17"/>
  <c r="M18" i="17"/>
  <c r="L18" i="17"/>
  <c r="V17" i="17"/>
  <c r="U17" i="17"/>
  <c r="T17" i="17"/>
  <c r="O17" i="17"/>
  <c r="N17" i="17"/>
  <c r="M17" i="17"/>
  <c r="L17" i="17"/>
  <c r="V16" i="17"/>
  <c r="U16" i="17"/>
  <c r="T16" i="17"/>
  <c r="O16" i="17"/>
  <c r="N16" i="17"/>
  <c r="M16" i="17"/>
  <c r="L16" i="17"/>
  <c r="V15" i="17"/>
  <c r="U15" i="17"/>
  <c r="T15" i="17"/>
  <c r="O15" i="17"/>
  <c r="N15" i="17"/>
  <c r="M15" i="17"/>
  <c r="L15" i="17"/>
  <c r="V14" i="17"/>
  <c r="U14" i="17"/>
  <c r="T14" i="17"/>
  <c r="O14" i="17"/>
  <c r="N14" i="17"/>
  <c r="M14" i="17"/>
  <c r="L14" i="17"/>
  <c r="V13" i="17"/>
  <c r="U13" i="17"/>
  <c r="T13" i="17"/>
  <c r="O13" i="17"/>
  <c r="N13" i="17"/>
  <c r="M13" i="17"/>
  <c r="L13" i="17"/>
  <c r="V12" i="17"/>
  <c r="U12" i="17"/>
  <c r="T12" i="17"/>
  <c r="O12" i="17"/>
  <c r="N12" i="17"/>
  <c r="M12" i="17"/>
  <c r="L12" i="17"/>
  <c r="V11" i="17"/>
  <c r="U11" i="17"/>
  <c r="T11" i="17"/>
  <c r="O11" i="17"/>
  <c r="N11" i="17"/>
  <c r="M11" i="17"/>
  <c r="L11" i="17"/>
  <c r="V10" i="17"/>
  <c r="U10" i="17"/>
  <c r="T10" i="17"/>
  <c r="O10" i="17"/>
  <c r="N10" i="17"/>
  <c r="M10" i="17"/>
  <c r="L10" i="17"/>
  <c r="V9" i="17"/>
  <c r="U9" i="17"/>
  <c r="T9" i="17"/>
  <c r="O9" i="17"/>
  <c r="N9" i="17"/>
  <c r="M9" i="17"/>
  <c r="L9" i="17"/>
  <c r="V8" i="17"/>
  <c r="U8" i="17"/>
  <c r="T8" i="17"/>
  <c r="O8" i="17"/>
  <c r="N8" i="17"/>
  <c r="M8" i="17"/>
  <c r="L8" i="17"/>
  <c r="V7" i="17"/>
  <c r="U7" i="17"/>
  <c r="T7" i="17"/>
  <c r="O7" i="17"/>
  <c r="N7" i="17"/>
  <c r="M7" i="17"/>
  <c r="L7" i="17"/>
  <c r="V6" i="17"/>
  <c r="U6" i="17"/>
  <c r="T6" i="17"/>
  <c r="O6" i="17"/>
  <c r="N6" i="17"/>
  <c r="M6" i="17"/>
  <c r="L6" i="17"/>
  <c r="V5" i="17"/>
  <c r="U5" i="17"/>
  <c r="T5" i="17"/>
  <c r="O5" i="17"/>
  <c r="N5" i="17"/>
  <c r="M5" i="17"/>
  <c r="L5" i="17"/>
  <c r="V4" i="17"/>
  <c r="U4" i="17"/>
  <c r="T4" i="17"/>
  <c r="O4" i="17"/>
  <c r="N4" i="17"/>
  <c r="M4" i="17"/>
  <c r="L4" i="17"/>
  <c r="V3" i="17"/>
  <c r="U3" i="17"/>
  <c r="T3" i="17"/>
  <c r="O3" i="17"/>
  <c r="N3" i="17"/>
  <c r="M3" i="17"/>
  <c r="L3" i="17"/>
  <c r="V2" i="17"/>
  <c r="U2" i="17"/>
  <c r="T2" i="17"/>
  <c r="O2" i="17"/>
  <c r="N2" i="17"/>
  <c r="M2" i="17"/>
  <c r="L2" i="17"/>
  <c r="X63" i="17" l="1"/>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V101" i="17"/>
  <c r="U101" i="17"/>
  <c r="T101" i="17"/>
  <c r="O101" i="17"/>
  <c r="N101" i="17"/>
  <c r="M101" i="17"/>
  <c r="L101" i="17"/>
  <c r="V100" i="17"/>
  <c r="U100" i="17"/>
  <c r="T100" i="17"/>
  <c r="O100" i="17"/>
  <c r="N100" i="17"/>
  <c r="M100" i="17"/>
  <c r="L100" i="17"/>
  <c r="V99" i="17"/>
  <c r="U99" i="17"/>
  <c r="T99" i="17"/>
  <c r="O99" i="17"/>
  <c r="N99" i="17"/>
  <c r="M99" i="17"/>
  <c r="L99" i="17"/>
  <c r="V98" i="17"/>
  <c r="U98" i="17"/>
  <c r="T98" i="17"/>
  <c r="O98" i="17"/>
  <c r="N98" i="17"/>
  <c r="M98" i="17"/>
  <c r="L98" i="17"/>
  <c r="V97" i="17"/>
  <c r="U97" i="17"/>
  <c r="T97" i="17"/>
  <c r="O97" i="17"/>
  <c r="N97" i="17"/>
  <c r="M97" i="17"/>
  <c r="L97" i="17"/>
  <c r="V96" i="17" l="1"/>
  <c r="U96" i="17"/>
  <c r="T96" i="17"/>
  <c r="M96" i="17"/>
  <c r="L96" i="17"/>
  <c r="V95" i="17"/>
  <c r="U95" i="17"/>
  <c r="T95" i="17"/>
  <c r="M95" i="17"/>
  <c r="L95" i="17"/>
  <c r="V94" i="17"/>
  <c r="U94" i="17"/>
  <c r="T94" i="17"/>
  <c r="M94" i="17"/>
  <c r="L94" i="17"/>
  <c r="V93" i="17"/>
  <c r="U93" i="17"/>
  <c r="T93" i="17"/>
  <c r="M93" i="17"/>
  <c r="L93" i="17"/>
  <c r="V92" i="17"/>
  <c r="U92" i="17"/>
  <c r="T92" i="17"/>
  <c r="M92" i="17"/>
  <c r="L92" i="17"/>
  <c r="V89" i="17" l="1"/>
  <c r="U89" i="17"/>
  <c r="T89" i="17"/>
  <c r="M89" i="17"/>
  <c r="L89" i="17"/>
  <c r="V90" i="17"/>
  <c r="U90" i="17"/>
  <c r="T90" i="17"/>
  <c r="M90" i="17"/>
  <c r="L90" i="17"/>
  <c r="V91" i="17"/>
  <c r="U91" i="17"/>
  <c r="T91" i="17"/>
  <c r="M91" i="17"/>
  <c r="L91" i="17"/>
  <c r="V88" i="17"/>
  <c r="U88" i="17"/>
  <c r="T88" i="17"/>
  <c r="M88" i="17"/>
  <c r="L88" i="17"/>
  <c r="V87" i="17"/>
  <c r="U87" i="17"/>
  <c r="T87" i="17"/>
  <c r="M87" i="17"/>
  <c r="L87" i="17"/>
  <c r="V86" i="17"/>
  <c r="U86" i="17"/>
  <c r="T86" i="17"/>
  <c r="M86" i="17"/>
  <c r="L86" i="17"/>
  <c r="V76" i="17"/>
  <c r="U76" i="17"/>
  <c r="T76" i="17"/>
  <c r="O76" i="17"/>
  <c r="M76" i="17"/>
  <c r="L76" i="17"/>
  <c r="V63" i="17" l="1"/>
  <c r="V64" i="17"/>
  <c r="V65" i="17"/>
  <c r="V66" i="17"/>
  <c r="V67" i="17"/>
  <c r="V68" i="17"/>
  <c r="V69" i="17"/>
  <c r="V70" i="17"/>
  <c r="V71" i="17"/>
  <c r="V72" i="17"/>
  <c r="V73" i="17"/>
  <c r="V74" i="17"/>
  <c r="V75" i="17"/>
  <c r="V77" i="17"/>
  <c r="V78" i="17"/>
  <c r="V79" i="17"/>
  <c r="V80" i="17"/>
  <c r="V81" i="17"/>
  <c r="V82" i="17"/>
  <c r="V83" i="17"/>
  <c r="V84" i="17"/>
  <c r="V85" i="17"/>
  <c r="U63" i="17"/>
  <c r="U64" i="17"/>
  <c r="U65" i="17"/>
  <c r="U66" i="17"/>
  <c r="U67" i="17"/>
  <c r="U68" i="17"/>
  <c r="U69" i="17"/>
  <c r="U70" i="17"/>
  <c r="U71" i="17"/>
  <c r="U72" i="17"/>
  <c r="U73" i="17"/>
  <c r="U74" i="17"/>
  <c r="U75" i="17"/>
  <c r="U77" i="17"/>
  <c r="U78" i="17"/>
  <c r="U79" i="17"/>
  <c r="U80" i="17"/>
  <c r="U81" i="17"/>
  <c r="U82" i="17"/>
  <c r="U83" i="17"/>
  <c r="U84" i="17"/>
  <c r="U85" i="17"/>
  <c r="T85" i="17" l="1"/>
  <c r="M85" i="17"/>
  <c r="L85" i="17"/>
  <c r="T63" i="17"/>
  <c r="T80" i="17"/>
  <c r="T81" i="17"/>
  <c r="T82" i="17"/>
  <c r="T83" i="17"/>
  <c r="T84" i="17"/>
  <c r="M84" i="17"/>
  <c r="L84" i="17"/>
  <c r="M83" i="17"/>
  <c r="L83" i="17"/>
  <c r="M82" i="17"/>
  <c r="L82" i="17"/>
  <c r="M81" i="17"/>
  <c r="L81" i="17"/>
  <c r="M80" i="17"/>
  <c r="L80" i="17"/>
  <c r="M63" i="17"/>
  <c r="L63" i="17"/>
  <c r="T79" i="17"/>
  <c r="M79" i="17"/>
  <c r="L79" i="17"/>
  <c r="T78" i="17"/>
  <c r="O78" i="17"/>
  <c r="M78" i="17"/>
  <c r="L78" i="17"/>
  <c r="T77" i="17"/>
  <c r="O77" i="17"/>
  <c r="M77" i="17"/>
  <c r="L77" i="17"/>
  <c r="T75" i="17"/>
  <c r="O75" i="17"/>
  <c r="M75" i="17"/>
  <c r="L75" i="17"/>
  <c r="T74" i="17"/>
  <c r="O74" i="17"/>
  <c r="M74" i="17"/>
  <c r="L74" i="17"/>
  <c r="T73" i="17"/>
  <c r="O73" i="17"/>
  <c r="M73" i="17"/>
  <c r="L73" i="17"/>
  <c r="T72" i="17"/>
  <c r="O72" i="17"/>
  <c r="M72" i="17"/>
  <c r="L72" i="17"/>
  <c r="T71" i="17"/>
  <c r="O71" i="17"/>
  <c r="M71" i="17"/>
  <c r="L71" i="17"/>
  <c r="T70" i="17"/>
  <c r="O70" i="17"/>
  <c r="M70" i="17"/>
  <c r="L70" i="17"/>
  <c r="T69" i="17"/>
  <c r="O69" i="17"/>
  <c r="M69" i="17"/>
  <c r="L69" i="17"/>
  <c r="T68" i="17"/>
  <c r="O68" i="17"/>
  <c r="M68" i="17"/>
  <c r="L68" i="17"/>
  <c r="T67" i="17"/>
  <c r="O67" i="17"/>
  <c r="M67" i="17"/>
  <c r="L67" i="17"/>
  <c r="T66" i="17"/>
  <c r="O66" i="17"/>
  <c r="M66" i="17"/>
  <c r="L66" i="17"/>
  <c r="T65" i="17"/>
  <c r="O65" i="17"/>
  <c r="M65" i="17"/>
  <c r="L65" i="17"/>
  <c r="T64" i="17"/>
  <c r="O64" i="17"/>
  <c r="M64" i="17"/>
  <c r="L64" i="17"/>
  <c r="B24" i="13" l="1"/>
  <c r="B18" i="13" l="1"/>
  <c r="B6" i="13"/>
  <c r="B5" i="13"/>
</calcChain>
</file>

<file path=xl/sharedStrings.xml><?xml version="1.0" encoding="utf-8"?>
<sst xmlns="http://schemas.openxmlformats.org/spreadsheetml/2006/main" count="2721" uniqueCount="654">
  <si>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</si>
  <si>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</si>
  <si>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</si>
  <si>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</si>
  <si>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</si>
  <si>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</si>
  <si>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</si>
  <si>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</si>
  <si>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</si>
  <si>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</si>
  <si>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</si>
  <si>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</si>
  <si>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</si>
  <si>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</si>
  <si>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</si>
  <si>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</si>
  <si>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</si>
  <si>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</si>
  <si>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</si>
  <si>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</si>
  <si>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</si>
  <si>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</si>
  <si>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</si>
  <si>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</si>
  <si>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</si>
  <si>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</si>
  <si>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</si>
  <si>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</si>
  <si>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</si>
  <si>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</si>
  <si>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</si>
  <si>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</si>
  <si>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</si>
  <si>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</si>
  <si>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</si>
  <si>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</si>
  <si>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 Super
Class
5</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</si>
  <si>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</si>
  <si>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</si>
  <si>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</si>
  <si>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</si>
  <si>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</si>
  <si>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</si>
  <si>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</si>
  <si>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</si>
  <si>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</si>
  <si>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</si>
  <si>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</si>
  <si>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</si>
  <si>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</si>
  <si>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</si>
  <si>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</si>
  <si>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</si>
  <si>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</si>
  <si>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</si>
  <si>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</si>
  <si>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</si>
  <si>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</si>
  <si>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</si>
  <si>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</si>
  <si>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</si>
  <si>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</si>
  <si>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</si>
  <si>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</si>
  <si>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</si>
  <si>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</si>
  <si>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</si>
  <si>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Advertência1</t>
  </si>
  <si>
    <t>Algumas traduções podem precisar de revisão - Traducción al español incorporada</t>
  </si>
  <si>
    <t>Prédio</t>
  </si>
  <si>
    <t>Cidade</t>
  </si>
  <si>
    <t>Explicação</t>
  </si>
  <si>
    <t>Explicación</t>
  </si>
  <si>
    <t>Indivíduo</t>
  </si>
  <si>
    <t>Classe</t>
  </si>
  <si>
    <t>Fato</t>
  </si>
  <si>
    <t>Fato
(14)</t>
  </si>
  <si>
    <t>descrição</t>
  </si>
  <si>
    <t>Val</t>
  </si>
  <si>
    <t>0-Classe Ifc</t>
  </si>
  <si>
    <t>0-Categoria Equivalente</t>
  </si>
  <si>
    <t>0-CategoriaEquivalente</t>
  </si>
  <si>
    <t>é.dentro.de</t>
  </si>
  <si>
    <t>ABNT</t>
  </si>
  <si>
    <t>000 Translate Classe 5</t>
  </si>
  <si>
    <t>Prof. José Luis Menegotto DEG/POLI/UFRJ</t>
  </si>
  <si>
    <t>Explanation</t>
  </si>
  <si>
    <t>Idioma</t>
  </si>
  <si>
    <t>pt</t>
  </si>
  <si>
    <t>es</t>
  </si>
  <si>
    <t>en</t>
  </si>
  <si>
    <t>0</t>
  </si>
  <si>
    <t>Anotações 
de ajuda
Classe 1</t>
  </si>
  <si>
    <t>Interop</t>
  </si>
  <si>
    <t>CTI_Projeto_01</t>
  </si>
  <si>
    <t>código.abnt</t>
  </si>
  <si>
    <t>"Nome da empresa vendedora do produto."</t>
  </si>
  <si>
    <t>classe.ifc</t>
  </si>
  <si>
    <t>categoria.revit</t>
  </si>
  <si>
    <t>é.pertencente.a</t>
  </si>
  <si>
    <t>Cisterna Superior</t>
  </si>
  <si>
    <t>Cisterna Inferior</t>
  </si>
  <si>
    <t>Tubulação de Água Fria</t>
  </si>
  <si>
    <t>Cisterna Intermediária</t>
  </si>
  <si>
    <t>[ IfcTank ]</t>
  </si>
  <si>
    <t>[ OST_PipingSystem ]</t>
  </si>
  <si>
    <t>Acessório do sistema de agua como suportes, ganchos, pedestais, etc.</t>
  </si>
  <si>
    <t>[ IfcDistributionSystemDRAINAGE ]</t>
  </si>
  <si>
    <t>"[ OST_PipingSystem ]"</t>
  </si>
  <si>
    <t>Objetos_de_Combate_Incêndio</t>
  </si>
  <si>
    <t>Objetos de Sistemas de Combate de Incêndio</t>
  </si>
  <si>
    <t>Formalizar elementos do projeto BIM. Objetos específicos de Combate de Incêndio</t>
  </si>
  <si>
    <t>Formalizar elementos de proyecto BIM. Objetos específicos de Combate de Incendio</t>
  </si>
  <si>
    <t>Sistema.Incêndio</t>
  </si>
  <si>
    <t>Sistema.Combate</t>
  </si>
  <si>
    <t>Reserva.Superior</t>
  </si>
  <si>
    <t>Reserva.Inferior</t>
  </si>
  <si>
    <t>Tubulação.Sprinklers</t>
  </si>
  <si>
    <t>Sprinkler</t>
  </si>
  <si>
    <t>Alarme</t>
  </si>
  <si>
    <t>Dispositivo que sinaliza a existência de uma condição ou situação de perigo.</t>
  </si>
  <si>
    <t>Dispositivo que señala la existencia de una condición o situación de peligro.</t>
  </si>
  <si>
    <t>Alarme.Campainha</t>
  </si>
  <si>
    <t>Alarme sonoro.</t>
  </si>
  <si>
    <t>Alarma sonora.</t>
  </si>
  <si>
    <t>Alarme.Campainha.Caixa</t>
  </si>
  <si>
    <t>Mecanismo de ativação de alarme no qual um vidro de proteção precisa ser quebrado para permitir que o botão seja apertado.</t>
  </si>
  <si>
    <t>Mecanismo de activación de alarma en el que es necesario romper un cristal protector para permitir la pulsación del botón.</t>
  </si>
  <si>
    <t>Alarme.Lumínico</t>
  </si>
  <si>
    <t>Alarme visual luminoso.</t>
  </si>
  <si>
    <t>Alarma visual luminosa.</t>
  </si>
  <si>
    <t>Alarme.Caixa.Manual</t>
  </si>
  <si>
    <t>Mecanismo de ativação de alarme no qual a ativação se dá por uma ação de puxamento.</t>
  </si>
  <si>
    <t>Mecanismo de activación de alarma en el que la activación se produce mediante una acción de tracción.</t>
  </si>
  <si>
    <t>Alarme.Detonador</t>
  </si>
  <si>
    <t>Dispositivo do tamanho de uma moeda que é usado como um sinal de alerta alto para treinar maquinistas.</t>
  </si>
  <si>
    <t>Un dispositivo del tamaño de una moneda que se utiliza como señal de advertencia alta para entrenar a los conductores de trenes.</t>
  </si>
  <si>
    <t>Alarme.Sirene</t>
  </si>
  <si>
    <t>Alarme sonoro produzido por uma sirene.</t>
  </si>
  <si>
    <t>Alarma sonora producida por una sirena.</t>
  </si>
  <si>
    <t>Alarme.Apito</t>
  </si>
  <si>
    <t>Alarme sonoro produzido por um apito.</t>
  </si>
  <si>
    <t>Alarma sonora producida por un silbato.</t>
  </si>
  <si>
    <t>Terminal.Combate.Fogo</t>
  </si>
  <si>
    <t>Terminal de supressão de incêndio tem a finalidade de fornecer um fluido (gás ou líquido) que irá suprimir.</t>
  </si>
  <si>
    <t>El terminal de extinción de incendios tiene el propósito de proporcionar un fluido (gas o líquido) que suprimirá.</t>
  </si>
  <si>
    <t>Mangueira.Entrada</t>
  </si>
  <si>
    <t>Conexão de tubulação simétrico que une duas ou mais entradas num único tubo.</t>
  </si>
  <si>
    <t>Conexión de tubería simétrica que une dos o más entradas en una sola tubería.</t>
  </si>
  <si>
    <t>Mangueira.Carretel</t>
  </si>
  <si>
    <t>Estrutura de suporte na qual uma mangueira pode ser enrolada.</t>
  </si>
  <si>
    <t>Estructura de soporte en la que se puede enrollar una manguera.</t>
  </si>
  <si>
    <t>Mangueira.Canhão</t>
  </si>
  <si>
    <t>Monitor de incêndio.</t>
  </si>
  <si>
    <t>Monitor de incendios.</t>
  </si>
  <si>
    <t>Hidrante</t>
  </si>
  <si>
    <t>Dispositivo, instalado num tubo, através do qual um suprimento temporário de água pode ser fornecido.</t>
  </si>
  <si>
    <t>Un dispositivo, instalado en una tubería, a través del cual se puede suministrar un suministro temporal de agua.</t>
  </si>
  <si>
    <t>Dispositivo para aspergir água de um cano sob pressão sobre uma área.</t>
  </si>
  <si>
    <t>Un dispositivo para rociar agua de una tubería bajo presión sobre un área.</t>
  </si>
  <si>
    <t>Sprinkler.Defletor</t>
  </si>
  <si>
    <t>Dispositivo conectado a um aspersor para desviar o fluxo de água num padrão de propagação para cobrir o necessário.</t>
  </si>
  <si>
    <t>Dispositivo conectado a un aspersor para desviar el flujo de agua en un patrón de propagación para cubrir lo que se necesita.</t>
  </si>
  <si>
    <t>Acessório.Incêndio</t>
  </si>
  <si>
    <t>[ OST_FireAlarmDevices ]</t>
  </si>
  <si>
    <t>[ OST_FireProtection ]</t>
  </si>
  <si>
    <t>[ OST_SecurityDevices ]</t>
  </si>
  <si>
    <t>[ OST_Sprinklers ]</t>
  </si>
  <si>
    <t>[ IfcFireSuppressionTerminal ]</t>
  </si>
  <si>
    <t>Tubulação.Mangueira</t>
  </si>
  <si>
    <t>[ IfcAlarm ]</t>
  </si>
  <si>
    <t>[ IfcAlarmBELL ]</t>
  </si>
  <si>
    <t>[ IfcAlarmBREAKGLASSBUTTON ]</t>
  </si>
  <si>
    <t>[ IfcAlarmLIGHT ]</t>
  </si>
  <si>
    <t>[ IfcAlarmMANUALPULLBOX ]</t>
  </si>
  <si>
    <t>[ IfcAlarmRAILWAYDETONATOR ]</t>
  </si>
  <si>
    <t>[ IfcAlarmSIREN ]</t>
  </si>
  <si>
    <t>[ IfcAlarmWHISTLE ]</t>
  </si>
  <si>
    <t>[ IfcFireSuppressionTerminalBREECHINGINLET ]</t>
  </si>
  <si>
    <t>[ IfcFireSuppressionTerminalHOSEREEL ]</t>
  </si>
  <si>
    <t>[ IfcFireSuppressionTerminalFIREMONITOR ]</t>
  </si>
  <si>
    <t>[ IfcFireSuppressionTerminalFIREHYDRANT ]</t>
  </si>
  <si>
    <t>[ IfcFireSuppressionTerminalSPRINKLER ]</t>
  </si>
  <si>
    <t>[ IfcFireSuppressionTerminalSPRINKLERDEFLECTOR ]</t>
  </si>
  <si>
    <t>Sis_INC_01</t>
  </si>
  <si>
    <t>SPK_ID_453908</t>
  </si>
  <si>
    <t>SPK_ID_453909</t>
  </si>
  <si>
    <t>Sis_INC_02</t>
  </si>
  <si>
    <t>"Nome da empresa fabricante do produto."</t>
  </si>
  <si>
    <t>"Sistema de Incêndio 1 do Predio"</t>
  </si>
  <si>
    <t>"Sistema de Incêndio 2 do Predio"</t>
  </si>
  <si>
    <t>Acessório de Instalação de Incêndio</t>
  </si>
  <si>
    <t>Reserva Superior de Incêndio</t>
  </si>
  <si>
    <t>Reserva intermediária  de Incêndio</t>
  </si>
  <si>
    <t>Reserva Inferior de Incêndio</t>
  </si>
  <si>
    <t>Tubulação de Sprinklers</t>
  </si>
  <si>
    <t>Tubulação de Mangueiras</t>
  </si>
  <si>
    <t>Sprinkler com Defletor</t>
  </si>
  <si>
    <t>Sistema de Incêndio</t>
  </si>
  <si>
    <t>Sistema Combate</t>
  </si>
  <si>
    <t>Alarmes de Incêndio</t>
  </si>
  <si>
    <t>Peças de Incêndio</t>
  </si>
  <si>
    <t>Tubulação de Incêndio</t>
  </si>
  <si>
    <t>[ 3E.62 ]</t>
  </si>
  <si>
    <t>Sistema de Combate a Incêndio Predial</t>
  </si>
  <si>
    <t>Sistema de Combate a Incendio Predial</t>
  </si>
  <si>
    <t>Alarmes.de.Incêndio</t>
  </si>
  <si>
    <t>Peças.de.Incêndio</t>
  </si>
  <si>
    <t>Tubulação.de.Incêndio</t>
  </si>
  <si>
    <t>Reserva.Intermediária</t>
  </si>
  <si>
    <t>quem.fabricou</t>
  </si>
  <si>
    <t>quem.forneceu</t>
  </si>
  <si>
    <t>Detetor.de.Fumaça</t>
  </si>
  <si>
    <t>Detetor de fumação.</t>
  </si>
  <si>
    <t>Detector de humo.</t>
  </si>
  <si>
    <t>Projeto</t>
  </si>
  <si>
    <t>De.Incêndio</t>
  </si>
  <si>
    <t>Porta corta-fogo que fechada impede a passagem de fogo e fumaça.</t>
  </si>
  <si>
    <t>[ OST_Doors ]</t>
  </si>
  <si>
    <t>[ IfcDoor ]</t>
  </si>
  <si>
    <t>Incêndio</t>
  </si>
  <si>
    <t>Vedação corta-fogo</t>
  </si>
  <si>
    <t>Porta corta-fogo</t>
  </si>
  <si>
    <t>Vedação.CF</t>
  </si>
  <si>
    <t>Porta.CF</t>
  </si>
  <si>
    <t>Shaft.CF</t>
  </si>
  <si>
    <t>Selagem ao Fogo</t>
  </si>
  <si>
    <t>Shaft corta-fogo</t>
  </si>
  <si>
    <t>Paredes e divisórias que limitam a propagação das chamas graças às suas propriedades de resistência ao fogo, projetadas especificamente para essa função.</t>
  </si>
  <si>
    <t>Shafts e passagens verticais projetados com selagem intumescente, dumpers antifumaça e barreiras corta-fogo em cada pavimento.</t>
  </si>
  <si>
    <t>Sistemas.Passivos</t>
  </si>
  <si>
    <t>De.Selagem</t>
  </si>
  <si>
    <t>Sistemas.Ativos</t>
  </si>
  <si>
    <t>De.Combate</t>
  </si>
  <si>
    <t>Sprinkler.Pendente</t>
  </si>
  <si>
    <t xml:space="preserve">Sprinkler.Upright </t>
  </si>
  <si>
    <t>Sprinkler.Lateral</t>
  </si>
  <si>
    <t>Sprinkler Pendente</t>
  </si>
  <si>
    <t xml:space="preserve">Sprinkler Upright </t>
  </si>
  <si>
    <t>Sprinkler Lateral</t>
  </si>
  <si>
    <t>De Combate ao Fogo</t>
  </si>
  <si>
    <t>Sprinkler Pendente é um chuveiro automático instalado no teto com o jato de água para baixo.</t>
  </si>
  <si>
    <t>Sprinkler Upright é um chuveiro automático instalado em tubulação exposta abaixo do teto com o jato de água para cima.</t>
  </si>
  <si>
    <t>Sprinkler Lateral é um chuveiro automático instalado em paredes, ideal para corredores.</t>
  </si>
  <si>
    <t>[ OST_Walls ]</t>
  </si>
  <si>
    <t>[ null ]</t>
  </si>
  <si>
    <t>[ IfcPipeSegment : IfcPipeFitting ]</t>
  </si>
  <si>
    <t>[ IfcFireSuppressionTerminalSPRINKLER : IfcPipeSegment : IfcPipeFitting]</t>
  </si>
  <si>
    <t>[ OST_PipingSystem : OST_PipeSegments : OST_PipeFitting : OST_PipeCurves : OST_PipeConnections : OST_PipeFittingInsulation ]</t>
  </si>
  <si>
    <t>[ OST_Sprinklers : OST_PipingSystem : OST_PipeSegments : OST_PipeFitting : OST_PipeCurves : OST_PipeConnections : OST_PipeFittingInsulation ]]</t>
  </si>
  <si>
    <t>SPK_ID_678250</t>
  </si>
  <si>
    <t>SPK_ID_678251</t>
  </si>
  <si>
    <t>SPK_ID_678252</t>
  </si>
  <si>
    <t>SPK_ID_678253</t>
  </si>
  <si>
    <t>SPK_ID_678256</t>
  </si>
  <si>
    <t>SPK_ID_678254</t>
  </si>
  <si>
    <t>SPK_ID_678255</t>
  </si>
  <si>
    <t>SPK_ID_678257</t>
  </si>
  <si>
    <t>SPK_ID_678258</t>
  </si>
  <si>
    <t>SPK_ID_678259</t>
  </si>
  <si>
    <t>SPK_ID_678260</t>
  </si>
  <si>
    <t>SPK_ID_678261</t>
  </si>
  <si>
    <t>Sis_Ativo_01</t>
  </si>
  <si>
    <t>Sis_Ativo_02</t>
  </si>
  <si>
    <t>"[ 3E.62.04 ]"</t>
  </si>
  <si>
    <t>DET_ID_678342</t>
  </si>
  <si>
    <t>DET_ID_678221</t>
  </si>
  <si>
    <t>De Deteção de Fumaça</t>
  </si>
  <si>
    <t>De.Detecção</t>
  </si>
  <si>
    <t>Detector.Iônico</t>
  </si>
  <si>
    <t>Detector.Óptico</t>
  </si>
  <si>
    <t>Detector.Aspiração</t>
  </si>
  <si>
    <t>Detector.Lineal</t>
  </si>
  <si>
    <t>Detector.Combinado</t>
  </si>
  <si>
    <t>Detector de fumaça iônico</t>
  </si>
  <si>
    <t>Detector de fumaça óptico</t>
  </si>
  <si>
    <t>Detector de fumaça por aspiração</t>
  </si>
  <si>
    <t>Detector de fumaça lineal</t>
  </si>
  <si>
    <t>Detector de fumaça combinado</t>
  </si>
  <si>
    <t>Detector que integra detecção de fumaça e calor no mesmo dispositivo. Aumenta a confiabilidade, sendo indicado para ambientes industriais ou com variações de temperatura.</t>
  </si>
  <si>
    <t>Detecta graças a um feixe de luz (laser ou infravermelho) entre emissor e receptor.</t>
  </si>
  <si>
    <t>Detecta usando uma rede de tubos que aspira continuamente o ar do ambiente. Detecta partículas muito pequenas, permitindo detecção precoce. Ideal para data centers, museus, bibliotecas e ambientes críticos.</t>
  </si>
  <si>
    <t>Detecta fumaça por meio da dispersão da luz em uma câmara interna. Mais eficaz em incêndios de combustão lenta (fumaça densa). É o tipo mais comum em edifícios residenciais e comerciais.</t>
  </si>
  <si>
    <t>Detecta partículas muito pequenas de fumaça em incêndios de combustão rápida.</t>
  </si>
  <si>
    <t>"Sistema Ativo para detecção de fumaça"</t>
  </si>
  <si>
    <t>"[ 3E.62.20 ]"</t>
  </si>
  <si>
    <t>"Instância de Detector de fumaça do sistema INC02 pode ser individualizado pelo ID de Revit ou pelo indentificador IfcGlobalId de IFC"</t>
  </si>
  <si>
    <t>"Instância de Sprinkler do sistema INC02 pode ser individualizado pelo ID de Revit ou pelo indentificador IfcGlobalId de IFC"</t>
  </si>
  <si>
    <t>"Instância de Sprinkler do sistema INC01 pode ser individualizado pelo ID de Revit ou pelo indentificador IfcGlobalId de IFC"</t>
  </si>
  <si>
    <t>"Betta Sistemas Eletrônicos"</t>
  </si>
  <si>
    <t>"Sistema Ativo de Extinção de Incêndio"</t>
  </si>
  <si>
    <t>Conceitos</t>
  </si>
  <si>
    <t>Sistemas.Prediais</t>
  </si>
  <si>
    <t>"Projeto Específico de Incêndio 01"</t>
  </si>
  <si>
    <t>"Um sistema do Projeto Específico de Incêndio 01"</t>
  </si>
  <si>
    <t>"[ OST_FireProtection : OST_Sprinklers : OST_PipeSegments : OST_PipeFitting ]"</t>
  </si>
  <si>
    <t>"[ IfcSensorSMOKESENSOR : IfcFireSuppressionTerminalSPRINKLER : IfcPipeSegment : IfcPipeFitting ]"</t>
  </si>
  <si>
    <t>Building Fire Fighting System</t>
  </si>
  <si>
    <t>Device that signals the existence of a condition or situation of danger.</t>
  </si>
  <si>
    <t>Audible alarm.</t>
  </si>
  <si>
    <t>Alarm activation mechanism in which a protective glass needs to be broken to allow the button to be pressed.</t>
  </si>
  <si>
    <t>Visual light alarm.</t>
  </si>
  <si>
    <t>Alarm activation mechanism in which activation occurs by a pulling action.</t>
  </si>
  <si>
    <t>A coin-sized device that is used as a high warning signal to train train drivers.</t>
  </si>
  <si>
    <t>Audible alarm produced by a siren.</t>
  </si>
  <si>
    <t>Audible alarm produced by a whistle.</t>
  </si>
  <si>
    <t>Fire suppression terminal has the purpose of providing a fluid (gas or liquid) that will suppress.</t>
  </si>
  <si>
    <t>Symmetrical pipe connection that joins two or more inlets into a single pipe.</t>
  </si>
  <si>
    <t>Support structure on which a hose can be wound.</t>
  </si>
  <si>
    <t>Fire monitor.</t>
  </si>
  <si>
    <t>Smoke detector.</t>
  </si>
  <si>
    <t>A device, installed in a pipe, through which a temporary supply of water can be supplied.</t>
  </si>
  <si>
    <t>A device for spraying water from a pipe under pressure over an area.</t>
  </si>
  <si>
    <t>Device connected to a sprinkler to divert the flow of water in a propagation pattern to cover what is needed.</t>
  </si>
  <si>
    <t>Water system accessory like brackets, hooks, pedestals, etc.</t>
  </si>
  <si>
    <t>Upper Cistern</t>
  </si>
  <si>
    <t>Intermediate Cistern</t>
  </si>
  <si>
    <t>Lower Cistern</t>
  </si>
  <si>
    <t>Cold Water Pipe</t>
  </si>
  <si>
    <t>Fire door that closed prevents the passage of fire and smoke.</t>
  </si>
  <si>
    <t>Walls and partitions that limit the spread of flames thanks to their fire resistance properties, designed specifically for this function.</t>
  </si>
  <si>
    <t>Shafts and vertical passages designed with intumescent sealing, smoke-free dumpers and fire barriers on each floor.</t>
  </si>
  <si>
    <t>Sprinkler Pendant is an automatic shower installed on the ceiling with the water jet down.</t>
  </si>
  <si>
    <t>Upright Sprinkler is an automatic shower installed in exposed piping below the ceiling with the water jet up.</t>
  </si>
  <si>
    <t>Side Sprinkler is an automatic shower installed on walls, ideal for corridors.</t>
  </si>
  <si>
    <t>Detects very small particles of smoke in fast-burning fires.</t>
  </si>
  <si>
    <t>It detects smoke by scattering light in an internal chamber. Most effective on smoldering fires (dense smoke). It is the most common type in residential and commercial buildings.</t>
  </si>
  <si>
    <t>It detects using a network of pipes that continuously sucks in air from the environment. Detects very small particles, allowing early detection. Ideal for data centers, museums, libraries, and critical environments.</t>
  </si>
  <si>
    <t>It detects thanks to a beam of light (laser or infrared) between emitter and receiver.</t>
  </si>
  <si>
    <t>Detector that integrates smoke and heat detection in the same device. Increases reliability, being indicated for industrial environments or with temperature variations.</t>
  </si>
  <si>
    <t>Accesorios para sistemas de agua como soportes, ganchos, pedestales, etc.</t>
  </si>
  <si>
    <t>Cisterna intermedia</t>
  </si>
  <si>
    <t>Tubería de agua fría</t>
  </si>
  <si>
    <t>La puerta cortafuegos que se cierra impide el paso del fuego y el humo.</t>
  </si>
  <si>
    <t>Muros y tabiques que limitan la propagación de las llamas gracias a sus propiedades de resistencia al fuego, diseñados específicamente para esta función.</t>
  </si>
  <si>
    <t>Pozos y pasadizos verticales diseñados con sellado intumescente, volcadores sin humo y barreras cortafuego en cada planta.</t>
  </si>
  <si>
    <t>El colgante de aspersores es una ducha automática instalada en el techo con el chorro de agua hacia abajo.</t>
  </si>
  <si>
    <t>El rociador vertical es una ducha automática instalada en tuberías expuestas bajo el techo con el chorro de agua hacia arriba.</t>
  </si>
  <si>
    <t>El rociador lateral es una ducha automática instalada en las paredes, ideal para pasillos.</t>
  </si>
  <si>
    <t>Detecta partículas muy pequeñas de humo en incendios de combustión rápida.</t>
  </si>
  <si>
    <t>Detecta el humo dispersando la luz en una cámara interna. Más efectivo en incendios latentes (humo denso). Es el tipo más común en edificios residenciales y comerciales.</t>
  </si>
  <si>
    <t>Detecta el uso de una red de tuberías que succiona continuamente aire del entorno. Detecta partículas muy pequeñas, permitiendo una detección temprana. Ideal para centros de datos, museos, bibliotecas y entornos críticos.</t>
  </si>
  <si>
    <t>Detecta gracias a un haz de luz (láser o infrarrojo) entre el emisor y el receptor.</t>
  </si>
  <si>
    <t>Detector que integra detección de humo y calor en el mismo dispositivo. Aumenta la fiabilidad, estando indicado para entornos industriales o con variaciones de temperatura.</t>
  </si>
  <si>
    <t>Categoria Rvt</t>
  </si>
  <si>
    <t>Parâmetro Rvt</t>
  </si>
  <si>
    <t>Atributo IFC</t>
  </si>
  <si>
    <t>Classe IFC</t>
  </si>
  <si>
    <t>De.API</t>
  </si>
  <si>
    <t>Métodos</t>
  </si>
  <si>
    <t>Macros</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</si>
  <si>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</si>
  <si>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</si>
  <si>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</si>
  <si>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</si>
  <si>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</si>
  <si>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</si>
  <si>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</si>
  <si>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</si>
  <si>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</si>
  <si>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</si>
  <si>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</si>
  <si>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</si>
  <si>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</si>
  <si>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</si>
  <si>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</si>
  <si>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</si>
  <si>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Códigos.Visuais</t>
  </si>
  <si>
    <t>Bloco.de.Código</t>
  </si>
  <si>
    <t>Define um Código escrito em sistemas de programação visual</t>
  </si>
  <si>
    <t>Define un código escrito en sistemas de programación visual</t>
  </si>
  <si>
    <t>Defines a Code written in visual programming systems</t>
  </si>
  <si>
    <t>KML</t>
  </si>
  <si>
    <t>De.Materialidade</t>
  </si>
  <si>
    <t>[ IfcMaterial ]</t>
  </si>
  <si>
    <t>[ 0M.20.20.01.01 ]</t>
  </si>
  <si>
    <t>Tubo.de.Aço.Costura</t>
  </si>
  <si>
    <t>Tubo.de.Cobre</t>
  </si>
  <si>
    <t>[ 0M.20.20.05 ]</t>
  </si>
  <si>
    <t>Tubo.de.FoFo</t>
  </si>
  <si>
    <t>[ 0M.20.20.01.07.03 ]</t>
  </si>
  <si>
    <t>Tubo.de.Latão</t>
  </si>
  <si>
    <t>[ 0M.20.20.05.01 ]</t>
  </si>
  <si>
    <t>Tubo.de.PEAD</t>
  </si>
  <si>
    <t>[ 0M.20.60.07.09 ]</t>
  </si>
  <si>
    <t>Tubo.de.PVC</t>
  </si>
  <si>
    <t>[ 0M.20.60.07.16 ]</t>
  </si>
  <si>
    <t>Tubo.de.PVCO</t>
  </si>
  <si>
    <t>Material.Construtivo</t>
  </si>
  <si>
    <t>Argamassas</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</si>
  <si>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</si>
  <si>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</si>
  <si>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</si>
  <si>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</si>
  <si>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 OST_Materials : OST_Parts : OST_WallsSubstrate : OST_FloorsSubstrate : OST_WallsInsulation : OST_FloorsInsulation ]</t>
  </si>
  <si>
    <t>[ IfcCoveringINSULATION ]</t>
  </si>
  <si>
    <t>[ 3E.16.02 ]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</si>
  <si>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</si>
  <si>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</si>
  <si>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</si>
  <si>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</si>
  <si>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 IfcCoveringMEMBRANE ]</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</si>
  <si>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</si>
  <si>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</si>
  <si>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</si>
  <si>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</si>
  <si>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</si>
  <si>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</si>
  <si>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</si>
  <si>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</si>
  <si>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[ 3E.14.02 ]</t>
  </si>
  <si>
    <t>Argamassa.Regular</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</si>
  <si>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</si>
  <si>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</si>
  <si>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</si>
  <si>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Caixas.Metálicas</t>
  </si>
  <si>
    <t>Caixa.Metálica.de.Elétrica</t>
  </si>
  <si>
    <t>Material construtivo usado para terminais metálicos ou caixas metálicas de distribuição de elétrica.</t>
  </si>
  <si>
    <t>Material de construcción utilizado para terminales metálicos o cajas metálicas de distribución eléctrica.</t>
  </si>
  <si>
    <t>Construction material used for metal terminals or metal electrical distribution boxes.</t>
  </si>
  <si>
    <t>[ OST_Materials : OST_WireMaterials ]</t>
  </si>
  <si>
    <t>[ 0M.20.20 ]</t>
  </si>
  <si>
    <t>Caixa.Metálica.de.Telecom</t>
  </si>
  <si>
    <t>Material construtivo usado para terminais metálicos ou caixas metálicas de distribuição de redes de dados e telecomunicações.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</si>
  <si>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</si>
  <si>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</si>
  <si>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Caixas.Plásticas</t>
  </si>
  <si>
    <t>Caixa.PVC.de.Elétrica</t>
  </si>
  <si>
    <t>Material construtivo usado para terminais plásticos ou caixas de plásticos de distribuição de elétrica.</t>
  </si>
  <si>
    <t>Material de construcción utilizado para terminales de plástico o cajas de distribución eléctrica de plástico.</t>
  </si>
  <si>
    <t>Construction material used for plastic terminals or plastic electrical distribution boxes.</t>
  </si>
  <si>
    <t>Caixa.PVC.de.Telecom</t>
  </si>
  <si>
    <t>Material construtivo usado para terminais plásticos ou caixas de plásticos de distribuição de redes de dados e telecomunicações.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</si>
  <si>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</si>
  <si>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</si>
  <si>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Calhas.Metálicas</t>
  </si>
  <si>
    <t>Calha.de.Elétrica</t>
  </si>
  <si>
    <t>Material construtivo usado para conduzir a fiação dentro de calhas de calhas de elétrica.</t>
  </si>
  <si>
    <t>Material de construcción utilizado para conducir el cableado dentro de canalones eléctricos.</t>
  </si>
  <si>
    <t>Construction material used to conduct wiring inside electrical gutters.</t>
  </si>
  <si>
    <t>Calha.de.Telecom</t>
  </si>
  <si>
    <t>Material construtivo usado para conduzir a fiação dentro de calhas de rede de dados e telecomunicações.</t>
  </si>
  <si>
    <t>Material de construcción utilizado para realizar cableado dentro de las vías de la red de datos y telecomunicaciones.</t>
  </si>
  <si>
    <t>Construction material used to conduct wiring within data and telecommunications network rails.</t>
  </si>
  <si>
    <t>Calha.Leito.de.Elétrica</t>
  </si>
  <si>
    <t>Material construtivo usado para conduzir a fiação de elétrica.</t>
  </si>
  <si>
    <t>Material de construcción utilizado para conducir el cableado eléctrico.</t>
  </si>
  <si>
    <t>Construction material used to conduct electrical wiring.</t>
  </si>
  <si>
    <t>Calha.Leito.de.Telecom</t>
  </si>
  <si>
    <t>Material construtivo usado para conduzir a fiação das redes de dados e telecomunicações.</t>
  </si>
  <si>
    <t>Material de construcción utilizado para realizar el cableado de redes de datos y telecomunicaciones.</t>
  </si>
  <si>
    <t>Construction material used to conduct the wiring of data and telecommunications networks.</t>
  </si>
  <si>
    <t>Calhas.Plásticas</t>
  </si>
  <si>
    <t>Canaleta.de.Elétrica</t>
  </si>
  <si>
    <t>Material construtivo usado para conduzir canaletas de elétrica.</t>
  </si>
  <si>
    <t>Material de construcción utilizado para accionar canales eléctricos.</t>
  </si>
  <si>
    <t>Construction material used to drive electric channels.</t>
  </si>
  <si>
    <t>Canaleta.de.Telecom</t>
  </si>
  <si>
    <t>Material construtivo usado para conduzir canaletas de rede de dados e telecomunicações.</t>
  </si>
  <si>
    <t>Material de construcción utilizado para realizar canales de datos y redes de telecomunicaciones.</t>
  </si>
  <si>
    <t>Construction material used to conduct data and telecommunications network channels.</t>
  </si>
  <si>
    <t>Conduítes.Flex</t>
  </si>
  <si>
    <t>Conduíte.Flexível.de.Elétrica</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</si>
  <si>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</si>
  <si>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</si>
  <si>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</si>
  <si>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Conduíte.Flexível.de.Telecom</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</si>
  <si>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</si>
  <si>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</si>
  <si>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</si>
  <si>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Conduítes.Rígidos</t>
  </si>
  <si>
    <t>Conduíte.Rígido.de.Elétrica</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</si>
  <si>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</si>
  <si>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</si>
  <si>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</si>
  <si>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Conduíte.Rígido.de.Telecom</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</si>
  <si>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</si>
  <si>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</si>
  <si>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</si>
  <si>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Fiações.Metálicas</t>
  </si>
  <si>
    <t>Fiação.de.Elétrica</t>
  </si>
  <si>
    <t>Material construtivo usado para a fiação nos cabos de elétrica.</t>
  </si>
  <si>
    <t>Material de construcción utilizado para cablear cables eléctricos.</t>
  </si>
  <si>
    <t>Construction material used for wiring in electrical cables.</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</si>
  <si>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</si>
  <si>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</si>
  <si>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</si>
  <si>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</si>
  <si>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Ligas.Estruturais</t>
  </si>
  <si>
    <t>Aço.Estrutural</t>
  </si>
  <si>
    <t>Material construtivo usado para a estrutura são ligas de aços estruturais.</t>
  </si>
  <si>
    <t>Material de construcción utilizado para la estructura. Son aleaciones de aceros estructurales.</t>
  </si>
  <si>
    <t>Construction material used for the structure are structural steel alloys.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</si>
  <si>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</si>
  <si>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</si>
  <si>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Alumínio.Estrutural</t>
  </si>
  <si>
    <t>Material construtivo usado para a estrutura são ligas de alumínios estruturais.</t>
  </si>
  <si>
    <t>Material de construcción utilizado para la estructura. Son aleaciones de aluminios estructurales.</t>
  </si>
  <si>
    <t>Construction material used for the structure are structural aluminum alloys.</t>
  </si>
  <si>
    <t>Materiais.Adesivos</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</si>
  <si>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</si>
  <si>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</si>
  <si>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</si>
  <si>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</si>
  <si>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</si>
  <si>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 IfcFastener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</si>
  <si>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</si>
  <si>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</si>
  <si>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</si>
  <si>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</si>
  <si>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</si>
  <si>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</si>
  <si>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</si>
  <si>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</si>
  <si>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</si>
  <si>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</si>
  <si>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</si>
  <si>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</si>
  <si>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</si>
  <si>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</si>
  <si>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</si>
  <si>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</si>
  <si>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Materiais.Espumados</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</si>
  <si>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</si>
  <si>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</si>
  <si>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</si>
  <si>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</si>
  <si>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 OST_Materials : OST_PipeMaterials : OST_DuctInsulations : OST_DuctLinings : OST_FabricationDuctwork ]</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</si>
  <si>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</si>
  <si>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</si>
  <si>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</si>
  <si>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</si>
  <si>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</si>
  <si>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</si>
  <si>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</si>
  <si>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</si>
  <si>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</si>
  <si>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</si>
  <si>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</si>
  <si>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</si>
  <si>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Materiais.Isolantes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</si>
  <si>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</si>
  <si>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</si>
  <si>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</si>
  <si>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</si>
  <si>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</si>
  <si>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</si>
  <si>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</si>
  <si>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</si>
  <si>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</si>
  <si>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</si>
  <si>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</si>
  <si>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</si>
  <si>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</si>
  <si>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</si>
  <si>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</si>
  <si>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</si>
  <si>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Materiais.Selantes</t>
  </si>
  <si>
    <t>Vedante.Mastique</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</si>
  <si>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</si>
  <si>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</si>
  <si>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</si>
  <si>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Vedante.Plástico.ABS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</si>
  <si>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</si>
  <si>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</si>
  <si>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</si>
  <si>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Vedante.de.Silicone</t>
  </si>
  <si>
    <t>Materiais.em.Peças.Metálicas</t>
  </si>
  <si>
    <t>Alumínio.Anodizado</t>
  </si>
  <si>
    <t>Material construtivo usado para fazer grelhas, difusores e tomadas de ar externo pela durabilidade e facilidade de acabamento.</t>
  </si>
  <si>
    <t>Material de construcción utilizado para fabricar rejillas, difusores y tomas de aire exteriores para mayor durabilidad y facilidad de acabado.</t>
  </si>
  <si>
    <t>Construction material used to make grilles, diffusers and external air intakes for durability and ease of finishing.</t>
  </si>
  <si>
    <t>Quadros.Metálicos</t>
  </si>
  <si>
    <t>Quadro.Metálico.Elétrica</t>
  </si>
  <si>
    <t>Material construtivo usado para quadros de passagem ou distribuição metálicos para elétrica.</t>
  </si>
  <si>
    <t>Material de construcción utilizado para pasadizos metálicos a eléctricos o tableros de distribución.</t>
  </si>
  <si>
    <t>Construction material used for metallic to electrical passage or distribution boards.</t>
  </si>
  <si>
    <t>Quadro.Metálico.Telecom</t>
  </si>
  <si>
    <t>Material construtivo usado para quadros de passagem ou distribuição metálicos para rede de dados e telecomunicações.</t>
  </si>
  <si>
    <t>Material de construcción utilizado para pasos metálicos o paneles de distribución para redes de datos y telecomunicaciones.</t>
  </si>
  <si>
    <t>Construction material used for metal passage or distribution boards for data and telecommunications network.</t>
  </si>
  <si>
    <t>Quadros.Plásticos</t>
  </si>
  <si>
    <t>Quadro.PVC.Elétrica</t>
  </si>
  <si>
    <t>Material construtivo usado para quadros de passagem ou distribuição em PVC para elétrica.</t>
  </si>
  <si>
    <t>Material de construcción utilizado para pasajes de PVC o paneles de distribución para electricidad.</t>
  </si>
  <si>
    <t>Construction material used for PVC passage or distribution boards for electrical.</t>
  </si>
  <si>
    <t>Quadro.PVC.Telecom</t>
  </si>
  <si>
    <t>Material construtivo usado para quadros de passagem ou distribuição em PVC para rede de dados e telecomunicações.</t>
  </si>
  <si>
    <t>Material de construcción utilizado para pasaportes de PVC o placas de distribución para redes de datos y telecomunicaciones.</t>
  </si>
  <si>
    <t>Construction material used for PVC passage or distribution boards for data and telecommunications network.</t>
  </si>
  <si>
    <t>Tubos.Compostos</t>
  </si>
  <si>
    <t>Tubo.de.Multicamada</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</si>
  <si>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</si>
  <si>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</si>
  <si>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</si>
  <si>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Tubos.Metálicos</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</si>
  <si>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</si>
  <si>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</si>
  <si>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</si>
  <si>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</si>
  <si>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</si>
  <si>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</si>
  <si>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</si>
  <si>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</si>
  <si>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</si>
  <si>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</si>
  <si>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</si>
  <si>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</si>
  <si>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</si>
  <si>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</si>
  <si>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</si>
  <si>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</si>
  <si>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</si>
  <si>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</si>
  <si>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</si>
  <si>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</si>
  <si>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</si>
  <si>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</si>
  <si>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Material construtivo usado para canalizações de saneamento básico de ferro fundido.</t>
  </si>
  <si>
    <t>Material de construcción utilizado para tuberías básicas de hierro fundido.</t>
  </si>
  <si>
    <t>Construction material used for cast iron basic sanitation pipes.</t>
  </si>
  <si>
    <t>Material construtivo usado para as redes de água o latão.</t>
  </si>
  <si>
    <t>Material de construcción utilizado en redes de agua: latón.</t>
  </si>
  <si>
    <t>Construction material used for water networks: brass.</t>
  </si>
  <si>
    <t>Tubos.Plásticos</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</si>
  <si>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</si>
  <si>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</si>
  <si>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</si>
  <si>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</si>
  <si>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</si>
  <si>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</si>
  <si>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Tubos.Termoplásticos</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</si>
  <si>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</si>
  <si>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</si>
  <si>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</si>
  <si>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</si>
  <si>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</si>
  <si>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</si>
  <si>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</si>
  <si>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</si>
  <si>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Material.Catalogado</t>
  </si>
  <si>
    <t>Catálogos.de.Materiais</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</si>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</sst>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6"/>
      <color theme="1"/>
      <name val="Arial Nova Cond Light"/>
      <family val="2"/>
    </font>
    <font>
      <b/>
      <sz val="5"/>
      <color rgb="FF000000"/>
      <name val="Arial Nova Cond Light"/>
      <family val="2"/>
    </font>
    <font>
      <sz val="8"/>
      <color theme="1"/>
      <name val="Arial Nova Cond"/>
      <family val="2"/>
    </font>
    <font>
      <sz val="8"/>
      <color theme="1"/>
      <name val="Arial Nova Cond Light"/>
      <family val="2"/>
    </font>
    <font>
      <sz val="6"/>
      <color rgb="FF000000"/>
      <name val="Aptos Narrow"/>
      <family val="2"/>
      <charset val="1"/>
    </font>
  </fonts>
  <fills count="25">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8" tint="0.79998168889431442"/>
        <bgColor rgb="FFFFFFCC"/>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s>
  <borders count="9">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73">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22" fontId="6" fillId="0" borderId="4" xfId="0" applyNumberFormat="1" applyFont="1" applyBorder="1" applyAlignment="1">
      <alignment horizontal="left" vertical="center"/>
    </xf>
    <xf numFmtId="0" fontId="6" fillId="0" borderId="4" xfId="0" applyFont="1" applyBorder="1" applyAlignment="1">
      <alignment vertical="center" wrapText="1"/>
    </xf>
    <xf numFmtId="0" fontId="8" fillId="8" borderId="4" xfId="0" applyFont="1" applyFill="1" applyBorder="1" applyAlignment="1">
      <alignment horizontal="center" vertical="center"/>
    </xf>
    <xf numFmtId="0" fontId="8" fillId="8" borderId="4" xfId="0" applyFont="1" applyFill="1" applyBorder="1" applyAlignment="1">
      <alignment horizontal="left" vertical="center"/>
    </xf>
    <xf numFmtId="0" fontId="8" fillId="8" borderId="4" xfId="0" applyFont="1" applyFill="1" applyBorder="1" applyAlignment="1">
      <alignment vertical="center"/>
    </xf>
    <xf numFmtId="0" fontId="4" fillId="9" borderId="4" xfId="0" applyFont="1" applyFill="1" applyBorder="1" applyAlignment="1">
      <alignment horizontal="center" vertical="center"/>
    </xf>
    <xf numFmtId="0" fontId="2" fillId="10" borderId="4" xfId="0" applyFont="1" applyFill="1" applyBorder="1" applyAlignment="1">
      <alignment vertical="center"/>
    </xf>
    <xf numFmtId="0" fontId="4" fillId="11" borderId="4" xfId="0" applyFont="1" applyFill="1" applyBorder="1" applyAlignment="1">
      <alignment vertical="center"/>
    </xf>
    <xf numFmtId="0" fontId="6" fillId="12" borderId="4" xfId="0" applyFont="1" applyFill="1" applyBorder="1" applyAlignment="1">
      <alignment horizontal="left" vertical="center"/>
    </xf>
    <xf numFmtId="0" fontId="4" fillId="12" borderId="4" xfId="0" applyFont="1" applyFill="1" applyBorder="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3" fillId="14" borderId="4" xfId="0" applyFont="1" applyFill="1" applyBorder="1" applyAlignment="1">
      <alignment horizontal="left" vertical="center" wrapText="1"/>
    </xf>
    <xf numFmtId="0" fontId="3" fillId="15" borderId="4" xfId="0" applyFont="1" applyFill="1" applyBorder="1" applyAlignment="1">
      <alignment horizontal="left" vertical="center" wrapText="1"/>
    </xf>
    <xf numFmtId="0" fontId="2" fillId="16"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3" fillId="14" borderId="4" xfId="0" applyFont="1" applyFill="1" applyBorder="1" applyAlignment="1">
      <alignment horizontal="center" vertical="center" wrapText="1"/>
    </xf>
    <xf numFmtId="0" fontId="2" fillId="17" borderId="4" xfId="0" applyFont="1" applyFill="1" applyBorder="1" applyAlignment="1">
      <alignment horizontal="center" vertical="center"/>
    </xf>
    <xf numFmtId="0" fontId="2" fillId="18" borderId="4" xfId="0" applyFont="1" applyFill="1" applyBorder="1" applyAlignment="1">
      <alignment horizontal="left" vertical="center"/>
    </xf>
    <xf numFmtId="0" fontId="2" fillId="19" borderId="4" xfId="0" applyFont="1" applyFill="1" applyBorder="1" applyAlignment="1">
      <alignment vertical="center"/>
    </xf>
    <xf numFmtId="0" fontId="3"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0" borderId="4" xfId="0" applyFont="1" applyBorder="1" applyAlignment="1">
      <alignment horizontal="left" vertical="center"/>
    </xf>
    <xf numFmtId="0" fontId="10" fillId="0" borderId="0" xfId="0" applyFont="1" applyAlignment="1">
      <alignment vertical="center"/>
    </xf>
    <xf numFmtId="0" fontId="8" fillId="22" borderId="4" xfId="0" applyFont="1" applyFill="1" applyBorder="1" applyAlignment="1">
      <alignment horizontal="center" vertical="center"/>
    </xf>
    <xf numFmtId="0" fontId="6" fillId="0" borderId="4" xfId="0" applyFont="1" applyBorder="1" applyAlignment="1">
      <alignment horizontal="center" vertical="center"/>
    </xf>
    <xf numFmtId="0" fontId="11" fillId="0" borderId="0" xfId="0" applyFont="1" applyAlignment="1">
      <alignment vertical="center"/>
    </xf>
    <xf numFmtId="0" fontId="2" fillId="5" borderId="5" xfId="0" applyFont="1" applyFill="1" applyBorder="1" applyAlignment="1">
      <alignment horizontal="left" vertical="center"/>
    </xf>
    <xf numFmtId="0" fontId="3"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5" fillId="2"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2" fillId="10" borderId="4" xfId="0" applyFont="1" applyFill="1" applyBorder="1" applyAlignment="1">
      <alignment vertical="center" wrapText="1"/>
    </xf>
    <xf numFmtId="0" fontId="8" fillId="8" borderId="4" xfId="0" applyFont="1" applyFill="1" applyBorder="1" applyAlignment="1">
      <alignment vertical="center" wrapText="1"/>
    </xf>
    <xf numFmtId="0" fontId="6" fillId="13" borderId="4" xfId="0" applyFont="1" applyFill="1" applyBorder="1" applyAlignment="1">
      <alignment vertical="center"/>
    </xf>
    <xf numFmtId="0" fontId="4" fillId="21" borderId="4" xfId="0" applyFont="1" applyFill="1" applyBorder="1" applyAlignment="1">
      <alignment vertical="center"/>
    </xf>
    <xf numFmtId="0" fontId="4" fillId="20" borderId="4" xfId="0" applyFont="1" applyFill="1" applyBorder="1" applyAlignment="1">
      <alignment vertical="center"/>
    </xf>
    <xf numFmtId="0" fontId="2" fillId="16" borderId="5" xfId="0" applyFont="1" applyFill="1" applyBorder="1" applyAlignment="1">
      <alignment horizontal="left" vertical="center"/>
    </xf>
    <xf numFmtId="0" fontId="6" fillId="5" borderId="4"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0" fontId="2" fillId="5" borderId="4"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 fillId="23" borderId="4" xfId="0" applyFont="1" applyFill="1" applyBorder="1" applyAlignment="1">
      <alignment horizontal="left" vertical="center"/>
    </xf>
    <xf numFmtId="0" fontId="2" fillId="17" borderId="4" xfId="0" applyFont="1" applyFill="1" applyBorder="1" applyAlignment="1">
      <alignment horizontal="right" vertical="center"/>
    </xf>
    <xf numFmtId="0" fontId="4" fillId="2" borderId="4" xfId="0" applyFont="1" applyFill="1" applyBorder="1" applyAlignment="1">
      <alignment horizontal="left" vertical="center"/>
    </xf>
    <xf numFmtId="0" fontId="12" fillId="0" borderId="0" xfId="0" applyFont="1" applyAlignment="1">
      <alignment horizontal="left" vertical="center"/>
    </xf>
    <xf numFmtId="0" fontId="2" fillId="16" borderId="4" xfId="0" applyFont="1" applyFill="1" applyBorder="1" applyAlignment="1">
      <alignment vertical="center"/>
    </xf>
    <xf numFmtId="0" fontId="4" fillId="24" borderId="4" xfId="0" applyFont="1" applyFill="1" applyBorder="1" applyAlignment="1">
      <alignment horizontal="left" vertical="center"/>
    </xf>
    <xf numFmtId="0" fontId="11" fillId="0" borderId="0" xfId="0" applyFont="1" applyAlignment="1">
      <alignment horizontal="left"/>
    </xf>
    <xf numFmtId="0" fontId="6" fillId="5" borderId="4" xfId="0" applyFont="1" applyFill="1" applyBorder="1" applyAlignment="1">
      <alignment horizontal="left" vertical="center"/>
    </xf>
    <xf numFmtId="0" fontId="6" fillId="16" borderId="4" xfId="0" applyFont="1" applyFill="1" applyBorder="1" applyAlignment="1">
      <alignment horizontal="left" vertical="center"/>
    </xf>
    <xf numFmtId="0" fontId="2" fillId="5" borderId="4" xfId="0" applyFont="1" applyFill="1" applyBorder="1" applyAlignment="1">
      <alignment vertical="center"/>
    </xf>
    <xf numFmtId="0" fontId="2" fillId="16" borderId="4" xfId="0" applyFont="1" applyFill="1" applyBorder="1" applyAlignment="1">
      <alignment horizontal="center" vertical="center"/>
    </xf>
    <xf numFmtId="0" fontId="2" fillId="0" borderId="0" xfId="0" applyFont="1" applyAlignment="1">
      <alignment vertical="center"/>
    </xf>
    <xf numFmtId="0" fontId="3" fillId="3" borderId="7"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31">
    <dxf>
      <font>
        <b val="0"/>
        <i/>
        <strike val="0"/>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3"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24"/>
  <sheetViews>
    <sheetView zoomScale="175" zoomScaleNormal="175" workbookViewId="0">
      <pane ySplit="1" topLeftCell="A2" activePane="bottomLeft" state="frozen"/>
      <selection pane="bottomLeft" activeCell="B24" sqref="B24"/>
    </sheetView>
  </sheetViews>
  <sheetFormatPr defaultColWidth="9.15234375" defaultRowHeight="9.75" customHeight="1" x14ac:dyDescent="0.4"/>
  <cols>
    <col min="1" max="1" width="8.69140625" style="56" customWidth="1"/>
    <col min="2" max="2" width="40.15234375" style="56" customWidth="1"/>
    <col min="3" max="3" width="3.3828125" style="41" bestFit="1" customWidth="1"/>
    <col min="4" max="16384" width="9.15234375" style="56"/>
  </cols>
  <sheetData>
    <row r="1" spans="1:3" ht="20.25" customHeight="1" x14ac:dyDescent="0.4">
      <c r="A1" s="12" t="s">
        <v>44</v>
      </c>
      <c r="B1" s="12" t="s">
        <v>45</v>
      </c>
      <c r="C1" s="39" t="s">
        <v>87</v>
      </c>
    </row>
    <row r="2" spans="1:3" ht="9" customHeight="1" x14ac:dyDescent="0.4">
      <c r="A2" s="13" t="s">
        <v>46</v>
      </c>
      <c r="B2" s="13" t="s">
        <v>47</v>
      </c>
      <c r="C2" s="40" t="s">
        <v>88</v>
      </c>
    </row>
    <row r="3" spans="1:3" ht="9" customHeight="1" x14ac:dyDescent="0.4">
      <c r="A3" s="13" t="s">
        <v>48</v>
      </c>
      <c r="B3" s="13" t="s">
        <v>109</v>
      </c>
      <c r="C3" s="40" t="s">
        <v>88</v>
      </c>
    </row>
    <row r="4" spans="1:3" ht="9" customHeight="1" x14ac:dyDescent="0.4">
      <c r="A4" s="14" t="s">
        <v>49</v>
      </c>
      <c r="B4" s="14" t="s">
        <v>32</v>
      </c>
      <c r="C4" s="40" t="s">
        <v>88</v>
      </c>
    </row>
    <row r="5" spans="1:3" ht="9" customHeight="1" x14ac:dyDescent="0.4">
      <c r="A5" s="14" t="s">
        <v>50</v>
      </c>
      <c r="B5" s="14" t="str">
        <f>_xlfn.CONCAT(B4,"Prop")</f>
        <v>BIMProp</v>
      </c>
      <c r="C5" s="40" t="s">
        <v>88</v>
      </c>
    </row>
    <row r="6" spans="1:3" ht="9" customHeight="1" x14ac:dyDescent="0.4">
      <c r="A6" s="14" t="s">
        <v>51</v>
      </c>
      <c r="B6" s="14" t="str">
        <f>_xlfn.CONCAT(B4,"Data")</f>
        <v>BIMData</v>
      </c>
      <c r="C6" s="40" t="s">
        <v>88</v>
      </c>
    </row>
    <row r="7" spans="1:3" ht="9" customHeight="1" x14ac:dyDescent="0.4">
      <c r="A7" s="14" t="s">
        <v>52</v>
      </c>
      <c r="B7" s="14" t="s">
        <v>53</v>
      </c>
      <c r="C7" s="40" t="s">
        <v>88</v>
      </c>
    </row>
    <row r="8" spans="1:3" s="38" customFormat="1" ht="9" customHeight="1" x14ac:dyDescent="0.4">
      <c r="A8" s="37" t="s">
        <v>54</v>
      </c>
      <c r="B8" s="37" t="s">
        <v>85</v>
      </c>
      <c r="C8" s="40" t="s">
        <v>88</v>
      </c>
    </row>
    <row r="9" spans="1:3" ht="9" customHeight="1" x14ac:dyDescent="0.4">
      <c r="A9" s="14" t="s">
        <v>55</v>
      </c>
      <c r="B9" s="14" t="s">
        <v>56</v>
      </c>
      <c r="C9" s="40" t="s">
        <v>88</v>
      </c>
    </row>
    <row r="10" spans="1:3" ht="9" customHeight="1" x14ac:dyDescent="0.4">
      <c r="A10" s="14" t="s">
        <v>57</v>
      </c>
      <c r="B10" s="14" t="s">
        <v>58</v>
      </c>
      <c r="C10" s="40" t="s">
        <v>88</v>
      </c>
    </row>
    <row r="11" spans="1:3" ht="9" customHeight="1" x14ac:dyDescent="0.4">
      <c r="A11" s="14" t="s">
        <v>59</v>
      </c>
      <c r="B11" s="14" t="s">
        <v>58</v>
      </c>
      <c r="C11" s="40" t="s">
        <v>88</v>
      </c>
    </row>
    <row r="12" spans="1:3" ht="9" customHeight="1" x14ac:dyDescent="0.4">
      <c r="A12" s="14" t="s">
        <v>60</v>
      </c>
      <c r="B12" s="14" t="s">
        <v>58</v>
      </c>
      <c r="C12" s="40" t="s">
        <v>88</v>
      </c>
    </row>
    <row r="13" spans="1:3" ht="9" customHeight="1" x14ac:dyDescent="0.4">
      <c r="A13" s="14" t="s">
        <v>61</v>
      </c>
      <c r="B13" s="14" t="s">
        <v>58</v>
      </c>
      <c r="C13" s="40" t="s">
        <v>88</v>
      </c>
    </row>
    <row r="14" spans="1:3" ht="9" customHeight="1" x14ac:dyDescent="0.4">
      <c r="A14" s="14" t="s">
        <v>62</v>
      </c>
      <c r="B14" s="14" t="s">
        <v>58</v>
      </c>
      <c r="C14" s="40" t="s">
        <v>88</v>
      </c>
    </row>
    <row r="15" spans="1:3" ht="9" customHeight="1" x14ac:dyDescent="0.4">
      <c r="A15" s="14" t="s">
        <v>63</v>
      </c>
      <c r="B15" s="14" t="s">
        <v>58</v>
      </c>
      <c r="C15" s="40" t="s">
        <v>88</v>
      </c>
    </row>
    <row r="16" spans="1:3" ht="9" customHeight="1" x14ac:dyDescent="0.4">
      <c r="A16" s="14" t="s">
        <v>64</v>
      </c>
      <c r="B16" s="14" t="s">
        <v>58</v>
      </c>
      <c r="C16" s="40" t="s">
        <v>88</v>
      </c>
    </row>
    <row r="17" spans="1:3" ht="9" customHeight="1" x14ac:dyDescent="0.4">
      <c r="A17" s="14" t="s">
        <v>65</v>
      </c>
      <c r="B17" s="14" t="s">
        <v>110</v>
      </c>
      <c r="C17" s="40" t="s">
        <v>88</v>
      </c>
    </row>
    <row r="18" spans="1:3" ht="9" customHeight="1" x14ac:dyDescent="0.4">
      <c r="A18" s="14" t="s">
        <v>66</v>
      </c>
      <c r="B18" s="15">
        <f ca="1">NOW()</f>
        <v>46271.546375578706</v>
      </c>
      <c r="C18" s="40" t="s">
        <v>88</v>
      </c>
    </row>
    <row r="19" spans="1:3" ht="9" customHeight="1" x14ac:dyDescent="0.4">
      <c r="A19" s="14" t="s">
        <v>67</v>
      </c>
      <c r="B19" s="15" t="s">
        <v>68</v>
      </c>
      <c r="C19" s="40" t="s">
        <v>88</v>
      </c>
    </row>
    <row r="20" spans="1:3" ht="9" customHeight="1" x14ac:dyDescent="0.4">
      <c r="A20" s="14" t="s">
        <v>69</v>
      </c>
      <c r="B20" s="14" t="s">
        <v>58</v>
      </c>
      <c r="C20" s="40" t="s">
        <v>88</v>
      </c>
    </row>
    <row r="21" spans="1:3" ht="9" customHeight="1" x14ac:dyDescent="0.4">
      <c r="A21" s="14" t="s">
        <v>70</v>
      </c>
      <c r="B21" s="14" t="s">
        <v>58</v>
      </c>
      <c r="C21" s="40" t="s">
        <v>88</v>
      </c>
    </row>
    <row r="22" spans="1:3" ht="9" customHeight="1" x14ac:dyDescent="0.4">
      <c r="A22" s="14" t="s">
        <v>71</v>
      </c>
      <c r="B22" s="16" t="s">
        <v>111</v>
      </c>
      <c r="C22" s="40" t="s">
        <v>88</v>
      </c>
    </row>
    <row r="23" spans="1:3" ht="9" customHeight="1" x14ac:dyDescent="0.4">
      <c r="A23" s="14" t="s">
        <v>72</v>
      </c>
      <c r="B23" s="16" t="s">
        <v>112</v>
      </c>
      <c r="C23" s="40" t="s">
        <v>89</v>
      </c>
    </row>
    <row r="24" spans="1:3" s="38" customFormat="1" ht="9" customHeight="1" x14ac:dyDescent="0.4">
      <c r="A24" s="14" t="s">
        <v>86</v>
      </c>
      <c r="B24" s="16" t="str">
        <f>_xlfn.TRANSLATE(B22,"pt","en")</f>
        <v>Formalize elements of the BIM project. Specific Fire Fighting Objects</v>
      </c>
      <c r="C24" s="40" t="s">
        <v>90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2D63-9637-42D9-866B-0BB924A50D8C}">
  <sheetPr codeName="Planilha2"/>
  <dimension ref="A1:AD101"/>
  <sheetViews>
    <sheetView tabSelected="1" topLeftCell="R1" zoomScale="205" zoomScaleNormal="205" workbookViewId="0">
      <pane ySplit="1" topLeftCell="A2" activePane="bottomLeft" state="frozen"/>
      <selection activeCell="A179" sqref="A179:XFD190"/>
      <selection pane="bottomLeft" activeCell="X3" sqref="X3"/>
    </sheetView>
  </sheetViews>
  <sheetFormatPr defaultColWidth="9.15234375" defaultRowHeight="6.65" customHeight="1" x14ac:dyDescent="0.4"/>
  <cols>
    <col min="1" max="1" width="1.921875" bestFit="1" customWidth="1"/>
    <col min="2" max="2" width="4.23046875" style="54" bestFit="1" customWidth="1"/>
    <col min="3" max="3" width="7.15234375" style="54" bestFit="1" customWidth="1"/>
    <col min="4" max="4" width="8.07421875" style="54" bestFit="1" customWidth="1"/>
    <col min="5" max="5" width="11.53515625" style="54" bestFit="1" customWidth="1"/>
    <col min="6" max="6" width="11.69140625" style="62" bestFit="1" customWidth="1"/>
    <col min="7" max="11" width="6.4609375" style="54" bestFit="1" customWidth="1"/>
    <col min="12" max="12" width="7.15234375" style="54" bestFit="1" customWidth="1"/>
    <col min="13" max="13" width="8.07421875" style="54" bestFit="1" customWidth="1"/>
    <col min="14" max="14" width="11.61328125" style="54" bestFit="1" customWidth="1"/>
    <col min="15" max="15" width="14.15234375" style="54" bestFit="1" customWidth="1"/>
    <col min="16" max="16" width="114.61328125" style="54" bestFit="1" customWidth="1"/>
    <col min="17" max="17" width="120.53515625" style="54" bestFit="1" customWidth="1"/>
    <col min="18" max="18" width="108.3046875" style="54" bestFit="1" customWidth="1"/>
    <col min="19" max="19" width="3.69140625" style="72" bestFit="1" customWidth="1"/>
    <col min="20" max="20" width="7.15234375" style="54" bestFit="1" customWidth="1"/>
    <col min="21" max="21" width="8.07421875" style="54" bestFit="1" customWidth="1"/>
    <col min="22" max="22" width="11.61328125" style="54" bestFit="1" customWidth="1"/>
    <col min="23" max="23" width="4.921875" style="54" bestFit="1" customWidth="1"/>
    <col min="24" max="24" width="5.53515625" style="54" bestFit="1" customWidth="1"/>
    <col min="25" max="25" width="155.3828125" style="54" bestFit="1" customWidth="1"/>
    <col min="26" max="26" width="6.765625" style="54" bestFit="1" customWidth="1"/>
    <col min="27" max="27" width="60.07421875" style="55" bestFit="1" customWidth="1"/>
    <col min="28" max="28" width="6" style="54" bestFit="1" customWidth="1"/>
    <col min="29" max="29" width="8.84375" style="54" bestFit="1" customWidth="1"/>
    <col min="30" max="30" width="2.53515625" style="54" bestFit="1" customWidth="1"/>
    <col min="31" max="16384" width="9.15234375" style="54"/>
  </cols>
  <sheetData>
    <row r="1" spans="1:30" ht="38.25" customHeight="1" x14ac:dyDescent="0.4">
      <c r="A1" s="43" t="s">
        <v>91</v>
      </c>
      <c r="B1" s="44" t="s">
        <v>42</v>
      </c>
      <c r="C1" s="44" t="s">
        <v>40</v>
      </c>
      <c r="D1" s="44" t="s">
        <v>41</v>
      </c>
      <c r="E1" s="44" t="s">
        <v>39</v>
      </c>
      <c r="F1" s="44" t="s">
        <v>36</v>
      </c>
      <c r="G1" s="45" t="s">
        <v>0</v>
      </c>
      <c r="H1" s="45" t="s">
        <v>1</v>
      </c>
      <c r="I1" s="45" t="s">
        <v>2</v>
      </c>
      <c r="J1" s="45" t="s">
        <v>3</v>
      </c>
      <c r="K1" s="45" t="s">
        <v>4</v>
      </c>
      <c r="L1" s="35" t="s">
        <v>92</v>
      </c>
      <c r="M1" s="35" t="s">
        <v>5</v>
      </c>
      <c r="N1" s="35" t="s">
        <v>6</v>
      </c>
      <c r="O1" s="35" t="s">
        <v>7</v>
      </c>
      <c r="P1" s="35" t="s">
        <v>37</v>
      </c>
      <c r="Q1" s="35" t="s">
        <v>43</v>
      </c>
      <c r="R1" s="36" t="s">
        <v>84</v>
      </c>
      <c r="S1" s="71" t="s">
        <v>93</v>
      </c>
      <c r="T1" s="35" t="s">
        <v>33</v>
      </c>
      <c r="U1" s="35" t="s">
        <v>38</v>
      </c>
      <c r="V1" s="46" t="s">
        <v>35</v>
      </c>
      <c r="W1" s="35" t="s">
        <v>34</v>
      </c>
      <c r="X1" s="58" t="s">
        <v>8</v>
      </c>
      <c r="Y1" s="35" t="s">
        <v>344</v>
      </c>
      <c r="Z1" s="35" t="s">
        <v>345</v>
      </c>
      <c r="AA1" s="35" t="s">
        <v>347</v>
      </c>
      <c r="AB1" s="35" t="s">
        <v>346</v>
      </c>
      <c r="AC1" s="35" t="s">
        <v>83</v>
      </c>
      <c r="AD1" s="35" t="s">
        <v>372</v>
      </c>
    </row>
    <row r="2" spans="1:30" s="55" customFormat="1" ht="6" customHeight="1" x14ac:dyDescent="0.4">
      <c r="A2" s="60">
        <v>2</v>
      </c>
      <c r="B2" s="1" t="s">
        <v>291</v>
      </c>
      <c r="C2" s="1" t="s">
        <v>373</v>
      </c>
      <c r="D2" s="1" t="s">
        <v>388</v>
      </c>
      <c r="E2" s="1" t="s">
        <v>389</v>
      </c>
      <c r="F2" s="68" t="s">
        <v>390</v>
      </c>
      <c r="G2" s="7" t="s">
        <v>9</v>
      </c>
      <c r="H2" s="7" t="s">
        <v>9</v>
      </c>
      <c r="I2" s="7" t="s">
        <v>9</v>
      </c>
      <c r="J2" s="7" t="s">
        <v>9</v>
      </c>
      <c r="K2" s="7" t="s">
        <v>9</v>
      </c>
      <c r="L2" s="33" t="str">
        <f t="shared" ref="L2:M6" si="0">CONCATENATE("", C2)</f>
        <v>De.Materialidade</v>
      </c>
      <c r="M2" s="33" t="str">
        <f t="shared" si="0"/>
        <v>Material.Construtivo</v>
      </c>
      <c r="N2" s="33" t="str">
        <f t="shared" ref="N2:O6" si="1">(SUBSTITUTE(SUBSTITUTE(CONCATENATE("",E2),"."," ")," De "," de "))</f>
        <v>Argamassas</v>
      </c>
      <c r="O2" s="33" t="str">
        <f t="shared" si="1"/>
        <v>Argamassa Baritada</v>
      </c>
      <c r="P2" s="63" t="s">
        <v>391</v>
      </c>
      <c r="Q2" s="67" t="s">
        <v>392</v>
      </c>
      <c r="R2" s="67" t="s">
        <v>393</v>
      </c>
      <c r="S2" s="69" t="s">
        <v>9</v>
      </c>
      <c r="T2" s="63" t="str">
        <f t="shared" ref="T2:V17" si="2">SUBSTITUTE(C2, ".", " ")</f>
        <v>De Materialidade</v>
      </c>
      <c r="U2" s="63" t="str">
        <f t="shared" si="2"/>
        <v>Material Construtivo</v>
      </c>
      <c r="V2" s="63" t="str">
        <f t="shared" si="2"/>
        <v>Argamassas</v>
      </c>
      <c r="W2" s="30" t="s">
        <v>220</v>
      </c>
      <c r="X2" s="59" t="str">
        <f t="shared" ref="X2:X62" si="3">CONCATENATE("Key-INC-",A2)</f>
        <v>Key-INC-2</v>
      </c>
      <c r="Y2" s="30" t="s">
        <v>394</v>
      </c>
      <c r="Z2" s="63" t="s">
        <v>9</v>
      </c>
      <c r="AA2" s="63" t="s">
        <v>395</v>
      </c>
      <c r="AB2" s="63" t="s">
        <v>9</v>
      </c>
      <c r="AC2" s="63" t="s">
        <v>396</v>
      </c>
      <c r="AD2" s="63" t="s">
        <v>9</v>
      </c>
    </row>
    <row r="3" spans="1:30" s="55" customFormat="1" ht="6" customHeight="1" x14ac:dyDescent="0.4">
      <c r="A3" s="60">
        <v>3</v>
      </c>
      <c r="B3" s="1" t="s">
        <v>291</v>
      </c>
      <c r="C3" s="1" t="s">
        <v>373</v>
      </c>
      <c r="D3" s="1" t="s">
        <v>388</v>
      </c>
      <c r="E3" s="1" t="s">
        <v>389</v>
      </c>
      <c r="F3" s="57" t="s">
        <v>397</v>
      </c>
      <c r="G3" s="7" t="s">
        <v>9</v>
      </c>
      <c r="H3" s="7" t="s">
        <v>9</v>
      </c>
      <c r="I3" s="7" t="s">
        <v>9</v>
      </c>
      <c r="J3" s="7" t="s">
        <v>9</v>
      </c>
      <c r="K3" s="7" t="s">
        <v>9</v>
      </c>
      <c r="L3" s="33" t="str">
        <f t="shared" si="0"/>
        <v>De.Materialidade</v>
      </c>
      <c r="M3" s="33" t="str">
        <f t="shared" si="0"/>
        <v>Material.Construtivo</v>
      </c>
      <c r="N3" s="33" t="str">
        <f t="shared" si="1"/>
        <v>Argamassas</v>
      </c>
      <c r="O3" s="33" t="str">
        <f t="shared" si="1"/>
        <v>Argamassa Colante</v>
      </c>
      <c r="P3" s="29" t="s">
        <v>398</v>
      </c>
      <c r="Q3" s="67" t="s">
        <v>399</v>
      </c>
      <c r="R3" s="67" t="s">
        <v>400</v>
      </c>
      <c r="S3" s="69" t="s">
        <v>9</v>
      </c>
      <c r="T3" s="63" t="str">
        <f t="shared" si="2"/>
        <v>De Materialidade</v>
      </c>
      <c r="U3" s="63" t="str">
        <f t="shared" si="2"/>
        <v>Material Construtivo</v>
      </c>
      <c r="V3" s="63" t="str">
        <f t="shared" si="2"/>
        <v>Argamassas</v>
      </c>
      <c r="W3" s="30" t="s">
        <v>220</v>
      </c>
      <c r="X3" s="59" t="str">
        <f t="shared" si="3"/>
        <v>Key-INC-3</v>
      </c>
      <c r="Y3" s="30" t="s">
        <v>394</v>
      </c>
      <c r="Z3" s="63" t="s">
        <v>9</v>
      </c>
      <c r="AA3" s="63" t="s">
        <v>401</v>
      </c>
      <c r="AB3" s="63" t="s">
        <v>9</v>
      </c>
      <c r="AC3" s="63" t="s">
        <v>396</v>
      </c>
      <c r="AD3" s="63" t="s">
        <v>9</v>
      </c>
    </row>
    <row r="4" spans="1:30" s="55" customFormat="1" ht="6" customHeight="1" x14ac:dyDescent="0.4">
      <c r="A4" s="60">
        <v>4</v>
      </c>
      <c r="B4" s="1" t="s">
        <v>291</v>
      </c>
      <c r="C4" s="1" t="s">
        <v>373</v>
      </c>
      <c r="D4" s="1" t="s">
        <v>388</v>
      </c>
      <c r="E4" s="1" t="s">
        <v>389</v>
      </c>
      <c r="F4" s="68" t="s">
        <v>402</v>
      </c>
      <c r="G4" s="7" t="s">
        <v>9</v>
      </c>
      <c r="H4" s="7" t="s">
        <v>9</v>
      </c>
      <c r="I4" s="7" t="s">
        <v>9</v>
      </c>
      <c r="J4" s="7" t="s">
        <v>9</v>
      </c>
      <c r="K4" s="7" t="s">
        <v>9</v>
      </c>
      <c r="L4" s="33" t="str">
        <f t="shared" si="0"/>
        <v>De.Materialidade</v>
      </c>
      <c r="M4" s="33" t="str">
        <f t="shared" si="0"/>
        <v>Material.Construtivo</v>
      </c>
      <c r="N4" s="33" t="str">
        <f t="shared" si="1"/>
        <v>Argamassas</v>
      </c>
      <c r="O4" s="33" t="str">
        <f t="shared" si="1"/>
        <v>Argamassa Isolante</v>
      </c>
      <c r="P4" s="63" t="s">
        <v>403</v>
      </c>
      <c r="Q4" s="67" t="s">
        <v>404</v>
      </c>
      <c r="R4" s="67" t="s">
        <v>405</v>
      </c>
      <c r="S4" s="69" t="s">
        <v>9</v>
      </c>
      <c r="T4" s="63" t="str">
        <f t="shared" si="2"/>
        <v>De Materialidade</v>
      </c>
      <c r="U4" s="63" t="str">
        <f t="shared" si="2"/>
        <v>Material Construtivo</v>
      </c>
      <c r="V4" s="63" t="str">
        <f t="shared" si="2"/>
        <v>Argamassas</v>
      </c>
      <c r="W4" s="30" t="s">
        <v>220</v>
      </c>
      <c r="X4" s="59" t="str">
        <f t="shared" si="3"/>
        <v>Key-INC-4</v>
      </c>
      <c r="Y4" s="30" t="s">
        <v>394</v>
      </c>
      <c r="Z4" s="63" t="s">
        <v>9</v>
      </c>
      <c r="AA4" s="63" t="s">
        <v>395</v>
      </c>
      <c r="AB4" s="63" t="s">
        <v>9</v>
      </c>
      <c r="AC4" s="63" t="s">
        <v>396</v>
      </c>
      <c r="AD4" s="63" t="s">
        <v>9</v>
      </c>
    </row>
    <row r="5" spans="1:30" s="55" customFormat="1" ht="6" customHeight="1" x14ac:dyDescent="0.4">
      <c r="A5" s="60">
        <v>5</v>
      </c>
      <c r="B5" s="1" t="s">
        <v>291</v>
      </c>
      <c r="C5" s="1" t="s">
        <v>373</v>
      </c>
      <c r="D5" s="1" t="s">
        <v>388</v>
      </c>
      <c r="E5" s="1" t="s">
        <v>389</v>
      </c>
      <c r="F5" s="1" t="s">
        <v>406</v>
      </c>
      <c r="G5" s="7" t="s">
        <v>9</v>
      </c>
      <c r="H5" s="7" t="s">
        <v>9</v>
      </c>
      <c r="I5" s="7" t="s">
        <v>9</v>
      </c>
      <c r="J5" s="7" t="s">
        <v>9</v>
      </c>
      <c r="K5" s="7" t="s">
        <v>9</v>
      </c>
      <c r="L5" s="33" t="str">
        <f t="shared" si="0"/>
        <v>De.Materialidade</v>
      </c>
      <c r="M5" s="33" t="str">
        <f t="shared" si="0"/>
        <v>Material.Construtivo</v>
      </c>
      <c r="N5" s="33" t="str">
        <f t="shared" si="1"/>
        <v>Argamassas</v>
      </c>
      <c r="O5" s="33" t="str">
        <f t="shared" si="1"/>
        <v>Argamassa Lastro</v>
      </c>
      <c r="P5" s="30" t="s">
        <v>407</v>
      </c>
      <c r="Q5" s="67" t="s">
        <v>408</v>
      </c>
      <c r="R5" s="67" t="s">
        <v>409</v>
      </c>
      <c r="S5" s="69" t="s">
        <v>9</v>
      </c>
      <c r="T5" s="63" t="str">
        <f t="shared" si="2"/>
        <v>De Materialidade</v>
      </c>
      <c r="U5" s="63" t="str">
        <f t="shared" si="2"/>
        <v>Material Construtivo</v>
      </c>
      <c r="V5" s="63" t="str">
        <f t="shared" si="2"/>
        <v>Argamassas</v>
      </c>
      <c r="W5" s="30" t="s">
        <v>220</v>
      </c>
      <c r="X5" s="59" t="str">
        <f t="shared" si="3"/>
        <v>Key-INC-5</v>
      </c>
      <c r="Y5" s="30" t="s">
        <v>394</v>
      </c>
      <c r="Z5" s="63" t="s">
        <v>9</v>
      </c>
      <c r="AA5" s="63" t="s">
        <v>401</v>
      </c>
      <c r="AB5" s="63" t="s">
        <v>9</v>
      </c>
      <c r="AC5" s="63" t="s">
        <v>410</v>
      </c>
      <c r="AD5" s="63" t="s">
        <v>9</v>
      </c>
    </row>
    <row r="6" spans="1:30" s="55" customFormat="1" ht="6" customHeight="1" x14ac:dyDescent="0.4">
      <c r="A6" s="60">
        <v>6</v>
      </c>
      <c r="B6" s="1" t="s">
        <v>291</v>
      </c>
      <c r="C6" s="1" t="s">
        <v>373</v>
      </c>
      <c r="D6" s="1" t="s">
        <v>388</v>
      </c>
      <c r="E6" s="1" t="s">
        <v>389</v>
      </c>
      <c r="F6" s="68" t="s">
        <v>411</v>
      </c>
      <c r="G6" s="7" t="s">
        <v>9</v>
      </c>
      <c r="H6" s="7" t="s">
        <v>9</v>
      </c>
      <c r="I6" s="7" t="s">
        <v>9</v>
      </c>
      <c r="J6" s="7" t="s">
        <v>9</v>
      </c>
      <c r="K6" s="7" t="s">
        <v>9</v>
      </c>
      <c r="L6" s="33" t="str">
        <f t="shared" si="0"/>
        <v>De.Materialidade</v>
      </c>
      <c r="M6" s="33" t="str">
        <f t="shared" si="0"/>
        <v>Material.Construtivo</v>
      </c>
      <c r="N6" s="33" t="str">
        <f t="shared" si="1"/>
        <v>Argamassas</v>
      </c>
      <c r="O6" s="33" t="str">
        <f t="shared" si="1"/>
        <v>Argamassa Regular</v>
      </c>
      <c r="P6" s="63" t="s">
        <v>412</v>
      </c>
      <c r="Q6" s="67" t="s">
        <v>413</v>
      </c>
      <c r="R6" s="67" t="s">
        <v>414</v>
      </c>
      <c r="S6" s="69" t="s">
        <v>9</v>
      </c>
      <c r="T6" s="63" t="str">
        <f t="shared" si="2"/>
        <v>De Materialidade</v>
      </c>
      <c r="U6" s="63" t="str">
        <f t="shared" si="2"/>
        <v>Material Construtivo</v>
      </c>
      <c r="V6" s="63" t="str">
        <f t="shared" si="2"/>
        <v>Argamassas</v>
      </c>
      <c r="W6" s="30" t="s">
        <v>220</v>
      </c>
      <c r="X6" s="59" t="str">
        <f t="shared" si="3"/>
        <v>Key-INC-6</v>
      </c>
      <c r="Y6" s="30" t="s">
        <v>394</v>
      </c>
      <c r="Z6" s="63" t="s">
        <v>9</v>
      </c>
      <c r="AA6" s="63" t="s">
        <v>395</v>
      </c>
      <c r="AB6" s="63" t="s">
        <v>9</v>
      </c>
      <c r="AC6" s="63" t="s">
        <v>396</v>
      </c>
      <c r="AD6" s="63" t="s">
        <v>9</v>
      </c>
    </row>
    <row r="7" spans="1:30" s="55" customFormat="1" ht="6" customHeight="1" x14ac:dyDescent="0.4">
      <c r="A7" s="60">
        <v>7</v>
      </c>
      <c r="B7" s="1" t="s">
        <v>291</v>
      </c>
      <c r="C7" s="1" t="s">
        <v>373</v>
      </c>
      <c r="D7" s="1" t="s">
        <v>388</v>
      </c>
      <c r="E7" s="1" t="s">
        <v>415</v>
      </c>
      <c r="F7" s="57" t="s">
        <v>416</v>
      </c>
      <c r="G7" s="61" t="s">
        <v>9</v>
      </c>
      <c r="H7" s="61" t="s">
        <v>9</v>
      </c>
      <c r="I7" s="61" t="s">
        <v>9</v>
      </c>
      <c r="J7" s="61" t="s">
        <v>9</v>
      </c>
      <c r="K7" s="61" t="s">
        <v>9</v>
      </c>
      <c r="L7" s="33" t="str">
        <f t="shared" ref="L7:O22" si="4">SUBSTITUTE(CONCATENATE("", C7), ".", " ")</f>
        <v>De Materialidade</v>
      </c>
      <c r="M7" s="33" t="str">
        <f t="shared" si="4"/>
        <v>Material Construtivo</v>
      </c>
      <c r="N7" s="33" t="str">
        <f t="shared" si="4"/>
        <v>Caixas Metálicas</v>
      </c>
      <c r="O7" s="33" t="str">
        <f t="shared" si="4"/>
        <v>Caixa Metálica de Elétrica</v>
      </c>
      <c r="P7" s="67" t="s">
        <v>417</v>
      </c>
      <c r="Q7" s="67" t="s">
        <v>418</v>
      </c>
      <c r="R7" s="67" t="s">
        <v>419</v>
      </c>
      <c r="S7" s="69" t="s">
        <v>9</v>
      </c>
      <c r="T7" s="30" t="str">
        <f t="shared" si="2"/>
        <v>De Materialidade</v>
      </c>
      <c r="U7" s="30" t="str">
        <f t="shared" si="2"/>
        <v>Material Construtivo</v>
      </c>
      <c r="V7" s="30" t="str">
        <f t="shared" si="2"/>
        <v>Caixas Metálicas</v>
      </c>
      <c r="W7" s="30" t="s">
        <v>220</v>
      </c>
      <c r="X7" s="59" t="str">
        <f t="shared" si="3"/>
        <v>Key-INC-7</v>
      </c>
      <c r="Y7" s="30" t="s">
        <v>420</v>
      </c>
      <c r="Z7" s="64" t="s">
        <v>9</v>
      </c>
      <c r="AA7" s="30" t="s">
        <v>374</v>
      </c>
      <c r="AB7" s="64" t="s">
        <v>9</v>
      </c>
      <c r="AC7" s="30" t="s">
        <v>421</v>
      </c>
      <c r="AD7" s="64" t="s">
        <v>9</v>
      </c>
    </row>
    <row r="8" spans="1:30" s="55" customFormat="1" ht="6" customHeight="1" x14ac:dyDescent="0.4">
      <c r="A8" s="60">
        <v>8</v>
      </c>
      <c r="B8" s="1" t="s">
        <v>291</v>
      </c>
      <c r="C8" s="1" t="s">
        <v>373</v>
      </c>
      <c r="D8" s="1" t="s">
        <v>388</v>
      </c>
      <c r="E8" s="1" t="s">
        <v>415</v>
      </c>
      <c r="F8" s="57" t="s">
        <v>422</v>
      </c>
      <c r="G8" s="61" t="s">
        <v>9</v>
      </c>
      <c r="H8" s="61" t="s">
        <v>9</v>
      </c>
      <c r="I8" s="61" t="s">
        <v>9</v>
      </c>
      <c r="J8" s="61" t="s">
        <v>9</v>
      </c>
      <c r="K8" s="61" t="s">
        <v>9</v>
      </c>
      <c r="L8" s="33" t="str">
        <f t="shared" si="4"/>
        <v>De Materialidade</v>
      </c>
      <c r="M8" s="33" t="str">
        <f t="shared" si="4"/>
        <v>Material Construtivo</v>
      </c>
      <c r="N8" s="33" t="str">
        <f t="shared" si="4"/>
        <v>Caixas Metálicas</v>
      </c>
      <c r="O8" s="33" t="str">
        <f t="shared" si="4"/>
        <v>Caixa Metálica de Telecom</v>
      </c>
      <c r="P8" s="67" t="s">
        <v>423</v>
      </c>
      <c r="Q8" s="67" t="s">
        <v>424</v>
      </c>
      <c r="R8" s="67" t="s">
        <v>425</v>
      </c>
      <c r="S8" s="69" t="s">
        <v>9</v>
      </c>
      <c r="T8" s="30" t="str">
        <f t="shared" si="2"/>
        <v>De Materialidade</v>
      </c>
      <c r="U8" s="30" t="str">
        <f t="shared" si="2"/>
        <v>Material Construtivo</v>
      </c>
      <c r="V8" s="30" t="str">
        <f t="shared" si="2"/>
        <v>Caixas Metálicas</v>
      </c>
      <c r="W8" s="30" t="s">
        <v>220</v>
      </c>
      <c r="X8" s="59" t="str">
        <f t="shared" si="3"/>
        <v>Key-INC-8</v>
      </c>
      <c r="Y8" s="30" t="s">
        <v>420</v>
      </c>
      <c r="Z8" s="64" t="s">
        <v>9</v>
      </c>
      <c r="AA8" s="30" t="s">
        <v>374</v>
      </c>
      <c r="AB8" s="64" t="s">
        <v>9</v>
      </c>
      <c r="AC8" s="30" t="s">
        <v>421</v>
      </c>
      <c r="AD8" s="64" t="s">
        <v>9</v>
      </c>
    </row>
    <row r="9" spans="1:30" s="55" customFormat="1" ht="6" customHeight="1" x14ac:dyDescent="0.4">
      <c r="A9" s="60">
        <v>9</v>
      </c>
      <c r="B9" s="1" t="s">
        <v>291</v>
      </c>
      <c r="C9" s="1" t="s">
        <v>373</v>
      </c>
      <c r="D9" s="1" t="s">
        <v>388</v>
      </c>
      <c r="E9" s="1" t="s">
        <v>426</v>
      </c>
      <c r="F9" s="57" t="s">
        <v>427</v>
      </c>
      <c r="G9" s="61" t="s">
        <v>9</v>
      </c>
      <c r="H9" s="61" t="s">
        <v>9</v>
      </c>
      <c r="I9" s="61" t="s">
        <v>9</v>
      </c>
      <c r="J9" s="61" t="s">
        <v>9</v>
      </c>
      <c r="K9" s="61" t="s">
        <v>9</v>
      </c>
      <c r="L9" s="33" t="str">
        <f t="shared" si="4"/>
        <v>De Materialidade</v>
      </c>
      <c r="M9" s="33" t="str">
        <f t="shared" si="4"/>
        <v>Material Construtivo</v>
      </c>
      <c r="N9" s="33" t="str">
        <f t="shared" si="4"/>
        <v>Caixas Plásticas</v>
      </c>
      <c r="O9" s="33" t="str">
        <f t="shared" si="4"/>
        <v>Caixa PVC de Elétrica</v>
      </c>
      <c r="P9" s="67" t="s">
        <v>428</v>
      </c>
      <c r="Q9" s="67" t="s">
        <v>429</v>
      </c>
      <c r="R9" s="67" t="s">
        <v>430</v>
      </c>
      <c r="S9" s="69" t="s">
        <v>9</v>
      </c>
      <c r="T9" s="30" t="str">
        <f t="shared" si="2"/>
        <v>De Materialidade</v>
      </c>
      <c r="U9" s="30" t="str">
        <f t="shared" si="2"/>
        <v>Material Construtivo</v>
      </c>
      <c r="V9" s="30" t="str">
        <f t="shared" si="2"/>
        <v>Caixas Plásticas</v>
      </c>
      <c r="W9" s="30" t="s">
        <v>220</v>
      </c>
      <c r="X9" s="59" t="str">
        <f t="shared" si="3"/>
        <v>Key-INC-9</v>
      </c>
      <c r="Y9" s="30" t="s">
        <v>420</v>
      </c>
      <c r="Z9" s="64" t="s">
        <v>9</v>
      </c>
      <c r="AA9" s="30" t="s">
        <v>374</v>
      </c>
      <c r="AB9" s="64" t="s">
        <v>9</v>
      </c>
      <c r="AC9" s="30" t="s">
        <v>421</v>
      </c>
      <c r="AD9" s="64" t="s">
        <v>9</v>
      </c>
    </row>
    <row r="10" spans="1:30" s="55" customFormat="1" ht="6" customHeight="1" x14ac:dyDescent="0.4">
      <c r="A10" s="60">
        <v>10</v>
      </c>
      <c r="B10" s="1" t="s">
        <v>291</v>
      </c>
      <c r="C10" s="1" t="s">
        <v>373</v>
      </c>
      <c r="D10" s="1" t="s">
        <v>388</v>
      </c>
      <c r="E10" s="1" t="s">
        <v>426</v>
      </c>
      <c r="F10" s="57" t="s">
        <v>431</v>
      </c>
      <c r="G10" s="61" t="s">
        <v>9</v>
      </c>
      <c r="H10" s="61" t="s">
        <v>9</v>
      </c>
      <c r="I10" s="61" t="s">
        <v>9</v>
      </c>
      <c r="J10" s="61" t="s">
        <v>9</v>
      </c>
      <c r="K10" s="61" t="s">
        <v>9</v>
      </c>
      <c r="L10" s="33" t="str">
        <f t="shared" si="4"/>
        <v>De Materialidade</v>
      </c>
      <c r="M10" s="33" t="str">
        <f t="shared" si="4"/>
        <v>Material Construtivo</v>
      </c>
      <c r="N10" s="33" t="str">
        <f t="shared" si="4"/>
        <v>Caixas Plásticas</v>
      </c>
      <c r="O10" s="33" t="str">
        <f t="shared" si="4"/>
        <v>Caixa PVC de Telecom</v>
      </c>
      <c r="P10" s="67" t="s">
        <v>432</v>
      </c>
      <c r="Q10" s="67" t="s">
        <v>433</v>
      </c>
      <c r="R10" s="67" t="s">
        <v>434</v>
      </c>
      <c r="S10" s="69" t="s">
        <v>9</v>
      </c>
      <c r="T10" s="30" t="str">
        <f t="shared" si="2"/>
        <v>De Materialidade</v>
      </c>
      <c r="U10" s="30" t="str">
        <f t="shared" si="2"/>
        <v>Material Construtivo</v>
      </c>
      <c r="V10" s="30" t="str">
        <f t="shared" si="2"/>
        <v>Caixas Plásticas</v>
      </c>
      <c r="W10" s="30" t="s">
        <v>220</v>
      </c>
      <c r="X10" s="59" t="str">
        <f t="shared" si="3"/>
        <v>Key-INC-10</v>
      </c>
      <c r="Y10" s="30" t="s">
        <v>420</v>
      </c>
      <c r="Z10" s="64" t="s">
        <v>9</v>
      </c>
      <c r="AA10" s="30" t="s">
        <v>374</v>
      </c>
      <c r="AB10" s="64" t="s">
        <v>9</v>
      </c>
      <c r="AC10" s="30" t="s">
        <v>421</v>
      </c>
      <c r="AD10" s="64" t="s">
        <v>9</v>
      </c>
    </row>
    <row r="11" spans="1:30" s="55" customFormat="1" ht="6" customHeight="1" x14ac:dyDescent="0.4">
      <c r="A11" s="60">
        <v>11</v>
      </c>
      <c r="B11" s="1" t="s">
        <v>291</v>
      </c>
      <c r="C11" s="1" t="s">
        <v>373</v>
      </c>
      <c r="D11" s="1" t="s">
        <v>388</v>
      </c>
      <c r="E11" s="1" t="s">
        <v>435</v>
      </c>
      <c r="F11" s="57" t="s">
        <v>436</v>
      </c>
      <c r="G11" s="61" t="s">
        <v>9</v>
      </c>
      <c r="H11" s="61" t="s">
        <v>9</v>
      </c>
      <c r="I11" s="61" t="s">
        <v>9</v>
      </c>
      <c r="J11" s="61" t="s">
        <v>9</v>
      </c>
      <c r="K11" s="61" t="s">
        <v>9</v>
      </c>
      <c r="L11" s="33" t="str">
        <f t="shared" si="4"/>
        <v>De Materialidade</v>
      </c>
      <c r="M11" s="33" t="str">
        <f t="shared" si="4"/>
        <v>Material Construtivo</v>
      </c>
      <c r="N11" s="33" t="str">
        <f t="shared" si="4"/>
        <v>Calhas Metálicas</v>
      </c>
      <c r="O11" s="33" t="str">
        <f t="shared" si="4"/>
        <v>Calha de Elétrica</v>
      </c>
      <c r="P11" s="67" t="s">
        <v>437</v>
      </c>
      <c r="Q11" s="67" t="s">
        <v>438</v>
      </c>
      <c r="R11" s="67" t="s">
        <v>439</v>
      </c>
      <c r="S11" s="69" t="s">
        <v>9</v>
      </c>
      <c r="T11" s="30" t="str">
        <f t="shared" si="2"/>
        <v>De Materialidade</v>
      </c>
      <c r="U11" s="30" t="str">
        <f t="shared" si="2"/>
        <v>Material Construtivo</v>
      </c>
      <c r="V11" s="30" t="str">
        <f t="shared" si="2"/>
        <v>Calhas Metálicas</v>
      </c>
      <c r="W11" s="30" t="s">
        <v>220</v>
      </c>
      <c r="X11" s="59" t="str">
        <f t="shared" si="3"/>
        <v>Key-INC-11</v>
      </c>
      <c r="Y11" s="30" t="s">
        <v>420</v>
      </c>
      <c r="Z11" s="64" t="s">
        <v>9</v>
      </c>
      <c r="AA11" s="30" t="s">
        <v>374</v>
      </c>
      <c r="AB11" s="64" t="s">
        <v>9</v>
      </c>
      <c r="AC11" s="30" t="s">
        <v>421</v>
      </c>
      <c r="AD11" s="64" t="s">
        <v>9</v>
      </c>
    </row>
    <row r="12" spans="1:30" s="55" customFormat="1" ht="6" customHeight="1" x14ac:dyDescent="0.4">
      <c r="A12" s="60">
        <v>12</v>
      </c>
      <c r="B12" s="1" t="s">
        <v>291</v>
      </c>
      <c r="C12" s="1" t="s">
        <v>373</v>
      </c>
      <c r="D12" s="1" t="s">
        <v>388</v>
      </c>
      <c r="E12" s="1" t="s">
        <v>435</v>
      </c>
      <c r="F12" s="57" t="s">
        <v>440</v>
      </c>
      <c r="G12" s="61" t="s">
        <v>9</v>
      </c>
      <c r="H12" s="61" t="s">
        <v>9</v>
      </c>
      <c r="I12" s="61" t="s">
        <v>9</v>
      </c>
      <c r="J12" s="61" t="s">
        <v>9</v>
      </c>
      <c r="K12" s="61" t="s">
        <v>9</v>
      </c>
      <c r="L12" s="33" t="str">
        <f t="shared" si="4"/>
        <v>De Materialidade</v>
      </c>
      <c r="M12" s="33" t="str">
        <f t="shared" si="4"/>
        <v>Material Construtivo</v>
      </c>
      <c r="N12" s="33" t="str">
        <f t="shared" si="4"/>
        <v>Calhas Metálicas</v>
      </c>
      <c r="O12" s="33" t="str">
        <f t="shared" si="4"/>
        <v>Calha de Telecom</v>
      </c>
      <c r="P12" s="67" t="s">
        <v>441</v>
      </c>
      <c r="Q12" s="67" t="s">
        <v>442</v>
      </c>
      <c r="R12" s="67" t="s">
        <v>443</v>
      </c>
      <c r="S12" s="69" t="s">
        <v>9</v>
      </c>
      <c r="T12" s="30" t="str">
        <f t="shared" si="2"/>
        <v>De Materialidade</v>
      </c>
      <c r="U12" s="30" t="str">
        <f t="shared" si="2"/>
        <v>Material Construtivo</v>
      </c>
      <c r="V12" s="30" t="str">
        <f t="shared" si="2"/>
        <v>Calhas Metálicas</v>
      </c>
      <c r="W12" s="30" t="s">
        <v>220</v>
      </c>
      <c r="X12" s="59" t="str">
        <f t="shared" si="3"/>
        <v>Key-INC-12</v>
      </c>
      <c r="Y12" s="30" t="s">
        <v>420</v>
      </c>
      <c r="Z12" s="64" t="s">
        <v>9</v>
      </c>
      <c r="AA12" s="30" t="s">
        <v>374</v>
      </c>
      <c r="AB12" s="64" t="s">
        <v>9</v>
      </c>
      <c r="AC12" s="30" t="s">
        <v>421</v>
      </c>
      <c r="AD12" s="64" t="s">
        <v>9</v>
      </c>
    </row>
    <row r="13" spans="1:30" s="55" customFormat="1" ht="6" customHeight="1" x14ac:dyDescent="0.4">
      <c r="A13" s="60">
        <v>13</v>
      </c>
      <c r="B13" s="1" t="s">
        <v>291</v>
      </c>
      <c r="C13" s="1" t="s">
        <v>373</v>
      </c>
      <c r="D13" s="1" t="s">
        <v>388</v>
      </c>
      <c r="E13" s="1" t="s">
        <v>435</v>
      </c>
      <c r="F13" s="57" t="s">
        <v>444</v>
      </c>
      <c r="G13" s="61" t="s">
        <v>9</v>
      </c>
      <c r="H13" s="61" t="s">
        <v>9</v>
      </c>
      <c r="I13" s="61" t="s">
        <v>9</v>
      </c>
      <c r="J13" s="61" t="s">
        <v>9</v>
      </c>
      <c r="K13" s="61" t="s">
        <v>9</v>
      </c>
      <c r="L13" s="33" t="str">
        <f t="shared" si="4"/>
        <v>De Materialidade</v>
      </c>
      <c r="M13" s="33" t="str">
        <f t="shared" si="4"/>
        <v>Material Construtivo</v>
      </c>
      <c r="N13" s="33" t="str">
        <f t="shared" si="4"/>
        <v>Calhas Metálicas</v>
      </c>
      <c r="O13" s="33" t="str">
        <f t="shared" si="4"/>
        <v>Calha Leito de Elétrica</v>
      </c>
      <c r="P13" s="67" t="s">
        <v>445</v>
      </c>
      <c r="Q13" s="67" t="s">
        <v>446</v>
      </c>
      <c r="R13" s="67" t="s">
        <v>447</v>
      </c>
      <c r="S13" s="69" t="s">
        <v>9</v>
      </c>
      <c r="T13" s="30" t="str">
        <f t="shared" si="2"/>
        <v>De Materialidade</v>
      </c>
      <c r="U13" s="30" t="str">
        <f t="shared" si="2"/>
        <v>Material Construtivo</v>
      </c>
      <c r="V13" s="30" t="str">
        <f t="shared" si="2"/>
        <v>Calhas Metálicas</v>
      </c>
      <c r="W13" s="30" t="s">
        <v>220</v>
      </c>
      <c r="X13" s="59" t="str">
        <f t="shared" si="3"/>
        <v>Key-INC-13</v>
      </c>
      <c r="Y13" s="30" t="s">
        <v>420</v>
      </c>
      <c r="Z13" s="64" t="s">
        <v>9</v>
      </c>
      <c r="AA13" s="30" t="s">
        <v>374</v>
      </c>
      <c r="AB13" s="64" t="s">
        <v>9</v>
      </c>
      <c r="AC13" s="30" t="s">
        <v>421</v>
      </c>
      <c r="AD13" s="64" t="s">
        <v>9</v>
      </c>
    </row>
    <row r="14" spans="1:30" s="55" customFormat="1" ht="6" customHeight="1" x14ac:dyDescent="0.4">
      <c r="A14" s="60">
        <v>14</v>
      </c>
      <c r="B14" s="1" t="s">
        <v>291</v>
      </c>
      <c r="C14" s="1" t="s">
        <v>373</v>
      </c>
      <c r="D14" s="1" t="s">
        <v>388</v>
      </c>
      <c r="E14" s="1" t="s">
        <v>435</v>
      </c>
      <c r="F14" s="57" t="s">
        <v>448</v>
      </c>
      <c r="G14" s="61" t="s">
        <v>9</v>
      </c>
      <c r="H14" s="61" t="s">
        <v>9</v>
      </c>
      <c r="I14" s="61" t="s">
        <v>9</v>
      </c>
      <c r="J14" s="61" t="s">
        <v>9</v>
      </c>
      <c r="K14" s="61" t="s">
        <v>9</v>
      </c>
      <c r="L14" s="33" t="str">
        <f t="shared" si="4"/>
        <v>De Materialidade</v>
      </c>
      <c r="M14" s="33" t="str">
        <f t="shared" si="4"/>
        <v>Material Construtivo</v>
      </c>
      <c r="N14" s="33" t="str">
        <f t="shared" si="4"/>
        <v>Calhas Metálicas</v>
      </c>
      <c r="O14" s="33" t="str">
        <f t="shared" si="4"/>
        <v>Calha Leito de Telecom</v>
      </c>
      <c r="P14" s="67" t="s">
        <v>449</v>
      </c>
      <c r="Q14" s="67" t="s">
        <v>450</v>
      </c>
      <c r="R14" s="67" t="s">
        <v>451</v>
      </c>
      <c r="S14" s="69" t="s">
        <v>9</v>
      </c>
      <c r="T14" s="30" t="str">
        <f t="shared" si="2"/>
        <v>De Materialidade</v>
      </c>
      <c r="U14" s="30" t="str">
        <f t="shared" si="2"/>
        <v>Material Construtivo</v>
      </c>
      <c r="V14" s="30" t="str">
        <f t="shared" si="2"/>
        <v>Calhas Metálicas</v>
      </c>
      <c r="W14" s="30" t="s">
        <v>220</v>
      </c>
      <c r="X14" s="59" t="str">
        <f t="shared" si="3"/>
        <v>Key-INC-14</v>
      </c>
      <c r="Y14" s="30" t="s">
        <v>420</v>
      </c>
      <c r="Z14" s="64" t="s">
        <v>9</v>
      </c>
      <c r="AA14" s="30" t="s">
        <v>374</v>
      </c>
      <c r="AB14" s="64" t="s">
        <v>9</v>
      </c>
      <c r="AC14" s="30" t="s">
        <v>421</v>
      </c>
      <c r="AD14" s="64" t="s">
        <v>9</v>
      </c>
    </row>
    <row r="15" spans="1:30" s="55" customFormat="1" ht="6" customHeight="1" x14ac:dyDescent="0.4">
      <c r="A15" s="60">
        <v>15</v>
      </c>
      <c r="B15" s="1" t="s">
        <v>291</v>
      </c>
      <c r="C15" s="1" t="s">
        <v>373</v>
      </c>
      <c r="D15" s="1" t="s">
        <v>388</v>
      </c>
      <c r="E15" s="1" t="s">
        <v>452</v>
      </c>
      <c r="F15" s="57" t="s">
        <v>453</v>
      </c>
      <c r="G15" s="61" t="s">
        <v>9</v>
      </c>
      <c r="H15" s="61" t="s">
        <v>9</v>
      </c>
      <c r="I15" s="61" t="s">
        <v>9</v>
      </c>
      <c r="J15" s="61" t="s">
        <v>9</v>
      </c>
      <c r="K15" s="61" t="s">
        <v>9</v>
      </c>
      <c r="L15" s="33" t="str">
        <f t="shared" si="4"/>
        <v>De Materialidade</v>
      </c>
      <c r="M15" s="33" t="str">
        <f t="shared" si="4"/>
        <v>Material Construtivo</v>
      </c>
      <c r="N15" s="33" t="str">
        <f t="shared" si="4"/>
        <v>Calhas Plásticas</v>
      </c>
      <c r="O15" s="33" t="str">
        <f t="shared" si="4"/>
        <v>Canaleta de Elétrica</v>
      </c>
      <c r="P15" s="67" t="s">
        <v>454</v>
      </c>
      <c r="Q15" s="67" t="s">
        <v>455</v>
      </c>
      <c r="R15" s="67" t="s">
        <v>456</v>
      </c>
      <c r="S15" s="69" t="s">
        <v>9</v>
      </c>
      <c r="T15" s="30" t="str">
        <f t="shared" si="2"/>
        <v>De Materialidade</v>
      </c>
      <c r="U15" s="30" t="str">
        <f t="shared" si="2"/>
        <v>Material Construtivo</v>
      </c>
      <c r="V15" s="30" t="str">
        <f t="shared" si="2"/>
        <v>Calhas Plásticas</v>
      </c>
      <c r="W15" s="30" t="s">
        <v>220</v>
      </c>
      <c r="X15" s="59" t="str">
        <f t="shared" si="3"/>
        <v>Key-INC-15</v>
      </c>
      <c r="Y15" s="30" t="s">
        <v>420</v>
      </c>
      <c r="Z15" s="64" t="s">
        <v>9</v>
      </c>
      <c r="AA15" s="30" t="s">
        <v>374</v>
      </c>
      <c r="AB15" s="64" t="s">
        <v>9</v>
      </c>
      <c r="AC15" s="30" t="s">
        <v>421</v>
      </c>
      <c r="AD15" s="64" t="s">
        <v>9</v>
      </c>
    </row>
    <row r="16" spans="1:30" s="55" customFormat="1" ht="6" customHeight="1" x14ac:dyDescent="0.4">
      <c r="A16" s="60">
        <v>16</v>
      </c>
      <c r="B16" s="1" t="s">
        <v>291</v>
      </c>
      <c r="C16" s="1" t="s">
        <v>373</v>
      </c>
      <c r="D16" s="1" t="s">
        <v>388</v>
      </c>
      <c r="E16" s="1" t="s">
        <v>452</v>
      </c>
      <c r="F16" s="57" t="s">
        <v>457</v>
      </c>
      <c r="G16" s="61" t="s">
        <v>9</v>
      </c>
      <c r="H16" s="61" t="s">
        <v>9</v>
      </c>
      <c r="I16" s="61" t="s">
        <v>9</v>
      </c>
      <c r="J16" s="61" t="s">
        <v>9</v>
      </c>
      <c r="K16" s="61" t="s">
        <v>9</v>
      </c>
      <c r="L16" s="33" t="str">
        <f t="shared" si="4"/>
        <v>De Materialidade</v>
      </c>
      <c r="M16" s="33" t="str">
        <f t="shared" si="4"/>
        <v>Material Construtivo</v>
      </c>
      <c r="N16" s="33" t="str">
        <f t="shared" si="4"/>
        <v>Calhas Plásticas</v>
      </c>
      <c r="O16" s="33" t="str">
        <f t="shared" si="4"/>
        <v>Canaleta de Telecom</v>
      </c>
      <c r="P16" s="67" t="s">
        <v>458</v>
      </c>
      <c r="Q16" s="67" t="s">
        <v>459</v>
      </c>
      <c r="R16" s="67" t="s">
        <v>460</v>
      </c>
      <c r="S16" s="69" t="s">
        <v>9</v>
      </c>
      <c r="T16" s="30" t="str">
        <f t="shared" si="2"/>
        <v>De Materialidade</v>
      </c>
      <c r="U16" s="30" t="str">
        <f t="shared" si="2"/>
        <v>Material Construtivo</v>
      </c>
      <c r="V16" s="30" t="str">
        <f t="shared" si="2"/>
        <v>Calhas Plásticas</v>
      </c>
      <c r="W16" s="30" t="s">
        <v>220</v>
      </c>
      <c r="X16" s="59" t="str">
        <f t="shared" si="3"/>
        <v>Key-INC-16</v>
      </c>
      <c r="Y16" s="30" t="s">
        <v>420</v>
      </c>
      <c r="Z16" s="64" t="s">
        <v>9</v>
      </c>
      <c r="AA16" s="30" t="s">
        <v>374</v>
      </c>
      <c r="AB16" s="64" t="s">
        <v>9</v>
      </c>
      <c r="AC16" s="30" t="s">
        <v>421</v>
      </c>
      <c r="AD16" s="64" t="s">
        <v>9</v>
      </c>
    </row>
    <row r="17" spans="1:30" s="55" customFormat="1" ht="6" customHeight="1" x14ac:dyDescent="0.4">
      <c r="A17" s="60">
        <v>17</v>
      </c>
      <c r="B17" s="1" t="s">
        <v>291</v>
      </c>
      <c r="C17" s="1" t="s">
        <v>373</v>
      </c>
      <c r="D17" s="1" t="s">
        <v>388</v>
      </c>
      <c r="E17" s="1" t="s">
        <v>461</v>
      </c>
      <c r="F17" s="57" t="s">
        <v>462</v>
      </c>
      <c r="G17" s="61" t="s">
        <v>9</v>
      </c>
      <c r="H17" s="61" t="s">
        <v>9</v>
      </c>
      <c r="I17" s="61" t="s">
        <v>9</v>
      </c>
      <c r="J17" s="61" t="s">
        <v>9</v>
      </c>
      <c r="K17" s="61" t="s">
        <v>9</v>
      </c>
      <c r="L17" s="33" t="str">
        <f t="shared" si="4"/>
        <v>De Materialidade</v>
      </c>
      <c r="M17" s="33" t="str">
        <f t="shared" si="4"/>
        <v>Material Construtivo</v>
      </c>
      <c r="N17" s="33" t="str">
        <f t="shared" si="4"/>
        <v>Conduítes Flex</v>
      </c>
      <c r="O17" s="33" t="str">
        <f t="shared" si="4"/>
        <v>Conduíte Flexível de Elétrica</v>
      </c>
      <c r="P17" s="67" t="s">
        <v>463</v>
      </c>
      <c r="Q17" s="67" t="s">
        <v>464</v>
      </c>
      <c r="R17" s="67" t="s">
        <v>465</v>
      </c>
      <c r="S17" s="69" t="s">
        <v>9</v>
      </c>
      <c r="T17" s="30" t="str">
        <f t="shared" si="2"/>
        <v>De Materialidade</v>
      </c>
      <c r="U17" s="30" t="str">
        <f t="shared" si="2"/>
        <v>Material Construtivo</v>
      </c>
      <c r="V17" s="30" t="str">
        <f t="shared" si="2"/>
        <v>Conduítes Flex</v>
      </c>
      <c r="W17" s="30" t="s">
        <v>220</v>
      </c>
      <c r="X17" s="59" t="str">
        <f t="shared" si="3"/>
        <v>Key-INC-17</v>
      </c>
      <c r="Y17" s="30" t="s">
        <v>420</v>
      </c>
      <c r="Z17" s="64" t="s">
        <v>9</v>
      </c>
      <c r="AA17" s="30" t="s">
        <v>374</v>
      </c>
      <c r="AB17" s="64" t="s">
        <v>9</v>
      </c>
      <c r="AC17" s="30" t="s">
        <v>421</v>
      </c>
      <c r="AD17" s="64" t="s">
        <v>9</v>
      </c>
    </row>
    <row r="18" spans="1:30" s="55" customFormat="1" ht="6" customHeight="1" x14ac:dyDescent="0.4">
      <c r="A18" s="60">
        <v>18</v>
      </c>
      <c r="B18" s="1" t="s">
        <v>291</v>
      </c>
      <c r="C18" s="1" t="s">
        <v>373</v>
      </c>
      <c r="D18" s="1" t="s">
        <v>388</v>
      </c>
      <c r="E18" s="1" t="s">
        <v>461</v>
      </c>
      <c r="F18" s="57" t="s">
        <v>466</v>
      </c>
      <c r="G18" s="61" t="s">
        <v>9</v>
      </c>
      <c r="H18" s="61" t="s">
        <v>9</v>
      </c>
      <c r="I18" s="61" t="s">
        <v>9</v>
      </c>
      <c r="J18" s="61" t="s">
        <v>9</v>
      </c>
      <c r="K18" s="61" t="s">
        <v>9</v>
      </c>
      <c r="L18" s="33" t="str">
        <f t="shared" si="4"/>
        <v>De Materialidade</v>
      </c>
      <c r="M18" s="33" t="str">
        <f t="shared" si="4"/>
        <v>Material Construtivo</v>
      </c>
      <c r="N18" s="33" t="str">
        <f t="shared" si="4"/>
        <v>Conduítes Flex</v>
      </c>
      <c r="O18" s="33" t="str">
        <f t="shared" si="4"/>
        <v>Conduíte Flexível de Telecom</v>
      </c>
      <c r="P18" s="67" t="s">
        <v>467</v>
      </c>
      <c r="Q18" s="67" t="s">
        <v>468</v>
      </c>
      <c r="R18" s="67" t="s">
        <v>469</v>
      </c>
      <c r="S18" s="69" t="s">
        <v>9</v>
      </c>
      <c r="T18" s="30" t="str">
        <f t="shared" ref="T18:V49" si="5">SUBSTITUTE(C18, ".", " ")</f>
        <v>De Materialidade</v>
      </c>
      <c r="U18" s="30" t="str">
        <f t="shared" si="5"/>
        <v>Material Construtivo</v>
      </c>
      <c r="V18" s="30" t="str">
        <f t="shared" si="5"/>
        <v>Conduítes Flex</v>
      </c>
      <c r="W18" s="30" t="s">
        <v>220</v>
      </c>
      <c r="X18" s="59" t="str">
        <f t="shared" si="3"/>
        <v>Key-INC-18</v>
      </c>
      <c r="Y18" s="30" t="s">
        <v>420</v>
      </c>
      <c r="Z18" s="64" t="s">
        <v>9</v>
      </c>
      <c r="AA18" s="30" t="s">
        <v>374</v>
      </c>
      <c r="AB18" s="64" t="s">
        <v>9</v>
      </c>
      <c r="AC18" s="30" t="s">
        <v>421</v>
      </c>
      <c r="AD18" s="64" t="s">
        <v>9</v>
      </c>
    </row>
    <row r="19" spans="1:30" s="55" customFormat="1" ht="6" customHeight="1" x14ac:dyDescent="0.4">
      <c r="A19" s="60">
        <v>19</v>
      </c>
      <c r="B19" s="1" t="s">
        <v>291</v>
      </c>
      <c r="C19" s="1" t="s">
        <v>373</v>
      </c>
      <c r="D19" s="1" t="s">
        <v>388</v>
      </c>
      <c r="E19" s="1" t="s">
        <v>470</v>
      </c>
      <c r="F19" s="57" t="s">
        <v>471</v>
      </c>
      <c r="G19" s="61" t="s">
        <v>9</v>
      </c>
      <c r="H19" s="61" t="s">
        <v>9</v>
      </c>
      <c r="I19" s="61" t="s">
        <v>9</v>
      </c>
      <c r="J19" s="61" t="s">
        <v>9</v>
      </c>
      <c r="K19" s="61" t="s">
        <v>9</v>
      </c>
      <c r="L19" s="33" t="str">
        <f t="shared" si="4"/>
        <v>De Materialidade</v>
      </c>
      <c r="M19" s="33" t="str">
        <f t="shared" si="4"/>
        <v>Material Construtivo</v>
      </c>
      <c r="N19" s="33" t="str">
        <f t="shared" si="4"/>
        <v>Conduítes Rígidos</v>
      </c>
      <c r="O19" s="33" t="str">
        <f t="shared" si="4"/>
        <v>Conduíte Rígido de Elétrica</v>
      </c>
      <c r="P19" s="67" t="s">
        <v>472</v>
      </c>
      <c r="Q19" s="67" t="s">
        <v>473</v>
      </c>
      <c r="R19" s="67" t="s">
        <v>474</v>
      </c>
      <c r="S19" s="69" t="s">
        <v>9</v>
      </c>
      <c r="T19" s="30" t="str">
        <f t="shared" si="5"/>
        <v>De Materialidade</v>
      </c>
      <c r="U19" s="30" t="str">
        <f t="shared" si="5"/>
        <v>Material Construtivo</v>
      </c>
      <c r="V19" s="30" t="str">
        <f t="shared" si="5"/>
        <v>Conduítes Rígidos</v>
      </c>
      <c r="W19" s="30" t="s">
        <v>220</v>
      </c>
      <c r="X19" s="59" t="str">
        <f t="shared" si="3"/>
        <v>Key-INC-19</v>
      </c>
      <c r="Y19" s="30" t="s">
        <v>420</v>
      </c>
      <c r="Z19" s="64" t="s">
        <v>9</v>
      </c>
      <c r="AA19" s="30" t="s">
        <v>374</v>
      </c>
      <c r="AB19" s="64" t="s">
        <v>9</v>
      </c>
      <c r="AC19" s="30" t="s">
        <v>421</v>
      </c>
      <c r="AD19" s="64" t="s">
        <v>9</v>
      </c>
    </row>
    <row r="20" spans="1:30" s="55" customFormat="1" ht="6" customHeight="1" x14ac:dyDescent="0.4">
      <c r="A20" s="60">
        <v>20</v>
      </c>
      <c r="B20" s="1" t="s">
        <v>291</v>
      </c>
      <c r="C20" s="1" t="s">
        <v>373</v>
      </c>
      <c r="D20" s="1" t="s">
        <v>388</v>
      </c>
      <c r="E20" s="1" t="s">
        <v>470</v>
      </c>
      <c r="F20" s="57" t="s">
        <v>475</v>
      </c>
      <c r="G20" s="61" t="s">
        <v>9</v>
      </c>
      <c r="H20" s="61" t="s">
        <v>9</v>
      </c>
      <c r="I20" s="61" t="s">
        <v>9</v>
      </c>
      <c r="J20" s="61" t="s">
        <v>9</v>
      </c>
      <c r="K20" s="61" t="s">
        <v>9</v>
      </c>
      <c r="L20" s="33" t="str">
        <f t="shared" si="4"/>
        <v>De Materialidade</v>
      </c>
      <c r="M20" s="33" t="str">
        <f t="shared" si="4"/>
        <v>Material Construtivo</v>
      </c>
      <c r="N20" s="33" t="str">
        <f t="shared" si="4"/>
        <v>Conduítes Rígidos</v>
      </c>
      <c r="O20" s="33" t="str">
        <f t="shared" si="4"/>
        <v>Conduíte Rígido de Telecom</v>
      </c>
      <c r="P20" s="67" t="s">
        <v>476</v>
      </c>
      <c r="Q20" s="67" t="s">
        <v>477</v>
      </c>
      <c r="R20" s="67" t="s">
        <v>478</v>
      </c>
      <c r="S20" s="69" t="s">
        <v>9</v>
      </c>
      <c r="T20" s="30" t="str">
        <f t="shared" si="5"/>
        <v>De Materialidade</v>
      </c>
      <c r="U20" s="30" t="str">
        <f t="shared" si="5"/>
        <v>Material Construtivo</v>
      </c>
      <c r="V20" s="30" t="str">
        <f t="shared" si="5"/>
        <v>Conduítes Rígidos</v>
      </c>
      <c r="W20" s="30" t="s">
        <v>220</v>
      </c>
      <c r="X20" s="59" t="str">
        <f t="shared" si="3"/>
        <v>Key-INC-20</v>
      </c>
      <c r="Y20" s="30" t="s">
        <v>420</v>
      </c>
      <c r="Z20" s="64" t="s">
        <v>9</v>
      </c>
      <c r="AA20" s="30" t="s">
        <v>374</v>
      </c>
      <c r="AB20" s="64" t="s">
        <v>9</v>
      </c>
      <c r="AC20" s="30" t="s">
        <v>421</v>
      </c>
      <c r="AD20" s="64" t="s">
        <v>9</v>
      </c>
    </row>
    <row r="21" spans="1:30" s="55" customFormat="1" ht="6" customHeight="1" x14ac:dyDescent="0.4">
      <c r="A21" s="60">
        <v>21</v>
      </c>
      <c r="B21" s="1" t="s">
        <v>291</v>
      </c>
      <c r="C21" s="1" t="s">
        <v>373</v>
      </c>
      <c r="D21" s="1" t="s">
        <v>388</v>
      </c>
      <c r="E21" s="1" t="s">
        <v>479</v>
      </c>
      <c r="F21" s="57" t="s">
        <v>480</v>
      </c>
      <c r="G21" s="61" t="s">
        <v>9</v>
      </c>
      <c r="H21" s="61" t="s">
        <v>9</v>
      </c>
      <c r="I21" s="61" t="s">
        <v>9</v>
      </c>
      <c r="J21" s="61" t="s">
        <v>9</v>
      </c>
      <c r="K21" s="61" t="s">
        <v>9</v>
      </c>
      <c r="L21" s="33" t="str">
        <f t="shared" si="4"/>
        <v>De Materialidade</v>
      </c>
      <c r="M21" s="33" t="str">
        <f t="shared" si="4"/>
        <v>Material Construtivo</v>
      </c>
      <c r="N21" s="33" t="str">
        <f t="shared" si="4"/>
        <v>Fiações Metálicas</v>
      </c>
      <c r="O21" s="33" t="str">
        <f t="shared" si="4"/>
        <v>Fiação de Elétrica</v>
      </c>
      <c r="P21" s="67" t="s">
        <v>481</v>
      </c>
      <c r="Q21" s="67" t="s">
        <v>482</v>
      </c>
      <c r="R21" s="67" t="s">
        <v>483</v>
      </c>
      <c r="S21" s="69" t="s">
        <v>9</v>
      </c>
      <c r="T21" s="30" t="str">
        <f t="shared" si="5"/>
        <v>De Materialidade</v>
      </c>
      <c r="U21" s="30" t="str">
        <f t="shared" si="5"/>
        <v>Material Construtivo</v>
      </c>
      <c r="V21" s="30" t="str">
        <f t="shared" si="5"/>
        <v>Fiações Metálicas</v>
      </c>
      <c r="W21" s="30" t="s">
        <v>220</v>
      </c>
      <c r="X21" s="59" t="str">
        <f t="shared" si="3"/>
        <v>Key-INC-21</v>
      </c>
      <c r="Y21" s="30" t="s">
        <v>420</v>
      </c>
      <c r="Z21" s="64" t="s">
        <v>9</v>
      </c>
      <c r="AA21" s="30" t="s">
        <v>374</v>
      </c>
      <c r="AB21" s="64" t="s">
        <v>9</v>
      </c>
      <c r="AC21" s="30" t="s">
        <v>421</v>
      </c>
      <c r="AD21" s="64" t="s">
        <v>9</v>
      </c>
    </row>
    <row r="22" spans="1:30" s="55" customFormat="1" ht="6" customHeight="1" x14ac:dyDescent="0.4">
      <c r="A22" s="60">
        <v>22</v>
      </c>
      <c r="B22" s="1" t="s">
        <v>291</v>
      </c>
      <c r="C22" s="1" t="s">
        <v>373</v>
      </c>
      <c r="D22" s="1" t="s">
        <v>388</v>
      </c>
      <c r="E22" s="1" t="s">
        <v>479</v>
      </c>
      <c r="F22" s="57" t="s">
        <v>484</v>
      </c>
      <c r="G22" s="61" t="s">
        <v>9</v>
      </c>
      <c r="H22" s="61" t="s">
        <v>9</v>
      </c>
      <c r="I22" s="61" t="s">
        <v>9</v>
      </c>
      <c r="J22" s="61" t="s">
        <v>9</v>
      </c>
      <c r="K22" s="61" t="s">
        <v>9</v>
      </c>
      <c r="L22" s="33" t="str">
        <f t="shared" si="4"/>
        <v>De Materialidade</v>
      </c>
      <c r="M22" s="33" t="str">
        <f t="shared" si="4"/>
        <v>Material Construtivo</v>
      </c>
      <c r="N22" s="33" t="str">
        <f t="shared" si="4"/>
        <v>Fiações Metálicas</v>
      </c>
      <c r="O22" s="33" t="str">
        <f t="shared" si="4"/>
        <v>Fiação de Telecom</v>
      </c>
      <c r="P22" s="67" t="s">
        <v>485</v>
      </c>
      <c r="Q22" s="67" t="s">
        <v>486</v>
      </c>
      <c r="R22" s="67" t="s">
        <v>487</v>
      </c>
      <c r="S22" s="69" t="s">
        <v>9</v>
      </c>
      <c r="T22" s="30" t="str">
        <f t="shared" si="5"/>
        <v>De Materialidade</v>
      </c>
      <c r="U22" s="30" t="str">
        <f t="shared" si="5"/>
        <v>Material Construtivo</v>
      </c>
      <c r="V22" s="30" t="str">
        <f t="shared" si="5"/>
        <v>Fiações Metálicas</v>
      </c>
      <c r="W22" s="30" t="s">
        <v>220</v>
      </c>
      <c r="X22" s="59" t="str">
        <f t="shared" si="3"/>
        <v>Key-INC-22</v>
      </c>
      <c r="Y22" s="30" t="s">
        <v>420</v>
      </c>
      <c r="Z22" s="64" t="s">
        <v>9</v>
      </c>
      <c r="AA22" s="30" t="s">
        <v>374</v>
      </c>
      <c r="AB22" s="64" t="s">
        <v>9</v>
      </c>
      <c r="AC22" s="30" t="s">
        <v>421</v>
      </c>
      <c r="AD22" s="64" t="s">
        <v>9</v>
      </c>
    </row>
    <row r="23" spans="1:30" s="55" customFormat="1" ht="6" customHeight="1" x14ac:dyDescent="0.4">
      <c r="A23" s="60">
        <v>23</v>
      </c>
      <c r="B23" s="1" t="s">
        <v>291</v>
      </c>
      <c r="C23" s="1" t="s">
        <v>373</v>
      </c>
      <c r="D23" s="1" t="s">
        <v>388</v>
      </c>
      <c r="E23" s="1" t="s">
        <v>488</v>
      </c>
      <c r="F23" s="66" t="s">
        <v>489</v>
      </c>
      <c r="G23" s="61" t="s">
        <v>9</v>
      </c>
      <c r="H23" s="61" t="s">
        <v>9</v>
      </c>
      <c r="I23" s="61" t="s">
        <v>9</v>
      </c>
      <c r="J23" s="61" t="s">
        <v>9</v>
      </c>
      <c r="K23" s="61" t="s">
        <v>9</v>
      </c>
      <c r="L23" s="67" t="str">
        <f>_xlfn.CONCAT(SUBSTITUTE(C23,"1.",""))</f>
        <v>De.Materialidade</v>
      </c>
      <c r="M23" s="67" t="str">
        <f t="shared" ref="M23:O24" si="6">_xlfn.CONCAT(SUBSTITUTE(D23,"."," "))</f>
        <v>Material Construtivo</v>
      </c>
      <c r="N23" s="67" t="str">
        <f t="shared" si="6"/>
        <v>Ligas Estruturais</v>
      </c>
      <c r="O23" s="67" t="str">
        <f t="shared" si="6"/>
        <v>Aço Estrutural</v>
      </c>
      <c r="P23" s="67" t="s">
        <v>490</v>
      </c>
      <c r="Q23" s="67" t="s">
        <v>491</v>
      </c>
      <c r="R23" s="67" t="s">
        <v>492</v>
      </c>
      <c r="S23" s="69" t="s">
        <v>9</v>
      </c>
      <c r="T23" s="30" t="str">
        <f t="shared" si="5"/>
        <v>De Materialidade</v>
      </c>
      <c r="U23" s="30" t="str">
        <f t="shared" si="5"/>
        <v>Material Construtivo</v>
      </c>
      <c r="V23" s="30" t="str">
        <f t="shared" si="5"/>
        <v>Ligas Estruturais</v>
      </c>
      <c r="W23" s="30" t="s">
        <v>220</v>
      </c>
      <c r="X23" s="59" t="str">
        <f t="shared" si="3"/>
        <v>Key-INC-23</v>
      </c>
      <c r="Y23" s="30" t="s">
        <v>493</v>
      </c>
      <c r="Z23" s="64" t="s">
        <v>9</v>
      </c>
      <c r="AA23" s="30" t="s">
        <v>494</v>
      </c>
      <c r="AB23" s="64" t="s">
        <v>9</v>
      </c>
      <c r="AC23" s="30" t="s">
        <v>9</v>
      </c>
      <c r="AD23" s="30" t="s">
        <v>9</v>
      </c>
    </row>
    <row r="24" spans="1:30" s="55" customFormat="1" ht="6" customHeight="1" x14ac:dyDescent="0.4">
      <c r="A24" s="60">
        <v>24</v>
      </c>
      <c r="B24" s="1" t="s">
        <v>291</v>
      </c>
      <c r="C24" s="1" t="s">
        <v>373</v>
      </c>
      <c r="D24" s="1" t="s">
        <v>388</v>
      </c>
      <c r="E24" s="1" t="s">
        <v>488</v>
      </c>
      <c r="F24" s="66" t="s">
        <v>495</v>
      </c>
      <c r="G24" s="61" t="s">
        <v>9</v>
      </c>
      <c r="H24" s="61" t="s">
        <v>9</v>
      </c>
      <c r="I24" s="61" t="s">
        <v>9</v>
      </c>
      <c r="J24" s="61" t="s">
        <v>9</v>
      </c>
      <c r="K24" s="61" t="s">
        <v>9</v>
      </c>
      <c r="L24" s="67" t="str">
        <f>_xlfn.CONCAT(SUBSTITUTE(C24,"1.",""))</f>
        <v>De.Materialidade</v>
      </c>
      <c r="M24" s="67" t="str">
        <f t="shared" si="6"/>
        <v>Material Construtivo</v>
      </c>
      <c r="N24" s="67" t="str">
        <f t="shared" si="6"/>
        <v>Ligas Estruturais</v>
      </c>
      <c r="O24" s="67" t="str">
        <f t="shared" si="6"/>
        <v>Alumínio Estrutural</v>
      </c>
      <c r="P24" s="67" t="s">
        <v>496</v>
      </c>
      <c r="Q24" s="67" t="s">
        <v>497</v>
      </c>
      <c r="R24" s="67" t="s">
        <v>498</v>
      </c>
      <c r="S24" s="69" t="s">
        <v>9</v>
      </c>
      <c r="T24" s="30" t="str">
        <f t="shared" si="5"/>
        <v>De Materialidade</v>
      </c>
      <c r="U24" s="30" t="str">
        <f t="shared" si="5"/>
        <v>Material Construtivo</v>
      </c>
      <c r="V24" s="30" t="str">
        <f t="shared" si="5"/>
        <v>Ligas Estruturais</v>
      </c>
      <c r="W24" s="30" t="s">
        <v>220</v>
      </c>
      <c r="X24" s="59" t="str">
        <f t="shared" si="3"/>
        <v>Key-INC-24</v>
      </c>
      <c r="Y24" s="30" t="s">
        <v>493</v>
      </c>
      <c r="Z24" s="64" t="s">
        <v>9</v>
      </c>
      <c r="AA24" s="30" t="s">
        <v>494</v>
      </c>
      <c r="AB24" s="64" t="s">
        <v>9</v>
      </c>
      <c r="AC24" s="30" t="s">
        <v>9</v>
      </c>
      <c r="AD24" s="30" t="s">
        <v>9</v>
      </c>
    </row>
    <row r="25" spans="1:30" s="55" customFormat="1" ht="6" customHeight="1" x14ac:dyDescent="0.4">
      <c r="A25" s="60">
        <v>25</v>
      </c>
      <c r="B25" s="1" t="s">
        <v>291</v>
      </c>
      <c r="C25" s="1" t="s">
        <v>373</v>
      </c>
      <c r="D25" s="1" t="s">
        <v>388</v>
      </c>
      <c r="E25" s="1" t="s">
        <v>499</v>
      </c>
      <c r="F25" s="57" t="s">
        <v>500</v>
      </c>
      <c r="G25" s="7" t="s">
        <v>9</v>
      </c>
      <c r="H25" s="7" t="s">
        <v>9</v>
      </c>
      <c r="I25" s="7" t="s">
        <v>9</v>
      </c>
      <c r="J25" s="7" t="s">
        <v>9</v>
      </c>
      <c r="K25" s="7" t="s">
        <v>9</v>
      </c>
      <c r="L25" s="33" t="str">
        <f t="shared" ref="L25:M29" si="7">CONCATENATE("", C25)</f>
        <v>De.Materialidade</v>
      </c>
      <c r="M25" s="33" t="str">
        <f t="shared" si="7"/>
        <v>Material.Construtivo</v>
      </c>
      <c r="N25" s="33" t="str">
        <f t="shared" ref="N25:O29" si="8">(SUBSTITUTE(SUBSTITUTE(CONCATENATE("",E25),"."," ")," De "," de "))</f>
        <v>Materiais Adesivos</v>
      </c>
      <c r="O25" s="33" t="str">
        <f t="shared" si="8"/>
        <v>Cola Espuma</v>
      </c>
      <c r="P25" s="29" t="s">
        <v>501</v>
      </c>
      <c r="Q25" s="67" t="s">
        <v>502</v>
      </c>
      <c r="R25" s="67" t="s">
        <v>503</v>
      </c>
      <c r="S25" s="69" t="s">
        <v>9</v>
      </c>
      <c r="T25" s="63" t="str">
        <f t="shared" si="5"/>
        <v>De Materialidade</v>
      </c>
      <c r="U25" s="63" t="str">
        <f t="shared" si="5"/>
        <v>Material Construtivo</v>
      </c>
      <c r="V25" s="63" t="str">
        <f t="shared" si="5"/>
        <v>Materiais Adesivos</v>
      </c>
      <c r="W25" s="30" t="s">
        <v>220</v>
      </c>
      <c r="X25" s="59" t="str">
        <f t="shared" si="3"/>
        <v>Key-INC-25</v>
      </c>
      <c r="Y25" s="30" t="s">
        <v>504</v>
      </c>
      <c r="Z25" s="63" t="s">
        <v>9</v>
      </c>
      <c r="AA25" s="63" t="s">
        <v>505</v>
      </c>
      <c r="AB25" s="63" t="s">
        <v>9</v>
      </c>
      <c r="AC25" s="63" t="s">
        <v>396</v>
      </c>
      <c r="AD25" s="63" t="s">
        <v>9</v>
      </c>
    </row>
    <row r="26" spans="1:30" s="55" customFormat="1" ht="6" customHeight="1" x14ac:dyDescent="0.4">
      <c r="A26" s="60">
        <v>26</v>
      </c>
      <c r="B26" s="1" t="s">
        <v>291</v>
      </c>
      <c r="C26" s="1" t="s">
        <v>373</v>
      </c>
      <c r="D26" s="1" t="s">
        <v>388</v>
      </c>
      <c r="E26" s="1" t="s">
        <v>499</v>
      </c>
      <c r="F26" s="57" t="s">
        <v>506</v>
      </c>
      <c r="G26" s="7" t="s">
        <v>9</v>
      </c>
      <c r="H26" s="7" t="s">
        <v>9</v>
      </c>
      <c r="I26" s="7" t="s">
        <v>9</v>
      </c>
      <c r="J26" s="7" t="s">
        <v>9</v>
      </c>
      <c r="K26" s="7" t="s">
        <v>9</v>
      </c>
      <c r="L26" s="33" t="str">
        <f t="shared" si="7"/>
        <v>De.Materialidade</v>
      </c>
      <c r="M26" s="33" t="str">
        <f t="shared" si="7"/>
        <v>Material.Construtivo</v>
      </c>
      <c r="N26" s="33" t="str">
        <f t="shared" si="8"/>
        <v>Materiais Adesivos</v>
      </c>
      <c r="O26" s="33" t="str">
        <f t="shared" si="8"/>
        <v>Cola Louça</v>
      </c>
      <c r="P26" s="29" t="s">
        <v>507</v>
      </c>
      <c r="Q26" s="67" t="s">
        <v>508</v>
      </c>
      <c r="R26" s="67" t="s">
        <v>509</v>
      </c>
      <c r="S26" s="69" t="s">
        <v>9</v>
      </c>
      <c r="T26" s="63" t="str">
        <f t="shared" si="5"/>
        <v>De Materialidade</v>
      </c>
      <c r="U26" s="63" t="str">
        <f t="shared" si="5"/>
        <v>Material Construtivo</v>
      </c>
      <c r="V26" s="63" t="str">
        <f t="shared" si="5"/>
        <v>Materiais Adesivos</v>
      </c>
      <c r="W26" s="30" t="s">
        <v>220</v>
      </c>
      <c r="X26" s="59" t="str">
        <f t="shared" si="3"/>
        <v>Key-INC-26</v>
      </c>
      <c r="Y26" s="30" t="s">
        <v>504</v>
      </c>
      <c r="Z26" s="63" t="s">
        <v>9</v>
      </c>
      <c r="AA26" s="63" t="s">
        <v>505</v>
      </c>
      <c r="AB26" s="63" t="s">
        <v>9</v>
      </c>
      <c r="AC26" s="63" t="s">
        <v>396</v>
      </c>
      <c r="AD26" s="63" t="s">
        <v>9</v>
      </c>
    </row>
    <row r="27" spans="1:30" s="55" customFormat="1" ht="6" customHeight="1" x14ac:dyDescent="0.4">
      <c r="A27" s="60">
        <v>27</v>
      </c>
      <c r="B27" s="1" t="s">
        <v>291</v>
      </c>
      <c r="C27" s="1" t="s">
        <v>373</v>
      </c>
      <c r="D27" s="1" t="s">
        <v>388</v>
      </c>
      <c r="E27" s="1" t="s">
        <v>499</v>
      </c>
      <c r="F27" s="57" t="s">
        <v>510</v>
      </c>
      <c r="G27" s="7" t="s">
        <v>9</v>
      </c>
      <c r="H27" s="7" t="s">
        <v>9</v>
      </c>
      <c r="I27" s="7" t="s">
        <v>9</v>
      </c>
      <c r="J27" s="7" t="s">
        <v>9</v>
      </c>
      <c r="K27" s="7" t="s">
        <v>9</v>
      </c>
      <c r="L27" s="33" t="str">
        <f t="shared" si="7"/>
        <v>De.Materialidade</v>
      </c>
      <c r="M27" s="33" t="str">
        <f t="shared" si="7"/>
        <v>Material.Construtivo</v>
      </c>
      <c r="N27" s="33" t="str">
        <f t="shared" si="8"/>
        <v>Materiais Adesivos</v>
      </c>
      <c r="O27" s="33" t="str">
        <f t="shared" si="8"/>
        <v>Cola Madeira</v>
      </c>
      <c r="P27" s="29" t="s">
        <v>511</v>
      </c>
      <c r="Q27" s="67" t="s">
        <v>512</v>
      </c>
      <c r="R27" s="67" t="s">
        <v>513</v>
      </c>
      <c r="S27" s="69" t="s">
        <v>9</v>
      </c>
      <c r="T27" s="63" t="str">
        <f t="shared" si="5"/>
        <v>De Materialidade</v>
      </c>
      <c r="U27" s="63" t="str">
        <f t="shared" si="5"/>
        <v>Material Construtivo</v>
      </c>
      <c r="V27" s="63" t="str">
        <f t="shared" si="5"/>
        <v>Materiais Adesivos</v>
      </c>
      <c r="W27" s="30" t="s">
        <v>220</v>
      </c>
      <c r="X27" s="59" t="str">
        <f t="shared" si="3"/>
        <v>Key-INC-27</v>
      </c>
      <c r="Y27" s="30" t="s">
        <v>504</v>
      </c>
      <c r="Z27" s="63" t="s">
        <v>9</v>
      </c>
      <c r="AA27" s="63" t="s">
        <v>505</v>
      </c>
      <c r="AB27" s="63" t="s">
        <v>9</v>
      </c>
      <c r="AC27" s="63" t="s">
        <v>396</v>
      </c>
      <c r="AD27" s="63" t="s">
        <v>9</v>
      </c>
    </row>
    <row r="28" spans="1:30" s="55" customFormat="1" ht="6" customHeight="1" x14ac:dyDescent="0.4">
      <c r="A28" s="60">
        <v>28</v>
      </c>
      <c r="B28" s="1" t="s">
        <v>291</v>
      </c>
      <c r="C28" s="1" t="s">
        <v>373</v>
      </c>
      <c r="D28" s="1" t="s">
        <v>388</v>
      </c>
      <c r="E28" s="1" t="s">
        <v>499</v>
      </c>
      <c r="F28" s="57" t="s">
        <v>514</v>
      </c>
      <c r="G28" s="7" t="s">
        <v>9</v>
      </c>
      <c r="H28" s="7" t="s">
        <v>9</v>
      </c>
      <c r="I28" s="7" t="s">
        <v>9</v>
      </c>
      <c r="J28" s="7" t="s">
        <v>9</v>
      </c>
      <c r="K28" s="7" t="s">
        <v>9</v>
      </c>
      <c r="L28" s="33" t="str">
        <f t="shared" si="7"/>
        <v>De.Materialidade</v>
      </c>
      <c r="M28" s="33" t="str">
        <f t="shared" si="7"/>
        <v>Material.Construtivo</v>
      </c>
      <c r="N28" s="33" t="str">
        <f t="shared" si="8"/>
        <v>Materiais Adesivos</v>
      </c>
      <c r="O28" s="33" t="str">
        <f t="shared" si="8"/>
        <v>Cola Metal</v>
      </c>
      <c r="P28" s="29" t="s">
        <v>515</v>
      </c>
      <c r="Q28" s="67" t="s">
        <v>516</v>
      </c>
      <c r="R28" s="67" t="s">
        <v>517</v>
      </c>
      <c r="S28" s="69" t="s">
        <v>9</v>
      </c>
      <c r="T28" s="63" t="str">
        <f t="shared" si="5"/>
        <v>De Materialidade</v>
      </c>
      <c r="U28" s="63" t="str">
        <f t="shared" si="5"/>
        <v>Material Construtivo</v>
      </c>
      <c r="V28" s="63" t="str">
        <f t="shared" si="5"/>
        <v>Materiais Adesivos</v>
      </c>
      <c r="W28" s="30" t="s">
        <v>220</v>
      </c>
      <c r="X28" s="59" t="str">
        <f t="shared" si="3"/>
        <v>Key-INC-28</v>
      </c>
      <c r="Y28" s="30" t="s">
        <v>504</v>
      </c>
      <c r="Z28" s="63" t="s">
        <v>9</v>
      </c>
      <c r="AA28" s="63" t="s">
        <v>505</v>
      </c>
      <c r="AB28" s="63" t="s">
        <v>9</v>
      </c>
      <c r="AC28" s="63" t="s">
        <v>396</v>
      </c>
      <c r="AD28" s="63" t="s">
        <v>9</v>
      </c>
    </row>
    <row r="29" spans="1:30" s="70" customFormat="1" ht="6" customHeight="1" x14ac:dyDescent="0.4">
      <c r="A29" s="60">
        <v>29</v>
      </c>
      <c r="B29" s="1" t="s">
        <v>291</v>
      </c>
      <c r="C29" s="1" t="s">
        <v>373</v>
      </c>
      <c r="D29" s="1" t="s">
        <v>388</v>
      </c>
      <c r="E29" s="1" t="s">
        <v>499</v>
      </c>
      <c r="F29" s="57" t="s">
        <v>518</v>
      </c>
      <c r="G29" s="7" t="s">
        <v>9</v>
      </c>
      <c r="H29" s="7" t="s">
        <v>9</v>
      </c>
      <c r="I29" s="7" t="s">
        <v>9</v>
      </c>
      <c r="J29" s="7" t="s">
        <v>9</v>
      </c>
      <c r="K29" s="7" t="s">
        <v>9</v>
      </c>
      <c r="L29" s="33" t="str">
        <f t="shared" si="7"/>
        <v>De.Materialidade</v>
      </c>
      <c r="M29" s="33" t="str">
        <f t="shared" si="7"/>
        <v>Material.Construtivo</v>
      </c>
      <c r="N29" s="33" t="str">
        <f t="shared" si="8"/>
        <v>Materiais Adesivos</v>
      </c>
      <c r="O29" s="33" t="str">
        <f t="shared" si="8"/>
        <v>Cola Textil</v>
      </c>
      <c r="P29" s="29" t="s">
        <v>519</v>
      </c>
      <c r="Q29" s="67" t="s">
        <v>520</v>
      </c>
      <c r="R29" s="67" t="s">
        <v>521</v>
      </c>
      <c r="S29" s="69" t="s">
        <v>9</v>
      </c>
      <c r="T29" s="63" t="str">
        <f t="shared" si="5"/>
        <v>De Materialidade</v>
      </c>
      <c r="U29" s="63" t="str">
        <f t="shared" si="5"/>
        <v>Material Construtivo</v>
      </c>
      <c r="V29" s="63" t="str">
        <f t="shared" si="5"/>
        <v>Materiais Adesivos</v>
      </c>
      <c r="W29" s="30" t="s">
        <v>220</v>
      </c>
      <c r="X29" s="59" t="str">
        <f t="shared" si="3"/>
        <v>Key-INC-29</v>
      </c>
      <c r="Y29" s="30" t="s">
        <v>504</v>
      </c>
      <c r="Z29" s="63" t="s">
        <v>9</v>
      </c>
      <c r="AA29" s="63" t="s">
        <v>505</v>
      </c>
      <c r="AB29" s="63" t="s">
        <v>9</v>
      </c>
      <c r="AC29" s="63" t="s">
        <v>396</v>
      </c>
      <c r="AD29" s="63" t="s">
        <v>9</v>
      </c>
    </row>
    <row r="30" spans="1:30" s="70" customFormat="1" ht="6" customHeight="1" x14ac:dyDescent="0.4">
      <c r="A30" s="60">
        <v>30</v>
      </c>
      <c r="B30" s="1" t="s">
        <v>291</v>
      </c>
      <c r="C30" s="1" t="s">
        <v>373</v>
      </c>
      <c r="D30" s="1" t="s">
        <v>388</v>
      </c>
      <c r="E30" s="1" t="s">
        <v>522</v>
      </c>
      <c r="F30" s="68" t="s">
        <v>523</v>
      </c>
      <c r="G30" s="61" t="s">
        <v>9</v>
      </c>
      <c r="H30" s="61" t="s">
        <v>9</v>
      </c>
      <c r="I30" s="61" t="s">
        <v>9</v>
      </c>
      <c r="J30" s="61" t="s">
        <v>9</v>
      </c>
      <c r="K30" s="61" t="s">
        <v>9</v>
      </c>
      <c r="L30" s="33" t="str">
        <f t="shared" ref="L30:O62" si="9">SUBSTITUTE(CONCATENATE("", C30), ".", " ")</f>
        <v>De Materialidade</v>
      </c>
      <c r="M30" s="33" t="str">
        <f t="shared" si="9"/>
        <v>Material Construtivo</v>
      </c>
      <c r="N30" s="33" t="str">
        <f t="shared" si="9"/>
        <v>Materiais Espumados</v>
      </c>
      <c r="O30" s="33" t="str">
        <f t="shared" si="9"/>
        <v>Espuma Expandida</v>
      </c>
      <c r="P30" s="63" t="s">
        <v>524</v>
      </c>
      <c r="Q30" s="67" t="s">
        <v>525</v>
      </c>
      <c r="R30" s="67" t="s">
        <v>526</v>
      </c>
      <c r="S30" s="69" t="s">
        <v>9</v>
      </c>
      <c r="T30" s="30" t="str">
        <f t="shared" si="5"/>
        <v>De Materialidade</v>
      </c>
      <c r="U30" s="30" t="str">
        <f t="shared" si="5"/>
        <v>Material Construtivo</v>
      </c>
      <c r="V30" s="30" t="str">
        <f t="shared" si="5"/>
        <v>Materiais Espumados</v>
      </c>
      <c r="W30" s="30" t="s">
        <v>220</v>
      </c>
      <c r="X30" s="59" t="str">
        <f t="shared" si="3"/>
        <v>Key-INC-30</v>
      </c>
      <c r="Y30" s="30" t="s">
        <v>527</v>
      </c>
      <c r="Z30" s="64" t="s">
        <v>9</v>
      </c>
      <c r="AA30" s="30" t="s">
        <v>374</v>
      </c>
      <c r="AB30" s="64" t="s">
        <v>9</v>
      </c>
      <c r="AC30" s="30" t="s">
        <v>384</v>
      </c>
      <c r="AD30" s="64" t="s">
        <v>9</v>
      </c>
    </row>
    <row r="31" spans="1:30" s="70" customFormat="1" ht="6" customHeight="1" x14ac:dyDescent="0.4">
      <c r="A31" s="60">
        <v>31</v>
      </c>
      <c r="B31" s="1" t="s">
        <v>291</v>
      </c>
      <c r="C31" s="1" t="s">
        <v>373</v>
      </c>
      <c r="D31" s="1" t="s">
        <v>388</v>
      </c>
      <c r="E31" s="1" t="s">
        <v>522</v>
      </c>
      <c r="F31" s="68" t="s">
        <v>528</v>
      </c>
      <c r="G31" s="61" t="s">
        <v>9</v>
      </c>
      <c r="H31" s="61" t="s">
        <v>9</v>
      </c>
      <c r="I31" s="61" t="s">
        <v>9</v>
      </c>
      <c r="J31" s="61" t="s">
        <v>9</v>
      </c>
      <c r="K31" s="61" t="s">
        <v>9</v>
      </c>
      <c r="L31" s="33" t="str">
        <f t="shared" si="9"/>
        <v>De Materialidade</v>
      </c>
      <c r="M31" s="33" t="str">
        <f t="shared" si="9"/>
        <v>Material Construtivo</v>
      </c>
      <c r="N31" s="33" t="str">
        <f t="shared" si="9"/>
        <v>Materiais Espumados</v>
      </c>
      <c r="O31" s="33" t="str">
        <f t="shared" si="9"/>
        <v>Espuma MPU</v>
      </c>
      <c r="P31" s="63" t="s">
        <v>529</v>
      </c>
      <c r="Q31" s="67" t="s">
        <v>530</v>
      </c>
      <c r="R31" s="67" t="s">
        <v>531</v>
      </c>
      <c r="S31" s="69" t="s">
        <v>9</v>
      </c>
      <c r="T31" s="30" t="str">
        <f t="shared" si="5"/>
        <v>De Materialidade</v>
      </c>
      <c r="U31" s="30" t="str">
        <f t="shared" si="5"/>
        <v>Material Construtivo</v>
      </c>
      <c r="V31" s="30" t="str">
        <f t="shared" si="5"/>
        <v>Materiais Espumados</v>
      </c>
      <c r="W31" s="30" t="s">
        <v>220</v>
      </c>
      <c r="X31" s="59" t="str">
        <f t="shared" si="3"/>
        <v>Key-INC-31</v>
      </c>
      <c r="Y31" s="30" t="s">
        <v>527</v>
      </c>
      <c r="Z31" s="64" t="s">
        <v>9</v>
      </c>
      <c r="AA31" s="30" t="s">
        <v>374</v>
      </c>
      <c r="AB31" s="64" t="s">
        <v>9</v>
      </c>
      <c r="AC31" s="30" t="s">
        <v>384</v>
      </c>
      <c r="AD31" s="64" t="s">
        <v>9</v>
      </c>
    </row>
    <row r="32" spans="1:30" s="70" customFormat="1" ht="6" customHeight="1" x14ac:dyDescent="0.4">
      <c r="A32" s="60">
        <v>32</v>
      </c>
      <c r="B32" s="1" t="s">
        <v>291</v>
      </c>
      <c r="C32" s="1" t="s">
        <v>373</v>
      </c>
      <c r="D32" s="1" t="s">
        <v>388</v>
      </c>
      <c r="E32" s="1" t="s">
        <v>522</v>
      </c>
      <c r="F32" s="68" t="s">
        <v>532</v>
      </c>
      <c r="G32" s="61" t="s">
        <v>9</v>
      </c>
      <c r="H32" s="61" t="s">
        <v>9</v>
      </c>
      <c r="I32" s="61" t="s">
        <v>9</v>
      </c>
      <c r="J32" s="61" t="s">
        <v>9</v>
      </c>
      <c r="K32" s="61" t="s">
        <v>9</v>
      </c>
      <c r="L32" s="33" t="str">
        <f t="shared" si="9"/>
        <v>De Materialidade</v>
      </c>
      <c r="M32" s="33" t="str">
        <f t="shared" si="9"/>
        <v>Material Construtivo</v>
      </c>
      <c r="N32" s="33" t="str">
        <f t="shared" si="9"/>
        <v>Materiais Espumados</v>
      </c>
      <c r="O32" s="33" t="str">
        <f t="shared" si="9"/>
        <v>Espuma PIR</v>
      </c>
      <c r="P32" s="63" t="s">
        <v>533</v>
      </c>
      <c r="Q32" s="67" t="s">
        <v>534</v>
      </c>
      <c r="R32" s="67" t="s">
        <v>535</v>
      </c>
      <c r="S32" s="69" t="s">
        <v>9</v>
      </c>
      <c r="T32" s="30" t="str">
        <f t="shared" si="5"/>
        <v>De Materialidade</v>
      </c>
      <c r="U32" s="30" t="str">
        <f t="shared" si="5"/>
        <v>Material Construtivo</v>
      </c>
      <c r="V32" s="30" t="str">
        <f t="shared" si="5"/>
        <v>Materiais Espumados</v>
      </c>
      <c r="W32" s="30" t="s">
        <v>220</v>
      </c>
      <c r="X32" s="59" t="str">
        <f t="shared" si="3"/>
        <v>Key-INC-32</v>
      </c>
      <c r="Y32" s="30" t="s">
        <v>527</v>
      </c>
      <c r="Z32" s="64" t="s">
        <v>9</v>
      </c>
      <c r="AA32" s="30" t="s">
        <v>374</v>
      </c>
      <c r="AB32" s="64" t="s">
        <v>9</v>
      </c>
      <c r="AC32" s="30" t="s">
        <v>384</v>
      </c>
      <c r="AD32" s="64" t="s">
        <v>9</v>
      </c>
    </row>
    <row r="33" spans="1:30" s="70" customFormat="1" ht="6" customHeight="1" x14ac:dyDescent="0.4">
      <c r="A33" s="60">
        <v>33</v>
      </c>
      <c r="B33" s="1" t="s">
        <v>291</v>
      </c>
      <c r="C33" s="1" t="s">
        <v>373</v>
      </c>
      <c r="D33" s="1" t="s">
        <v>388</v>
      </c>
      <c r="E33" s="1" t="s">
        <v>522</v>
      </c>
      <c r="F33" s="68" t="s">
        <v>536</v>
      </c>
      <c r="G33" s="61" t="s">
        <v>9</v>
      </c>
      <c r="H33" s="61" t="s">
        <v>9</v>
      </c>
      <c r="I33" s="61" t="s">
        <v>9</v>
      </c>
      <c r="J33" s="61" t="s">
        <v>9</v>
      </c>
      <c r="K33" s="61" t="s">
        <v>9</v>
      </c>
      <c r="L33" s="33" t="str">
        <f t="shared" si="9"/>
        <v>De Materialidade</v>
      </c>
      <c r="M33" s="33" t="str">
        <f t="shared" si="9"/>
        <v>Material Construtivo</v>
      </c>
      <c r="N33" s="33" t="str">
        <f t="shared" si="9"/>
        <v>Materiais Espumados</v>
      </c>
      <c r="O33" s="33" t="str">
        <f t="shared" si="9"/>
        <v>Espuma PUR</v>
      </c>
      <c r="P33" s="63" t="s">
        <v>537</v>
      </c>
      <c r="Q33" s="67" t="s">
        <v>538</v>
      </c>
      <c r="R33" s="67" t="s">
        <v>539</v>
      </c>
      <c r="S33" s="69" t="s">
        <v>9</v>
      </c>
      <c r="T33" s="30" t="str">
        <f t="shared" si="5"/>
        <v>De Materialidade</v>
      </c>
      <c r="U33" s="30" t="str">
        <f t="shared" si="5"/>
        <v>Material Construtivo</v>
      </c>
      <c r="V33" s="30" t="str">
        <f t="shared" si="5"/>
        <v>Materiais Espumados</v>
      </c>
      <c r="W33" s="30" t="s">
        <v>220</v>
      </c>
      <c r="X33" s="59" t="str">
        <f t="shared" si="3"/>
        <v>Key-INC-33</v>
      </c>
      <c r="Y33" s="30" t="s">
        <v>527</v>
      </c>
      <c r="Z33" s="64" t="s">
        <v>9</v>
      </c>
      <c r="AA33" s="30" t="s">
        <v>374</v>
      </c>
      <c r="AB33" s="64" t="s">
        <v>9</v>
      </c>
      <c r="AC33" s="30" t="s">
        <v>384</v>
      </c>
      <c r="AD33" s="64" t="s">
        <v>9</v>
      </c>
    </row>
    <row r="34" spans="1:30" s="70" customFormat="1" ht="6" customHeight="1" x14ac:dyDescent="0.4">
      <c r="A34" s="60">
        <v>34</v>
      </c>
      <c r="B34" s="1" t="s">
        <v>291</v>
      </c>
      <c r="C34" s="1" t="s">
        <v>373</v>
      </c>
      <c r="D34" s="1" t="s">
        <v>388</v>
      </c>
      <c r="E34" s="1" t="s">
        <v>540</v>
      </c>
      <c r="F34" s="68" t="s">
        <v>541</v>
      </c>
      <c r="G34" s="61" t="s">
        <v>9</v>
      </c>
      <c r="H34" s="61" t="s">
        <v>9</v>
      </c>
      <c r="I34" s="61" t="s">
        <v>9</v>
      </c>
      <c r="J34" s="61" t="s">
        <v>9</v>
      </c>
      <c r="K34" s="61" t="s">
        <v>9</v>
      </c>
      <c r="L34" s="33" t="str">
        <f t="shared" si="9"/>
        <v>De Materialidade</v>
      </c>
      <c r="M34" s="33" t="str">
        <f t="shared" si="9"/>
        <v>Material Construtivo</v>
      </c>
      <c r="N34" s="33" t="str">
        <f t="shared" si="9"/>
        <v>Materiais Isolantes</v>
      </c>
      <c r="O34" s="33" t="str">
        <f t="shared" si="9"/>
        <v xml:space="preserve">Lã de Rocha </v>
      </c>
      <c r="P34" s="63" t="s">
        <v>542</v>
      </c>
      <c r="Q34" s="67" t="s">
        <v>543</v>
      </c>
      <c r="R34" s="67" t="s">
        <v>544</v>
      </c>
      <c r="S34" s="69" t="s">
        <v>9</v>
      </c>
      <c r="T34" s="30" t="str">
        <f t="shared" si="5"/>
        <v>De Materialidade</v>
      </c>
      <c r="U34" s="30" t="str">
        <f t="shared" si="5"/>
        <v>Material Construtivo</v>
      </c>
      <c r="V34" s="30" t="str">
        <f t="shared" si="5"/>
        <v>Materiais Isolantes</v>
      </c>
      <c r="W34" s="30" t="s">
        <v>220</v>
      </c>
      <c r="X34" s="59" t="str">
        <f t="shared" si="3"/>
        <v>Key-INC-34</v>
      </c>
      <c r="Y34" s="30" t="s">
        <v>527</v>
      </c>
      <c r="Z34" s="64" t="s">
        <v>9</v>
      </c>
      <c r="AA34" s="30" t="s">
        <v>374</v>
      </c>
      <c r="AB34" s="64" t="s">
        <v>9</v>
      </c>
      <c r="AC34" s="30" t="s">
        <v>384</v>
      </c>
      <c r="AD34" s="64" t="s">
        <v>9</v>
      </c>
    </row>
    <row r="35" spans="1:30" s="70" customFormat="1" ht="6" customHeight="1" x14ac:dyDescent="0.4">
      <c r="A35" s="60">
        <v>35</v>
      </c>
      <c r="B35" s="1" t="s">
        <v>291</v>
      </c>
      <c r="C35" s="1" t="s">
        <v>373</v>
      </c>
      <c r="D35" s="1" t="s">
        <v>388</v>
      </c>
      <c r="E35" s="1" t="s">
        <v>540</v>
      </c>
      <c r="F35" s="68" t="s">
        <v>545</v>
      </c>
      <c r="G35" s="61" t="s">
        <v>9</v>
      </c>
      <c r="H35" s="61" t="s">
        <v>9</v>
      </c>
      <c r="I35" s="61" t="s">
        <v>9</v>
      </c>
      <c r="J35" s="61" t="s">
        <v>9</v>
      </c>
      <c r="K35" s="61" t="s">
        <v>9</v>
      </c>
      <c r="L35" s="33" t="str">
        <f t="shared" si="9"/>
        <v>De Materialidade</v>
      </c>
      <c r="M35" s="33" t="str">
        <f t="shared" si="9"/>
        <v>Material Construtivo</v>
      </c>
      <c r="N35" s="33" t="str">
        <f t="shared" si="9"/>
        <v>Materiais Isolantes</v>
      </c>
      <c r="O35" s="33" t="str">
        <f t="shared" si="9"/>
        <v xml:space="preserve">Lã de Vidro </v>
      </c>
      <c r="P35" s="63" t="s">
        <v>546</v>
      </c>
      <c r="Q35" s="67" t="s">
        <v>547</v>
      </c>
      <c r="R35" s="67" t="s">
        <v>548</v>
      </c>
      <c r="S35" s="69" t="s">
        <v>9</v>
      </c>
      <c r="T35" s="30" t="str">
        <f t="shared" si="5"/>
        <v>De Materialidade</v>
      </c>
      <c r="U35" s="30" t="str">
        <f t="shared" si="5"/>
        <v>Material Construtivo</v>
      </c>
      <c r="V35" s="30" t="str">
        <f t="shared" si="5"/>
        <v>Materiais Isolantes</v>
      </c>
      <c r="W35" s="30" t="s">
        <v>220</v>
      </c>
      <c r="X35" s="59" t="str">
        <f t="shared" si="3"/>
        <v>Key-INC-35</v>
      </c>
      <c r="Y35" s="30" t="s">
        <v>527</v>
      </c>
      <c r="Z35" s="64" t="s">
        <v>9</v>
      </c>
      <c r="AA35" s="30" t="s">
        <v>374</v>
      </c>
      <c r="AB35" s="64" t="s">
        <v>9</v>
      </c>
      <c r="AC35" s="30" t="s">
        <v>384</v>
      </c>
      <c r="AD35" s="64" t="s">
        <v>9</v>
      </c>
    </row>
    <row r="36" spans="1:30" s="70" customFormat="1" ht="6" customHeight="1" x14ac:dyDescent="0.4">
      <c r="A36" s="60">
        <v>36</v>
      </c>
      <c r="B36" s="1" t="s">
        <v>291</v>
      </c>
      <c r="C36" s="1" t="s">
        <v>373</v>
      </c>
      <c r="D36" s="1" t="s">
        <v>388</v>
      </c>
      <c r="E36" s="1" t="s">
        <v>540</v>
      </c>
      <c r="F36" s="68" t="s">
        <v>549</v>
      </c>
      <c r="G36" s="61" t="s">
        <v>9</v>
      </c>
      <c r="H36" s="61" t="s">
        <v>9</v>
      </c>
      <c r="I36" s="61" t="s">
        <v>9</v>
      </c>
      <c r="J36" s="61" t="s">
        <v>9</v>
      </c>
      <c r="K36" s="61" t="s">
        <v>9</v>
      </c>
      <c r="L36" s="33" t="str">
        <f t="shared" si="9"/>
        <v>De Materialidade</v>
      </c>
      <c r="M36" s="33" t="str">
        <f t="shared" si="9"/>
        <v>Material Construtivo</v>
      </c>
      <c r="N36" s="33" t="str">
        <f t="shared" si="9"/>
        <v>Materiais Isolantes</v>
      </c>
      <c r="O36" s="33" t="str">
        <f t="shared" si="9"/>
        <v>Borracha Antivibratória</v>
      </c>
      <c r="P36" s="63" t="s">
        <v>550</v>
      </c>
      <c r="Q36" s="67" t="s">
        <v>551</v>
      </c>
      <c r="R36" s="67" t="s">
        <v>552</v>
      </c>
      <c r="S36" s="69" t="s">
        <v>9</v>
      </c>
      <c r="T36" s="30" t="str">
        <f t="shared" si="5"/>
        <v>De Materialidade</v>
      </c>
      <c r="U36" s="30" t="str">
        <f t="shared" si="5"/>
        <v>Material Construtivo</v>
      </c>
      <c r="V36" s="30" t="str">
        <f t="shared" si="5"/>
        <v>Materiais Isolantes</v>
      </c>
      <c r="W36" s="30" t="s">
        <v>220</v>
      </c>
      <c r="X36" s="59" t="str">
        <f t="shared" si="3"/>
        <v>Key-INC-36</v>
      </c>
      <c r="Y36" s="30" t="s">
        <v>527</v>
      </c>
      <c r="Z36" s="64" t="s">
        <v>9</v>
      </c>
      <c r="AA36" s="30" t="s">
        <v>374</v>
      </c>
      <c r="AB36" s="64" t="s">
        <v>9</v>
      </c>
      <c r="AC36" s="30" t="s">
        <v>384</v>
      </c>
      <c r="AD36" s="64" t="s">
        <v>9</v>
      </c>
    </row>
    <row r="37" spans="1:30" s="70" customFormat="1" ht="6" customHeight="1" x14ac:dyDescent="0.4">
      <c r="A37" s="60">
        <v>37</v>
      </c>
      <c r="B37" s="1" t="s">
        <v>291</v>
      </c>
      <c r="C37" s="1" t="s">
        <v>373</v>
      </c>
      <c r="D37" s="1" t="s">
        <v>388</v>
      </c>
      <c r="E37" s="1" t="s">
        <v>540</v>
      </c>
      <c r="F37" s="68" t="s">
        <v>553</v>
      </c>
      <c r="G37" s="61" t="s">
        <v>9</v>
      </c>
      <c r="H37" s="61" t="s">
        <v>9</v>
      </c>
      <c r="I37" s="61" t="s">
        <v>9</v>
      </c>
      <c r="J37" s="61" t="s">
        <v>9</v>
      </c>
      <c r="K37" s="61" t="s">
        <v>9</v>
      </c>
      <c r="L37" s="33" t="str">
        <f t="shared" si="9"/>
        <v>De Materialidade</v>
      </c>
      <c r="M37" s="33" t="str">
        <f t="shared" si="9"/>
        <v>Material Construtivo</v>
      </c>
      <c r="N37" s="33" t="str">
        <f t="shared" si="9"/>
        <v>Materiais Isolantes</v>
      </c>
      <c r="O37" s="33" t="str">
        <f t="shared" si="9"/>
        <v>Borracha Elastomérica</v>
      </c>
      <c r="P37" s="63" t="s">
        <v>554</v>
      </c>
      <c r="Q37" s="67" t="s">
        <v>555</v>
      </c>
      <c r="R37" s="67" t="s">
        <v>556</v>
      </c>
      <c r="S37" s="69" t="s">
        <v>9</v>
      </c>
      <c r="T37" s="30" t="str">
        <f t="shared" si="5"/>
        <v>De Materialidade</v>
      </c>
      <c r="U37" s="30" t="str">
        <f t="shared" si="5"/>
        <v>Material Construtivo</v>
      </c>
      <c r="V37" s="30" t="str">
        <f t="shared" si="5"/>
        <v>Materiais Isolantes</v>
      </c>
      <c r="W37" s="30" t="s">
        <v>220</v>
      </c>
      <c r="X37" s="59" t="str">
        <f t="shared" si="3"/>
        <v>Key-INC-37</v>
      </c>
      <c r="Y37" s="30" t="s">
        <v>527</v>
      </c>
      <c r="Z37" s="64" t="s">
        <v>9</v>
      </c>
      <c r="AA37" s="30" t="s">
        <v>374</v>
      </c>
      <c r="AB37" s="64" t="s">
        <v>9</v>
      </c>
      <c r="AC37" s="30" t="s">
        <v>384</v>
      </c>
      <c r="AD37" s="64" t="s">
        <v>9</v>
      </c>
    </row>
    <row r="38" spans="1:30" s="70" customFormat="1" ht="6" customHeight="1" x14ac:dyDescent="0.4">
      <c r="A38" s="60">
        <v>38</v>
      </c>
      <c r="B38" s="1" t="s">
        <v>291</v>
      </c>
      <c r="C38" s="1" t="s">
        <v>373</v>
      </c>
      <c r="D38" s="1" t="s">
        <v>388</v>
      </c>
      <c r="E38" s="1" t="s">
        <v>557</v>
      </c>
      <c r="F38" s="68" t="s">
        <v>558</v>
      </c>
      <c r="G38" s="61" t="s">
        <v>9</v>
      </c>
      <c r="H38" s="61" t="s">
        <v>9</v>
      </c>
      <c r="I38" s="61" t="s">
        <v>9</v>
      </c>
      <c r="J38" s="61" t="s">
        <v>9</v>
      </c>
      <c r="K38" s="61" t="s">
        <v>9</v>
      </c>
      <c r="L38" s="33" t="str">
        <f t="shared" si="9"/>
        <v>De Materialidade</v>
      </c>
      <c r="M38" s="33" t="str">
        <f t="shared" si="9"/>
        <v>Material Construtivo</v>
      </c>
      <c r="N38" s="33" t="str">
        <f t="shared" si="9"/>
        <v>Materiais Selantes</v>
      </c>
      <c r="O38" s="33" t="str">
        <f t="shared" si="9"/>
        <v>Vedante Mastique</v>
      </c>
      <c r="P38" s="63" t="s">
        <v>559</v>
      </c>
      <c r="Q38" s="67" t="s">
        <v>560</v>
      </c>
      <c r="R38" s="67" t="s">
        <v>561</v>
      </c>
      <c r="S38" s="69" t="s">
        <v>9</v>
      </c>
      <c r="T38" s="30" t="str">
        <f t="shared" si="5"/>
        <v>De Materialidade</v>
      </c>
      <c r="U38" s="30" t="str">
        <f t="shared" si="5"/>
        <v>Material Construtivo</v>
      </c>
      <c r="V38" s="30" t="str">
        <f t="shared" si="5"/>
        <v>Materiais Selantes</v>
      </c>
      <c r="W38" s="30" t="s">
        <v>220</v>
      </c>
      <c r="X38" s="59" t="str">
        <f t="shared" si="3"/>
        <v>Key-INC-38</v>
      </c>
      <c r="Y38" s="30" t="s">
        <v>527</v>
      </c>
      <c r="Z38" s="64" t="s">
        <v>9</v>
      </c>
      <c r="AA38" s="30" t="s">
        <v>374</v>
      </c>
      <c r="AB38" s="64" t="s">
        <v>9</v>
      </c>
      <c r="AC38" s="30" t="s">
        <v>384</v>
      </c>
      <c r="AD38" s="64" t="s">
        <v>9</v>
      </c>
    </row>
    <row r="39" spans="1:30" s="70" customFormat="1" ht="6" customHeight="1" x14ac:dyDescent="0.4">
      <c r="A39" s="60">
        <v>39</v>
      </c>
      <c r="B39" s="1" t="s">
        <v>291</v>
      </c>
      <c r="C39" s="1" t="s">
        <v>373</v>
      </c>
      <c r="D39" s="1" t="s">
        <v>388</v>
      </c>
      <c r="E39" s="1" t="s">
        <v>557</v>
      </c>
      <c r="F39" s="68" t="s">
        <v>562</v>
      </c>
      <c r="G39" s="61" t="s">
        <v>9</v>
      </c>
      <c r="H39" s="61" t="s">
        <v>9</v>
      </c>
      <c r="I39" s="61" t="s">
        <v>9</v>
      </c>
      <c r="J39" s="61" t="s">
        <v>9</v>
      </c>
      <c r="K39" s="61" t="s">
        <v>9</v>
      </c>
      <c r="L39" s="33" t="str">
        <f t="shared" si="9"/>
        <v>De Materialidade</v>
      </c>
      <c r="M39" s="33" t="str">
        <f t="shared" si="9"/>
        <v>Material Construtivo</v>
      </c>
      <c r="N39" s="33" t="str">
        <f t="shared" si="9"/>
        <v>Materiais Selantes</v>
      </c>
      <c r="O39" s="33" t="str">
        <f t="shared" si="9"/>
        <v>Vedante Plástico ABS</v>
      </c>
      <c r="P39" s="63" t="s">
        <v>563</v>
      </c>
      <c r="Q39" s="67" t="s">
        <v>564</v>
      </c>
      <c r="R39" s="67" t="s">
        <v>565</v>
      </c>
      <c r="S39" s="69" t="s">
        <v>9</v>
      </c>
      <c r="T39" s="30" t="str">
        <f t="shared" si="5"/>
        <v>De Materialidade</v>
      </c>
      <c r="U39" s="30" t="str">
        <f t="shared" si="5"/>
        <v>Material Construtivo</v>
      </c>
      <c r="V39" s="30" t="str">
        <f t="shared" si="5"/>
        <v>Materiais Selantes</v>
      </c>
      <c r="W39" s="30" t="s">
        <v>220</v>
      </c>
      <c r="X39" s="59" t="str">
        <f t="shared" si="3"/>
        <v>Key-INC-39</v>
      </c>
      <c r="Y39" s="30" t="s">
        <v>527</v>
      </c>
      <c r="Z39" s="64" t="s">
        <v>9</v>
      </c>
      <c r="AA39" s="30" t="s">
        <v>374</v>
      </c>
      <c r="AB39" s="64" t="s">
        <v>9</v>
      </c>
      <c r="AC39" s="30" t="s">
        <v>384</v>
      </c>
      <c r="AD39" s="64" t="s">
        <v>9</v>
      </c>
    </row>
    <row r="40" spans="1:30" s="70" customFormat="1" ht="6" customHeight="1" x14ac:dyDescent="0.4">
      <c r="A40" s="60">
        <v>40</v>
      </c>
      <c r="B40" s="1" t="s">
        <v>291</v>
      </c>
      <c r="C40" s="1" t="s">
        <v>373</v>
      </c>
      <c r="D40" s="1" t="s">
        <v>388</v>
      </c>
      <c r="E40" s="1" t="s">
        <v>557</v>
      </c>
      <c r="F40" s="68" t="s">
        <v>566</v>
      </c>
      <c r="G40" s="61" t="s">
        <v>9</v>
      </c>
      <c r="H40" s="61" t="s">
        <v>9</v>
      </c>
      <c r="I40" s="61" t="s">
        <v>9</v>
      </c>
      <c r="J40" s="61" t="s">
        <v>9</v>
      </c>
      <c r="K40" s="61" t="s">
        <v>9</v>
      </c>
      <c r="L40" s="33" t="str">
        <f t="shared" si="9"/>
        <v>De Materialidade</v>
      </c>
      <c r="M40" s="33" t="str">
        <f t="shared" si="9"/>
        <v>Material Construtivo</v>
      </c>
      <c r="N40" s="33" t="str">
        <f t="shared" si="9"/>
        <v>Materiais Selantes</v>
      </c>
      <c r="O40" s="33" t="str">
        <f t="shared" si="9"/>
        <v>Vedante de Silicone</v>
      </c>
      <c r="P40" s="63" t="s">
        <v>559</v>
      </c>
      <c r="Q40" s="67" t="s">
        <v>560</v>
      </c>
      <c r="R40" s="67" t="s">
        <v>561</v>
      </c>
      <c r="S40" s="69" t="s">
        <v>9</v>
      </c>
      <c r="T40" s="30" t="str">
        <f t="shared" si="5"/>
        <v>De Materialidade</v>
      </c>
      <c r="U40" s="30" t="str">
        <f t="shared" si="5"/>
        <v>Material Construtivo</v>
      </c>
      <c r="V40" s="30" t="str">
        <f t="shared" si="5"/>
        <v>Materiais Selantes</v>
      </c>
      <c r="W40" s="30" t="s">
        <v>220</v>
      </c>
      <c r="X40" s="59" t="str">
        <f t="shared" si="3"/>
        <v>Key-INC-40</v>
      </c>
      <c r="Y40" s="30" t="s">
        <v>527</v>
      </c>
      <c r="Z40" s="64" t="s">
        <v>9</v>
      </c>
      <c r="AA40" s="30" t="s">
        <v>374</v>
      </c>
      <c r="AB40" s="64" t="s">
        <v>9</v>
      </c>
      <c r="AC40" s="30" t="s">
        <v>384</v>
      </c>
      <c r="AD40" s="64" t="s">
        <v>9</v>
      </c>
    </row>
    <row r="41" spans="1:30" s="70" customFormat="1" ht="6" customHeight="1" x14ac:dyDescent="0.4">
      <c r="A41" s="60">
        <v>41</v>
      </c>
      <c r="B41" s="1" t="s">
        <v>291</v>
      </c>
      <c r="C41" s="1" t="s">
        <v>373</v>
      </c>
      <c r="D41" s="1" t="s">
        <v>388</v>
      </c>
      <c r="E41" s="1" t="s">
        <v>567</v>
      </c>
      <c r="F41" s="68" t="s">
        <v>568</v>
      </c>
      <c r="G41" s="61" t="s">
        <v>9</v>
      </c>
      <c r="H41" s="61" t="s">
        <v>9</v>
      </c>
      <c r="I41" s="61" t="s">
        <v>9</v>
      </c>
      <c r="J41" s="61" t="s">
        <v>9</v>
      </c>
      <c r="K41" s="61" t="s">
        <v>9</v>
      </c>
      <c r="L41" s="33" t="str">
        <f t="shared" si="9"/>
        <v>De Materialidade</v>
      </c>
      <c r="M41" s="33" t="str">
        <f t="shared" si="9"/>
        <v>Material Construtivo</v>
      </c>
      <c r="N41" s="33" t="str">
        <f t="shared" si="9"/>
        <v>Materiais em Peças Metálicas</v>
      </c>
      <c r="O41" s="33" t="str">
        <f t="shared" si="9"/>
        <v>Alumínio Anodizado</v>
      </c>
      <c r="P41" s="63" t="s">
        <v>569</v>
      </c>
      <c r="Q41" s="67" t="s">
        <v>570</v>
      </c>
      <c r="R41" s="67" t="s">
        <v>571</v>
      </c>
      <c r="S41" s="69" t="s">
        <v>9</v>
      </c>
      <c r="T41" s="30" t="str">
        <f t="shared" si="5"/>
        <v>De Materialidade</v>
      </c>
      <c r="U41" s="30" t="str">
        <f t="shared" si="5"/>
        <v>Material Construtivo</v>
      </c>
      <c r="V41" s="30" t="str">
        <f t="shared" si="5"/>
        <v>Materiais em Peças Metálicas</v>
      </c>
      <c r="W41" s="30" t="s">
        <v>220</v>
      </c>
      <c r="X41" s="59" t="str">
        <f t="shared" si="3"/>
        <v>Key-INC-41</v>
      </c>
      <c r="Y41" s="30" t="s">
        <v>527</v>
      </c>
      <c r="Z41" s="64" t="s">
        <v>9</v>
      </c>
      <c r="AA41" s="30" t="s">
        <v>374</v>
      </c>
      <c r="AB41" s="64" t="s">
        <v>9</v>
      </c>
      <c r="AC41" s="30" t="s">
        <v>384</v>
      </c>
      <c r="AD41" s="64" t="s">
        <v>9</v>
      </c>
    </row>
    <row r="42" spans="1:30" s="70" customFormat="1" ht="6" customHeight="1" x14ac:dyDescent="0.4">
      <c r="A42" s="60">
        <v>42</v>
      </c>
      <c r="B42" s="1" t="s">
        <v>291</v>
      </c>
      <c r="C42" s="1" t="s">
        <v>373</v>
      </c>
      <c r="D42" s="1" t="s">
        <v>388</v>
      </c>
      <c r="E42" s="1" t="s">
        <v>572</v>
      </c>
      <c r="F42" s="57" t="s">
        <v>573</v>
      </c>
      <c r="G42" s="61" t="s">
        <v>9</v>
      </c>
      <c r="H42" s="61" t="s">
        <v>9</v>
      </c>
      <c r="I42" s="61" t="s">
        <v>9</v>
      </c>
      <c r="J42" s="61" t="s">
        <v>9</v>
      </c>
      <c r="K42" s="61" t="s">
        <v>9</v>
      </c>
      <c r="L42" s="33" t="str">
        <f t="shared" si="9"/>
        <v>De Materialidade</v>
      </c>
      <c r="M42" s="33" t="str">
        <f t="shared" si="9"/>
        <v>Material Construtivo</v>
      </c>
      <c r="N42" s="33" t="str">
        <f t="shared" si="9"/>
        <v>Quadros Metálicos</v>
      </c>
      <c r="O42" s="33" t="str">
        <f t="shared" si="9"/>
        <v>Quadro Metálico Elétrica</v>
      </c>
      <c r="P42" s="67" t="s">
        <v>574</v>
      </c>
      <c r="Q42" s="67" t="s">
        <v>575</v>
      </c>
      <c r="R42" s="67" t="s">
        <v>576</v>
      </c>
      <c r="S42" s="69" t="s">
        <v>9</v>
      </c>
      <c r="T42" s="30" t="str">
        <f t="shared" si="5"/>
        <v>De Materialidade</v>
      </c>
      <c r="U42" s="30" t="str">
        <f t="shared" si="5"/>
        <v>Material Construtivo</v>
      </c>
      <c r="V42" s="30" t="str">
        <f t="shared" si="5"/>
        <v>Quadros Metálicos</v>
      </c>
      <c r="W42" s="30" t="s">
        <v>220</v>
      </c>
      <c r="X42" s="59" t="str">
        <f t="shared" si="3"/>
        <v>Key-INC-42</v>
      </c>
      <c r="Y42" s="30" t="s">
        <v>420</v>
      </c>
      <c r="Z42" s="64" t="s">
        <v>9</v>
      </c>
      <c r="AA42" s="30" t="s">
        <v>374</v>
      </c>
      <c r="AB42" s="64" t="s">
        <v>9</v>
      </c>
      <c r="AC42" s="30" t="s">
        <v>421</v>
      </c>
      <c r="AD42" s="64" t="s">
        <v>9</v>
      </c>
    </row>
    <row r="43" spans="1:30" s="70" customFormat="1" ht="6" customHeight="1" x14ac:dyDescent="0.4">
      <c r="A43" s="60">
        <v>43</v>
      </c>
      <c r="B43" s="1" t="s">
        <v>291</v>
      </c>
      <c r="C43" s="1" t="s">
        <v>373</v>
      </c>
      <c r="D43" s="1" t="s">
        <v>388</v>
      </c>
      <c r="E43" s="1" t="s">
        <v>572</v>
      </c>
      <c r="F43" s="57" t="s">
        <v>577</v>
      </c>
      <c r="G43" s="61" t="s">
        <v>9</v>
      </c>
      <c r="H43" s="61" t="s">
        <v>9</v>
      </c>
      <c r="I43" s="61" t="s">
        <v>9</v>
      </c>
      <c r="J43" s="61" t="s">
        <v>9</v>
      </c>
      <c r="K43" s="61" t="s">
        <v>9</v>
      </c>
      <c r="L43" s="33" t="str">
        <f t="shared" si="9"/>
        <v>De Materialidade</v>
      </c>
      <c r="M43" s="33" t="str">
        <f t="shared" si="9"/>
        <v>Material Construtivo</v>
      </c>
      <c r="N43" s="33" t="str">
        <f t="shared" si="9"/>
        <v>Quadros Metálicos</v>
      </c>
      <c r="O43" s="33" t="str">
        <f t="shared" si="9"/>
        <v>Quadro Metálico Telecom</v>
      </c>
      <c r="P43" s="67" t="s">
        <v>578</v>
      </c>
      <c r="Q43" s="67" t="s">
        <v>579</v>
      </c>
      <c r="R43" s="67" t="s">
        <v>580</v>
      </c>
      <c r="S43" s="69" t="s">
        <v>9</v>
      </c>
      <c r="T43" s="30" t="str">
        <f t="shared" si="5"/>
        <v>De Materialidade</v>
      </c>
      <c r="U43" s="30" t="str">
        <f t="shared" si="5"/>
        <v>Material Construtivo</v>
      </c>
      <c r="V43" s="30" t="str">
        <f t="shared" si="5"/>
        <v>Quadros Metálicos</v>
      </c>
      <c r="W43" s="30" t="s">
        <v>220</v>
      </c>
      <c r="X43" s="59" t="str">
        <f t="shared" si="3"/>
        <v>Key-INC-43</v>
      </c>
      <c r="Y43" s="30" t="s">
        <v>420</v>
      </c>
      <c r="Z43" s="64" t="s">
        <v>9</v>
      </c>
      <c r="AA43" s="30" t="s">
        <v>374</v>
      </c>
      <c r="AB43" s="64" t="s">
        <v>9</v>
      </c>
      <c r="AC43" s="30" t="s">
        <v>421</v>
      </c>
      <c r="AD43" s="64" t="s">
        <v>9</v>
      </c>
    </row>
    <row r="44" spans="1:30" s="70" customFormat="1" ht="6" customHeight="1" x14ac:dyDescent="0.4">
      <c r="A44" s="60">
        <v>44</v>
      </c>
      <c r="B44" s="1" t="s">
        <v>291</v>
      </c>
      <c r="C44" s="1" t="s">
        <v>373</v>
      </c>
      <c r="D44" s="1" t="s">
        <v>388</v>
      </c>
      <c r="E44" s="1" t="s">
        <v>581</v>
      </c>
      <c r="F44" s="57" t="s">
        <v>582</v>
      </c>
      <c r="G44" s="61" t="s">
        <v>9</v>
      </c>
      <c r="H44" s="61" t="s">
        <v>9</v>
      </c>
      <c r="I44" s="61" t="s">
        <v>9</v>
      </c>
      <c r="J44" s="61" t="s">
        <v>9</v>
      </c>
      <c r="K44" s="61" t="s">
        <v>9</v>
      </c>
      <c r="L44" s="33" t="str">
        <f t="shared" si="9"/>
        <v>De Materialidade</v>
      </c>
      <c r="M44" s="33" t="str">
        <f t="shared" si="9"/>
        <v>Material Construtivo</v>
      </c>
      <c r="N44" s="33" t="str">
        <f t="shared" si="9"/>
        <v>Quadros Plásticos</v>
      </c>
      <c r="O44" s="33" t="str">
        <f t="shared" si="9"/>
        <v>Quadro PVC Elétrica</v>
      </c>
      <c r="P44" s="67" t="s">
        <v>583</v>
      </c>
      <c r="Q44" s="67" t="s">
        <v>584</v>
      </c>
      <c r="R44" s="67" t="s">
        <v>585</v>
      </c>
      <c r="S44" s="69" t="s">
        <v>9</v>
      </c>
      <c r="T44" s="30" t="str">
        <f t="shared" si="5"/>
        <v>De Materialidade</v>
      </c>
      <c r="U44" s="30" t="str">
        <f t="shared" si="5"/>
        <v>Material Construtivo</v>
      </c>
      <c r="V44" s="30" t="str">
        <f t="shared" si="5"/>
        <v>Quadros Plásticos</v>
      </c>
      <c r="W44" s="30" t="s">
        <v>220</v>
      </c>
      <c r="X44" s="59" t="str">
        <f t="shared" si="3"/>
        <v>Key-INC-44</v>
      </c>
      <c r="Y44" s="30" t="s">
        <v>420</v>
      </c>
      <c r="Z44" s="64" t="s">
        <v>9</v>
      </c>
      <c r="AA44" s="30" t="s">
        <v>374</v>
      </c>
      <c r="AB44" s="64" t="s">
        <v>9</v>
      </c>
      <c r="AC44" s="30" t="s">
        <v>421</v>
      </c>
      <c r="AD44" s="64" t="s">
        <v>9</v>
      </c>
    </row>
    <row r="45" spans="1:30" s="55" customFormat="1" ht="6" customHeight="1" x14ac:dyDescent="0.4">
      <c r="A45" s="60">
        <v>45</v>
      </c>
      <c r="B45" s="1" t="s">
        <v>291</v>
      </c>
      <c r="C45" s="1" t="s">
        <v>373</v>
      </c>
      <c r="D45" s="1" t="s">
        <v>388</v>
      </c>
      <c r="E45" s="1" t="s">
        <v>581</v>
      </c>
      <c r="F45" s="57" t="s">
        <v>586</v>
      </c>
      <c r="G45" s="61" t="s">
        <v>9</v>
      </c>
      <c r="H45" s="61" t="s">
        <v>9</v>
      </c>
      <c r="I45" s="61" t="s">
        <v>9</v>
      </c>
      <c r="J45" s="61" t="s">
        <v>9</v>
      </c>
      <c r="K45" s="61" t="s">
        <v>9</v>
      </c>
      <c r="L45" s="33" t="str">
        <f t="shared" si="9"/>
        <v>De Materialidade</v>
      </c>
      <c r="M45" s="33" t="str">
        <f t="shared" si="9"/>
        <v>Material Construtivo</v>
      </c>
      <c r="N45" s="33" t="str">
        <f t="shared" si="9"/>
        <v>Quadros Plásticos</v>
      </c>
      <c r="O45" s="33" t="str">
        <f t="shared" si="9"/>
        <v>Quadro PVC Telecom</v>
      </c>
      <c r="P45" s="67" t="s">
        <v>587</v>
      </c>
      <c r="Q45" s="67" t="s">
        <v>588</v>
      </c>
      <c r="R45" s="67" t="s">
        <v>589</v>
      </c>
      <c r="S45" s="69" t="s">
        <v>9</v>
      </c>
      <c r="T45" s="30" t="str">
        <f t="shared" si="5"/>
        <v>De Materialidade</v>
      </c>
      <c r="U45" s="30" t="str">
        <f t="shared" si="5"/>
        <v>Material Construtivo</v>
      </c>
      <c r="V45" s="30" t="str">
        <f t="shared" si="5"/>
        <v>Quadros Plásticos</v>
      </c>
      <c r="W45" s="30" t="s">
        <v>220</v>
      </c>
      <c r="X45" s="59" t="str">
        <f t="shared" si="3"/>
        <v>Key-INC-45</v>
      </c>
      <c r="Y45" s="30" t="s">
        <v>420</v>
      </c>
      <c r="Z45" s="64" t="s">
        <v>9</v>
      </c>
      <c r="AA45" s="30" t="s">
        <v>374</v>
      </c>
      <c r="AB45" s="64" t="s">
        <v>9</v>
      </c>
      <c r="AC45" s="30" t="s">
        <v>421</v>
      </c>
      <c r="AD45" s="64" t="s">
        <v>9</v>
      </c>
    </row>
    <row r="46" spans="1:30" s="55" customFormat="1" ht="6" customHeight="1" x14ac:dyDescent="0.4">
      <c r="A46" s="60">
        <v>46</v>
      </c>
      <c r="B46" s="1" t="s">
        <v>291</v>
      </c>
      <c r="C46" s="1" t="s">
        <v>373</v>
      </c>
      <c r="D46" s="1" t="s">
        <v>388</v>
      </c>
      <c r="E46" s="1" t="s">
        <v>590</v>
      </c>
      <c r="F46" s="57" t="s">
        <v>591</v>
      </c>
      <c r="G46" s="61" t="s">
        <v>9</v>
      </c>
      <c r="H46" s="61" t="s">
        <v>9</v>
      </c>
      <c r="I46" s="61" t="s">
        <v>9</v>
      </c>
      <c r="J46" s="61" t="s">
        <v>9</v>
      </c>
      <c r="K46" s="61" t="s">
        <v>9</v>
      </c>
      <c r="L46" s="33" t="str">
        <f t="shared" si="9"/>
        <v>De Materialidade</v>
      </c>
      <c r="M46" s="33" t="str">
        <f t="shared" si="9"/>
        <v>Material Construtivo</v>
      </c>
      <c r="N46" s="33" t="str">
        <f t="shared" si="9"/>
        <v>Tubos Compostos</v>
      </c>
      <c r="O46" s="33" t="str">
        <f t="shared" si="9"/>
        <v>Tubo de Multicamada</v>
      </c>
      <c r="P46" s="67" t="s">
        <v>592</v>
      </c>
      <c r="Q46" s="67" t="s">
        <v>593</v>
      </c>
      <c r="R46" s="67" t="s">
        <v>594</v>
      </c>
      <c r="S46" s="69" t="s">
        <v>9</v>
      </c>
      <c r="T46" s="30" t="str">
        <f t="shared" si="5"/>
        <v>De Materialidade</v>
      </c>
      <c r="U46" s="30" t="str">
        <f t="shared" si="5"/>
        <v>Material Construtivo</v>
      </c>
      <c r="V46" s="30" t="str">
        <f t="shared" si="5"/>
        <v>Tubos Compostos</v>
      </c>
      <c r="W46" s="30" t="s">
        <v>220</v>
      </c>
      <c r="X46" s="59" t="str">
        <f t="shared" si="3"/>
        <v>Key-INC-46</v>
      </c>
      <c r="Y46" s="30" t="s">
        <v>527</v>
      </c>
      <c r="Z46" s="64" t="s">
        <v>9</v>
      </c>
      <c r="AA46" s="30" t="s">
        <v>374</v>
      </c>
      <c r="AB46" s="64" t="s">
        <v>9</v>
      </c>
      <c r="AC46" s="30" t="s">
        <v>384</v>
      </c>
      <c r="AD46" s="64" t="s">
        <v>9</v>
      </c>
    </row>
    <row r="47" spans="1:30" s="55" customFormat="1" ht="6" customHeight="1" x14ac:dyDescent="0.4">
      <c r="A47" s="60">
        <v>47</v>
      </c>
      <c r="B47" s="1" t="s">
        <v>291</v>
      </c>
      <c r="C47" s="1" t="s">
        <v>373</v>
      </c>
      <c r="D47" s="1" t="s">
        <v>388</v>
      </c>
      <c r="E47" s="1" t="s">
        <v>595</v>
      </c>
      <c r="F47" s="68" t="s">
        <v>596</v>
      </c>
      <c r="G47" s="61" t="s">
        <v>9</v>
      </c>
      <c r="H47" s="61" t="s">
        <v>9</v>
      </c>
      <c r="I47" s="61" t="s">
        <v>9</v>
      </c>
      <c r="J47" s="61" t="s">
        <v>9</v>
      </c>
      <c r="K47" s="61" t="s">
        <v>9</v>
      </c>
      <c r="L47" s="33" t="str">
        <f t="shared" si="9"/>
        <v>De Materialidade</v>
      </c>
      <c r="M47" s="33" t="str">
        <f t="shared" si="9"/>
        <v>Material Construtivo</v>
      </c>
      <c r="N47" s="33" t="str">
        <f t="shared" si="9"/>
        <v>Tubos Metálicos</v>
      </c>
      <c r="O47" s="33" t="str">
        <f t="shared" si="9"/>
        <v>Tubo de Aço Carbono</v>
      </c>
      <c r="P47" s="63" t="s">
        <v>597</v>
      </c>
      <c r="Q47" s="67" t="s">
        <v>598</v>
      </c>
      <c r="R47" s="67" t="s">
        <v>599</v>
      </c>
      <c r="S47" s="69" t="s">
        <v>9</v>
      </c>
      <c r="T47" s="30" t="str">
        <f t="shared" si="5"/>
        <v>De Materialidade</v>
      </c>
      <c r="U47" s="30" t="str">
        <f t="shared" si="5"/>
        <v>Material Construtivo</v>
      </c>
      <c r="V47" s="30" t="str">
        <f t="shared" si="5"/>
        <v>Tubos Metálicos</v>
      </c>
      <c r="W47" s="30" t="s">
        <v>220</v>
      </c>
      <c r="X47" s="59" t="str">
        <f t="shared" si="3"/>
        <v>Key-INC-47</v>
      </c>
      <c r="Y47" s="30" t="s">
        <v>527</v>
      </c>
      <c r="Z47" s="64" t="s">
        <v>9</v>
      </c>
      <c r="AA47" s="30" t="s">
        <v>374</v>
      </c>
      <c r="AB47" s="64" t="s">
        <v>9</v>
      </c>
      <c r="AC47" s="30" t="s">
        <v>384</v>
      </c>
      <c r="AD47" s="64" t="s">
        <v>9</v>
      </c>
    </row>
    <row r="48" spans="1:30" s="55" customFormat="1" ht="6" customHeight="1" x14ac:dyDescent="0.4">
      <c r="A48" s="60">
        <v>48</v>
      </c>
      <c r="B48" s="1" t="s">
        <v>291</v>
      </c>
      <c r="C48" s="1" t="s">
        <v>373</v>
      </c>
      <c r="D48" s="1" t="s">
        <v>388</v>
      </c>
      <c r="E48" s="1" t="s">
        <v>595</v>
      </c>
      <c r="F48" s="57" t="s">
        <v>376</v>
      </c>
      <c r="G48" s="61" t="s">
        <v>9</v>
      </c>
      <c r="H48" s="61" t="s">
        <v>9</v>
      </c>
      <c r="I48" s="61" t="s">
        <v>9</v>
      </c>
      <c r="J48" s="61" t="s">
        <v>9</v>
      </c>
      <c r="K48" s="61" t="s">
        <v>9</v>
      </c>
      <c r="L48" s="33" t="str">
        <f t="shared" si="9"/>
        <v>De Materialidade</v>
      </c>
      <c r="M48" s="33" t="str">
        <f t="shared" si="9"/>
        <v>Material Construtivo</v>
      </c>
      <c r="N48" s="33" t="str">
        <f t="shared" si="9"/>
        <v>Tubos Metálicos</v>
      </c>
      <c r="O48" s="33" t="str">
        <f t="shared" si="9"/>
        <v>Tubo de Aço Costura</v>
      </c>
      <c r="P48" s="67" t="s">
        <v>600</v>
      </c>
      <c r="Q48" s="67" t="s">
        <v>601</v>
      </c>
      <c r="R48" s="67" t="s">
        <v>602</v>
      </c>
      <c r="S48" s="69" t="s">
        <v>9</v>
      </c>
      <c r="T48" s="30" t="str">
        <f t="shared" si="5"/>
        <v>De Materialidade</v>
      </c>
      <c r="U48" s="30" t="str">
        <f t="shared" si="5"/>
        <v>Material Construtivo</v>
      </c>
      <c r="V48" s="30" t="str">
        <f t="shared" si="5"/>
        <v>Tubos Metálicos</v>
      </c>
      <c r="W48" s="30" t="s">
        <v>220</v>
      </c>
      <c r="X48" s="59" t="str">
        <f t="shared" si="3"/>
        <v>Key-INC-48</v>
      </c>
      <c r="Y48" s="30" t="s">
        <v>527</v>
      </c>
      <c r="Z48" s="64" t="s">
        <v>9</v>
      </c>
      <c r="AA48" s="30" t="s">
        <v>374</v>
      </c>
      <c r="AB48" s="64" t="s">
        <v>9</v>
      </c>
      <c r="AC48" s="30" t="s">
        <v>375</v>
      </c>
      <c r="AD48" s="64" t="s">
        <v>9</v>
      </c>
    </row>
    <row r="49" spans="1:30" s="55" customFormat="1" ht="6" customHeight="1" x14ac:dyDescent="0.4">
      <c r="A49" s="60">
        <v>49</v>
      </c>
      <c r="B49" s="1" t="s">
        <v>291</v>
      </c>
      <c r="C49" s="1" t="s">
        <v>373</v>
      </c>
      <c r="D49" s="1" t="s">
        <v>388</v>
      </c>
      <c r="E49" s="1" t="s">
        <v>595</v>
      </c>
      <c r="F49" s="68" t="s">
        <v>603</v>
      </c>
      <c r="G49" s="61" t="s">
        <v>9</v>
      </c>
      <c r="H49" s="61" t="s">
        <v>9</v>
      </c>
      <c r="I49" s="61" t="s">
        <v>9</v>
      </c>
      <c r="J49" s="61" t="s">
        <v>9</v>
      </c>
      <c r="K49" s="61" t="s">
        <v>9</v>
      </c>
      <c r="L49" s="33" t="str">
        <f t="shared" si="9"/>
        <v>De Materialidade</v>
      </c>
      <c r="M49" s="33" t="str">
        <f t="shared" si="9"/>
        <v>Material Construtivo</v>
      </c>
      <c r="N49" s="33" t="str">
        <f t="shared" si="9"/>
        <v>Tubos Metálicos</v>
      </c>
      <c r="O49" s="33" t="str">
        <f t="shared" si="9"/>
        <v>Tubo de Aço Galvanizado</v>
      </c>
      <c r="P49" s="63" t="s">
        <v>604</v>
      </c>
      <c r="Q49" s="67" t="s">
        <v>605</v>
      </c>
      <c r="R49" s="67" t="s">
        <v>606</v>
      </c>
      <c r="S49" s="69" t="s">
        <v>9</v>
      </c>
      <c r="T49" s="30" t="str">
        <f t="shared" si="5"/>
        <v>De Materialidade</v>
      </c>
      <c r="U49" s="30" t="str">
        <f t="shared" si="5"/>
        <v>Material Construtivo</v>
      </c>
      <c r="V49" s="30" t="str">
        <f t="shared" si="5"/>
        <v>Tubos Metálicos</v>
      </c>
      <c r="W49" s="30" t="s">
        <v>220</v>
      </c>
      <c r="X49" s="59" t="str">
        <f t="shared" si="3"/>
        <v>Key-INC-49</v>
      </c>
      <c r="Y49" s="30" t="s">
        <v>527</v>
      </c>
      <c r="Z49" s="64" t="s">
        <v>9</v>
      </c>
      <c r="AA49" s="30" t="s">
        <v>374</v>
      </c>
      <c r="AB49" s="64" t="s">
        <v>9</v>
      </c>
      <c r="AC49" s="30" t="s">
        <v>384</v>
      </c>
      <c r="AD49" s="64" t="s">
        <v>9</v>
      </c>
    </row>
    <row r="50" spans="1:30" s="55" customFormat="1" ht="6" customHeight="1" x14ac:dyDescent="0.4">
      <c r="A50" s="60">
        <v>50</v>
      </c>
      <c r="B50" s="1" t="s">
        <v>291</v>
      </c>
      <c r="C50" s="1" t="s">
        <v>373</v>
      </c>
      <c r="D50" s="1" t="s">
        <v>388</v>
      </c>
      <c r="E50" s="1" t="s">
        <v>595</v>
      </c>
      <c r="F50" s="68" t="s">
        <v>607</v>
      </c>
      <c r="G50" s="61" t="s">
        <v>9</v>
      </c>
      <c r="H50" s="61" t="s">
        <v>9</v>
      </c>
      <c r="I50" s="61" t="s">
        <v>9</v>
      </c>
      <c r="J50" s="61" t="s">
        <v>9</v>
      </c>
      <c r="K50" s="61" t="s">
        <v>9</v>
      </c>
      <c r="L50" s="33" t="str">
        <f t="shared" si="9"/>
        <v>De Materialidade</v>
      </c>
      <c r="M50" s="33" t="str">
        <f t="shared" si="9"/>
        <v>Material Construtivo</v>
      </c>
      <c r="N50" s="33" t="str">
        <f t="shared" si="9"/>
        <v>Tubos Metálicos</v>
      </c>
      <c r="O50" s="33" t="str">
        <f t="shared" si="9"/>
        <v>Tubo de Aço Inoxidável</v>
      </c>
      <c r="P50" s="63" t="s">
        <v>608</v>
      </c>
      <c r="Q50" s="67" t="s">
        <v>609</v>
      </c>
      <c r="R50" s="67" t="s">
        <v>610</v>
      </c>
      <c r="S50" s="69" t="s">
        <v>9</v>
      </c>
      <c r="T50" s="30" t="str">
        <f t="shared" ref="T50:V62" si="10">SUBSTITUTE(C50, ".", " ")</f>
        <v>De Materialidade</v>
      </c>
      <c r="U50" s="30" t="str">
        <f t="shared" si="10"/>
        <v>Material Construtivo</v>
      </c>
      <c r="V50" s="30" t="str">
        <f t="shared" si="10"/>
        <v>Tubos Metálicos</v>
      </c>
      <c r="W50" s="30" t="s">
        <v>220</v>
      </c>
      <c r="X50" s="59" t="str">
        <f t="shared" si="3"/>
        <v>Key-INC-50</v>
      </c>
      <c r="Y50" s="30" t="s">
        <v>527</v>
      </c>
      <c r="Z50" s="64" t="s">
        <v>9</v>
      </c>
      <c r="AA50" s="30" t="s">
        <v>374</v>
      </c>
      <c r="AB50" s="64" t="s">
        <v>9</v>
      </c>
      <c r="AC50" s="30" t="s">
        <v>384</v>
      </c>
      <c r="AD50" s="64" t="s">
        <v>9</v>
      </c>
    </row>
    <row r="51" spans="1:30" s="56" customFormat="1" ht="6" customHeight="1" x14ac:dyDescent="0.4">
      <c r="A51" s="60">
        <v>51</v>
      </c>
      <c r="B51" s="1" t="s">
        <v>291</v>
      </c>
      <c r="C51" s="1" t="s">
        <v>373</v>
      </c>
      <c r="D51" s="1" t="s">
        <v>388</v>
      </c>
      <c r="E51" s="1" t="s">
        <v>595</v>
      </c>
      <c r="F51" s="68" t="s">
        <v>611</v>
      </c>
      <c r="G51" s="61" t="s">
        <v>9</v>
      </c>
      <c r="H51" s="61" t="s">
        <v>9</v>
      </c>
      <c r="I51" s="61" t="s">
        <v>9</v>
      </c>
      <c r="J51" s="61" t="s">
        <v>9</v>
      </c>
      <c r="K51" s="61" t="s">
        <v>9</v>
      </c>
      <c r="L51" s="33" t="str">
        <f t="shared" si="9"/>
        <v>De Materialidade</v>
      </c>
      <c r="M51" s="33" t="str">
        <f t="shared" si="9"/>
        <v>Material Construtivo</v>
      </c>
      <c r="N51" s="33" t="str">
        <f t="shared" si="9"/>
        <v>Tubos Metálicos</v>
      </c>
      <c r="O51" s="33" t="str">
        <f t="shared" si="9"/>
        <v>Tubo de Alumínio</v>
      </c>
      <c r="P51" s="63" t="s">
        <v>612</v>
      </c>
      <c r="Q51" s="67" t="s">
        <v>613</v>
      </c>
      <c r="R51" s="67" t="s">
        <v>614</v>
      </c>
      <c r="S51" s="69" t="s">
        <v>9</v>
      </c>
      <c r="T51" s="30" t="str">
        <f t="shared" si="10"/>
        <v>De Materialidade</v>
      </c>
      <c r="U51" s="30" t="str">
        <f t="shared" si="10"/>
        <v>Material Construtivo</v>
      </c>
      <c r="V51" s="30" t="str">
        <f t="shared" si="10"/>
        <v>Tubos Metálicos</v>
      </c>
      <c r="W51" s="30" t="s">
        <v>220</v>
      </c>
      <c r="X51" s="59" t="str">
        <f t="shared" si="3"/>
        <v>Key-INC-51</v>
      </c>
      <c r="Y51" s="30" t="s">
        <v>527</v>
      </c>
      <c r="Z51" s="64" t="s">
        <v>9</v>
      </c>
      <c r="AA51" s="30" t="s">
        <v>374</v>
      </c>
      <c r="AB51" s="64" t="s">
        <v>9</v>
      </c>
      <c r="AC51" s="30" t="s">
        <v>384</v>
      </c>
      <c r="AD51" s="64" t="s">
        <v>9</v>
      </c>
    </row>
    <row r="52" spans="1:30" s="56" customFormat="1" ht="6" customHeight="1" x14ac:dyDescent="0.4">
      <c r="A52" s="60">
        <v>52</v>
      </c>
      <c r="B52" s="1" t="s">
        <v>291</v>
      </c>
      <c r="C52" s="1" t="s">
        <v>373</v>
      </c>
      <c r="D52" s="1" t="s">
        <v>388</v>
      </c>
      <c r="E52" s="1" t="s">
        <v>595</v>
      </c>
      <c r="F52" s="57" t="s">
        <v>377</v>
      </c>
      <c r="G52" s="61" t="s">
        <v>9</v>
      </c>
      <c r="H52" s="61" t="s">
        <v>9</v>
      </c>
      <c r="I52" s="61" t="s">
        <v>9</v>
      </c>
      <c r="J52" s="61" t="s">
        <v>9</v>
      </c>
      <c r="K52" s="61" t="s">
        <v>9</v>
      </c>
      <c r="L52" s="33" t="str">
        <f t="shared" si="9"/>
        <v>De Materialidade</v>
      </c>
      <c r="M52" s="33" t="str">
        <f t="shared" si="9"/>
        <v>Material Construtivo</v>
      </c>
      <c r="N52" s="33" t="str">
        <f t="shared" si="9"/>
        <v>Tubos Metálicos</v>
      </c>
      <c r="O52" s="33" t="str">
        <f t="shared" si="9"/>
        <v>Tubo de Cobre</v>
      </c>
      <c r="P52" s="67" t="s">
        <v>615</v>
      </c>
      <c r="Q52" s="67" t="s">
        <v>616</v>
      </c>
      <c r="R52" s="67" t="s">
        <v>617</v>
      </c>
      <c r="S52" s="69" t="s">
        <v>9</v>
      </c>
      <c r="T52" s="30" t="str">
        <f t="shared" si="10"/>
        <v>De Materialidade</v>
      </c>
      <c r="U52" s="30" t="str">
        <f t="shared" si="10"/>
        <v>Material Construtivo</v>
      </c>
      <c r="V52" s="30" t="str">
        <f t="shared" si="10"/>
        <v>Tubos Metálicos</v>
      </c>
      <c r="W52" s="30" t="s">
        <v>220</v>
      </c>
      <c r="X52" s="59" t="str">
        <f t="shared" si="3"/>
        <v>Key-INC-52</v>
      </c>
      <c r="Y52" s="30" t="s">
        <v>527</v>
      </c>
      <c r="Z52" s="64" t="s">
        <v>9</v>
      </c>
      <c r="AA52" s="30" t="s">
        <v>374</v>
      </c>
      <c r="AB52" s="64" t="s">
        <v>9</v>
      </c>
      <c r="AC52" s="30" t="s">
        <v>378</v>
      </c>
      <c r="AD52" s="64" t="s">
        <v>9</v>
      </c>
    </row>
    <row r="53" spans="1:30" s="56" customFormat="1" ht="6" customHeight="1" x14ac:dyDescent="0.4">
      <c r="A53" s="60">
        <v>53</v>
      </c>
      <c r="B53" s="1" t="s">
        <v>291</v>
      </c>
      <c r="C53" s="1" t="s">
        <v>373</v>
      </c>
      <c r="D53" s="1" t="s">
        <v>388</v>
      </c>
      <c r="E53" s="1" t="s">
        <v>595</v>
      </c>
      <c r="F53" s="57" t="s">
        <v>379</v>
      </c>
      <c r="G53" s="61" t="s">
        <v>9</v>
      </c>
      <c r="H53" s="61" t="s">
        <v>9</v>
      </c>
      <c r="I53" s="61" t="s">
        <v>9</v>
      </c>
      <c r="J53" s="61" t="s">
        <v>9</v>
      </c>
      <c r="K53" s="61" t="s">
        <v>9</v>
      </c>
      <c r="L53" s="33" t="str">
        <f t="shared" si="9"/>
        <v>De Materialidade</v>
      </c>
      <c r="M53" s="33" t="str">
        <f t="shared" si="9"/>
        <v>Material Construtivo</v>
      </c>
      <c r="N53" s="33" t="str">
        <f t="shared" si="9"/>
        <v>Tubos Metálicos</v>
      </c>
      <c r="O53" s="33" t="str">
        <f t="shared" si="9"/>
        <v>Tubo de FoFo</v>
      </c>
      <c r="P53" s="67" t="s">
        <v>618</v>
      </c>
      <c r="Q53" s="67" t="s">
        <v>619</v>
      </c>
      <c r="R53" s="67" t="s">
        <v>620</v>
      </c>
      <c r="S53" s="69" t="s">
        <v>9</v>
      </c>
      <c r="T53" s="30" t="str">
        <f t="shared" si="10"/>
        <v>De Materialidade</v>
      </c>
      <c r="U53" s="30" t="str">
        <f t="shared" si="10"/>
        <v>Material Construtivo</v>
      </c>
      <c r="V53" s="30" t="str">
        <f t="shared" si="10"/>
        <v>Tubos Metálicos</v>
      </c>
      <c r="W53" s="30" t="s">
        <v>220</v>
      </c>
      <c r="X53" s="59" t="str">
        <f t="shared" si="3"/>
        <v>Key-INC-53</v>
      </c>
      <c r="Y53" s="30" t="s">
        <v>527</v>
      </c>
      <c r="Z53" s="64" t="s">
        <v>9</v>
      </c>
      <c r="AA53" s="30" t="s">
        <v>374</v>
      </c>
      <c r="AB53" s="64" t="s">
        <v>9</v>
      </c>
      <c r="AC53" s="30" t="s">
        <v>380</v>
      </c>
      <c r="AD53" s="64" t="s">
        <v>9</v>
      </c>
    </row>
    <row r="54" spans="1:30" s="56" customFormat="1" ht="6" customHeight="1" x14ac:dyDescent="0.4">
      <c r="A54" s="60">
        <v>54</v>
      </c>
      <c r="B54" s="1" t="s">
        <v>291</v>
      </c>
      <c r="C54" s="1" t="s">
        <v>373</v>
      </c>
      <c r="D54" s="1" t="s">
        <v>388</v>
      </c>
      <c r="E54" s="1" t="s">
        <v>595</v>
      </c>
      <c r="F54" s="57" t="s">
        <v>381</v>
      </c>
      <c r="G54" s="61" t="s">
        <v>9</v>
      </c>
      <c r="H54" s="61" t="s">
        <v>9</v>
      </c>
      <c r="I54" s="61" t="s">
        <v>9</v>
      </c>
      <c r="J54" s="61" t="s">
        <v>9</v>
      </c>
      <c r="K54" s="61" t="s">
        <v>9</v>
      </c>
      <c r="L54" s="33" t="str">
        <f t="shared" si="9"/>
        <v>De Materialidade</v>
      </c>
      <c r="M54" s="33" t="str">
        <f t="shared" si="9"/>
        <v>Material Construtivo</v>
      </c>
      <c r="N54" s="33" t="str">
        <f t="shared" si="9"/>
        <v>Tubos Metálicos</v>
      </c>
      <c r="O54" s="33" t="str">
        <f t="shared" si="9"/>
        <v>Tubo de Latão</v>
      </c>
      <c r="P54" s="67" t="s">
        <v>621</v>
      </c>
      <c r="Q54" s="67" t="s">
        <v>622</v>
      </c>
      <c r="R54" s="67" t="s">
        <v>623</v>
      </c>
      <c r="S54" s="69" t="s">
        <v>9</v>
      </c>
      <c r="T54" s="30" t="str">
        <f t="shared" si="10"/>
        <v>De Materialidade</v>
      </c>
      <c r="U54" s="30" t="str">
        <f t="shared" si="10"/>
        <v>Material Construtivo</v>
      </c>
      <c r="V54" s="30" t="str">
        <f t="shared" si="10"/>
        <v>Tubos Metálicos</v>
      </c>
      <c r="W54" s="30" t="s">
        <v>220</v>
      </c>
      <c r="X54" s="59" t="str">
        <f t="shared" si="3"/>
        <v>Key-INC-54</v>
      </c>
      <c r="Y54" s="30" t="s">
        <v>527</v>
      </c>
      <c r="Z54" s="64" t="s">
        <v>9</v>
      </c>
      <c r="AA54" s="30" t="s">
        <v>374</v>
      </c>
      <c r="AB54" s="64" t="s">
        <v>9</v>
      </c>
      <c r="AC54" s="30" t="s">
        <v>382</v>
      </c>
      <c r="AD54" s="64" t="s">
        <v>9</v>
      </c>
    </row>
    <row r="55" spans="1:30" s="56" customFormat="1" ht="6" customHeight="1" x14ac:dyDescent="0.4">
      <c r="A55" s="60">
        <v>55</v>
      </c>
      <c r="B55" s="1" t="s">
        <v>291</v>
      </c>
      <c r="C55" s="1" t="s">
        <v>373</v>
      </c>
      <c r="D55" s="1" t="s">
        <v>388</v>
      </c>
      <c r="E55" s="1" t="s">
        <v>624</v>
      </c>
      <c r="F55" s="57" t="s">
        <v>385</v>
      </c>
      <c r="G55" s="61" t="s">
        <v>9</v>
      </c>
      <c r="H55" s="61" t="s">
        <v>9</v>
      </c>
      <c r="I55" s="61" t="s">
        <v>9</v>
      </c>
      <c r="J55" s="61" t="s">
        <v>9</v>
      </c>
      <c r="K55" s="61" t="s">
        <v>9</v>
      </c>
      <c r="L55" s="33" t="str">
        <f t="shared" si="9"/>
        <v>De Materialidade</v>
      </c>
      <c r="M55" s="33" t="str">
        <f t="shared" si="9"/>
        <v>Material Construtivo</v>
      </c>
      <c r="N55" s="33" t="str">
        <f t="shared" si="9"/>
        <v>Tubos Plásticos</v>
      </c>
      <c r="O55" s="33" t="str">
        <f t="shared" si="9"/>
        <v>Tubo de PVC</v>
      </c>
      <c r="P55" s="67" t="s">
        <v>625</v>
      </c>
      <c r="Q55" s="67" t="s">
        <v>626</v>
      </c>
      <c r="R55" s="67" t="s">
        <v>627</v>
      </c>
      <c r="S55" s="69" t="s">
        <v>9</v>
      </c>
      <c r="T55" s="30" t="str">
        <f t="shared" si="10"/>
        <v>De Materialidade</v>
      </c>
      <c r="U55" s="30" t="str">
        <f t="shared" si="10"/>
        <v>Material Construtivo</v>
      </c>
      <c r="V55" s="30" t="str">
        <f t="shared" si="10"/>
        <v>Tubos Plásticos</v>
      </c>
      <c r="W55" s="30" t="s">
        <v>220</v>
      </c>
      <c r="X55" s="59" t="str">
        <f t="shared" si="3"/>
        <v>Key-INC-55</v>
      </c>
      <c r="Y55" s="30" t="s">
        <v>527</v>
      </c>
      <c r="Z55" s="64" t="s">
        <v>9</v>
      </c>
      <c r="AA55" s="30" t="s">
        <v>374</v>
      </c>
      <c r="AB55" s="64" t="s">
        <v>9</v>
      </c>
      <c r="AC55" s="30" t="s">
        <v>386</v>
      </c>
      <c r="AD55" s="64" t="s">
        <v>9</v>
      </c>
    </row>
    <row r="56" spans="1:30" s="56" customFormat="1" ht="6" customHeight="1" x14ac:dyDescent="0.4">
      <c r="A56" s="60">
        <v>56</v>
      </c>
      <c r="B56" s="1" t="s">
        <v>291</v>
      </c>
      <c r="C56" s="1" t="s">
        <v>373</v>
      </c>
      <c r="D56" s="1" t="s">
        <v>388</v>
      </c>
      <c r="E56" s="1" t="s">
        <v>624</v>
      </c>
      <c r="F56" s="57" t="s">
        <v>387</v>
      </c>
      <c r="G56" s="61" t="s">
        <v>9</v>
      </c>
      <c r="H56" s="61" t="s">
        <v>9</v>
      </c>
      <c r="I56" s="61" t="s">
        <v>9</v>
      </c>
      <c r="J56" s="61" t="s">
        <v>9</v>
      </c>
      <c r="K56" s="61" t="s">
        <v>9</v>
      </c>
      <c r="L56" s="33" t="str">
        <f t="shared" si="9"/>
        <v>De Materialidade</v>
      </c>
      <c r="M56" s="33" t="str">
        <f t="shared" si="9"/>
        <v>Material Construtivo</v>
      </c>
      <c r="N56" s="33" t="str">
        <f t="shared" si="9"/>
        <v>Tubos Plásticos</v>
      </c>
      <c r="O56" s="33" t="str">
        <f t="shared" si="9"/>
        <v>Tubo de PVCO</v>
      </c>
      <c r="P56" s="67" t="s">
        <v>628</v>
      </c>
      <c r="Q56" s="67" t="s">
        <v>629</v>
      </c>
      <c r="R56" s="67" t="s">
        <v>630</v>
      </c>
      <c r="S56" s="69" t="s">
        <v>9</v>
      </c>
      <c r="T56" s="30" t="str">
        <f t="shared" si="10"/>
        <v>De Materialidade</v>
      </c>
      <c r="U56" s="30" t="str">
        <f t="shared" si="10"/>
        <v>Material Construtivo</v>
      </c>
      <c r="V56" s="30" t="str">
        <f t="shared" si="10"/>
        <v>Tubos Plásticos</v>
      </c>
      <c r="W56" s="30" t="s">
        <v>220</v>
      </c>
      <c r="X56" s="59" t="str">
        <f t="shared" si="3"/>
        <v>Key-INC-56</v>
      </c>
      <c r="Y56" s="30" t="s">
        <v>527</v>
      </c>
      <c r="Z56" s="64" t="s">
        <v>9</v>
      </c>
      <c r="AA56" s="30" t="s">
        <v>374</v>
      </c>
      <c r="AB56" s="64" t="s">
        <v>9</v>
      </c>
      <c r="AC56" s="30" t="s">
        <v>386</v>
      </c>
      <c r="AD56" s="64" t="s">
        <v>9</v>
      </c>
    </row>
    <row r="57" spans="1:30" s="56" customFormat="1" ht="6" customHeight="1" x14ac:dyDescent="0.4">
      <c r="A57" s="60">
        <v>57</v>
      </c>
      <c r="B57" s="1" t="s">
        <v>291</v>
      </c>
      <c r="C57" s="1" t="s">
        <v>373</v>
      </c>
      <c r="D57" s="1" t="s">
        <v>388</v>
      </c>
      <c r="E57" s="1" t="s">
        <v>631</v>
      </c>
      <c r="F57" s="57" t="s">
        <v>383</v>
      </c>
      <c r="G57" s="61" t="s">
        <v>9</v>
      </c>
      <c r="H57" s="61" t="s">
        <v>9</v>
      </c>
      <c r="I57" s="61" t="s">
        <v>9</v>
      </c>
      <c r="J57" s="61" t="s">
        <v>9</v>
      </c>
      <c r="K57" s="61" t="s">
        <v>9</v>
      </c>
      <c r="L57" s="33" t="str">
        <f t="shared" si="9"/>
        <v>De Materialidade</v>
      </c>
      <c r="M57" s="33" t="str">
        <f t="shared" si="9"/>
        <v>Material Construtivo</v>
      </c>
      <c r="N57" s="33" t="str">
        <f t="shared" si="9"/>
        <v>Tubos Termoplásticos</v>
      </c>
      <c r="O57" s="33" t="str">
        <f t="shared" si="9"/>
        <v>Tubo de PEAD</v>
      </c>
      <c r="P57" s="67" t="s">
        <v>632</v>
      </c>
      <c r="Q57" s="67" t="s">
        <v>633</v>
      </c>
      <c r="R57" s="67" t="s">
        <v>634</v>
      </c>
      <c r="S57" s="69" t="s">
        <v>9</v>
      </c>
      <c r="T57" s="30" t="str">
        <f t="shared" si="10"/>
        <v>De Materialidade</v>
      </c>
      <c r="U57" s="30" t="str">
        <f t="shared" si="10"/>
        <v>Material Construtivo</v>
      </c>
      <c r="V57" s="30" t="str">
        <f t="shared" si="10"/>
        <v>Tubos Termoplásticos</v>
      </c>
      <c r="W57" s="30" t="s">
        <v>220</v>
      </c>
      <c r="X57" s="59" t="str">
        <f t="shared" si="3"/>
        <v>Key-INC-57</v>
      </c>
      <c r="Y57" s="30" t="s">
        <v>527</v>
      </c>
      <c r="Z57" s="64" t="s">
        <v>9</v>
      </c>
      <c r="AA57" s="30" t="s">
        <v>374</v>
      </c>
      <c r="AB57" s="64" t="s">
        <v>9</v>
      </c>
      <c r="AC57" s="30" t="s">
        <v>384</v>
      </c>
      <c r="AD57" s="64" t="s">
        <v>9</v>
      </c>
    </row>
    <row r="58" spans="1:30" s="56" customFormat="1" ht="6" customHeight="1" x14ac:dyDescent="0.4">
      <c r="A58" s="60">
        <v>58</v>
      </c>
      <c r="B58" s="1" t="s">
        <v>291</v>
      </c>
      <c r="C58" s="1" t="s">
        <v>373</v>
      </c>
      <c r="D58" s="1" t="s">
        <v>388</v>
      </c>
      <c r="E58" s="1" t="s">
        <v>631</v>
      </c>
      <c r="F58" s="68" t="s">
        <v>635</v>
      </c>
      <c r="G58" s="61" t="s">
        <v>9</v>
      </c>
      <c r="H58" s="61" t="s">
        <v>9</v>
      </c>
      <c r="I58" s="61" t="s">
        <v>9</v>
      </c>
      <c r="J58" s="61" t="s">
        <v>9</v>
      </c>
      <c r="K58" s="61" t="s">
        <v>9</v>
      </c>
      <c r="L58" s="33" t="str">
        <f t="shared" si="9"/>
        <v>De Materialidade</v>
      </c>
      <c r="M58" s="33" t="str">
        <f t="shared" si="9"/>
        <v>Material Construtivo</v>
      </c>
      <c r="N58" s="33" t="str">
        <f t="shared" si="9"/>
        <v>Tubos Termoplásticos</v>
      </c>
      <c r="O58" s="33" t="str">
        <f t="shared" si="9"/>
        <v>Tubo de PEX</v>
      </c>
      <c r="P58" s="63" t="s">
        <v>636</v>
      </c>
      <c r="Q58" s="67" t="s">
        <v>637</v>
      </c>
      <c r="R58" s="67" t="s">
        <v>638</v>
      </c>
      <c r="S58" s="69" t="s">
        <v>9</v>
      </c>
      <c r="T58" s="30" t="str">
        <f t="shared" si="10"/>
        <v>De Materialidade</v>
      </c>
      <c r="U58" s="30" t="str">
        <f t="shared" si="10"/>
        <v>Material Construtivo</v>
      </c>
      <c r="V58" s="30" t="str">
        <f t="shared" si="10"/>
        <v>Tubos Termoplásticos</v>
      </c>
      <c r="W58" s="30" t="s">
        <v>220</v>
      </c>
      <c r="X58" s="59" t="str">
        <f t="shared" si="3"/>
        <v>Key-INC-58</v>
      </c>
      <c r="Y58" s="30" t="s">
        <v>527</v>
      </c>
      <c r="Z58" s="64" t="s">
        <v>9</v>
      </c>
      <c r="AA58" s="30" t="s">
        <v>374</v>
      </c>
      <c r="AB58" s="64" t="s">
        <v>9</v>
      </c>
      <c r="AC58" s="30" t="s">
        <v>384</v>
      </c>
      <c r="AD58" s="64" t="s">
        <v>9</v>
      </c>
    </row>
    <row r="59" spans="1:30" s="56" customFormat="1" ht="6" customHeight="1" x14ac:dyDescent="0.4">
      <c r="A59" s="60">
        <v>59</v>
      </c>
      <c r="B59" s="1" t="s">
        <v>291</v>
      </c>
      <c r="C59" s="1" t="s">
        <v>373</v>
      </c>
      <c r="D59" s="1" t="s">
        <v>388</v>
      </c>
      <c r="E59" s="1" t="s">
        <v>631</v>
      </c>
      <c r="F59" s="68" t="s">
        <v>639</v>
      </c>
      <c r="G59" s="61" t="s">
        <v>9</v>
      </c>
      <c r="H59" s="61" t="s">
        <v>9</v>
      </c>
      <c r="I59" s="61" t="s">
        <v>9</v>
      </c>
      <c r="J59" s="61" t="s">
        <v>9</v>
      </c>
      <c r="K59" s="61" t="s">
        <v>9</v>
      </c>
      <c r="L59" s="33" t="str">
        <f t="shared" si="9"/>
        <v>De Materialidade</v>
      </c>
      <c r="M59" s="33" t="str">
        <f t="shared" si="9"/>
        <v>Material Construtivo</v>
      </c>
      <c r="N59" s="33" t="str">
        <f t="shared" si="9"/>
        <v>Tubos Termoplásticos</v>
      </c>
      <c r="O59" s="33" t="str">
        <f t="shared" si="9"/>
        <v>Tubo de PPR</v>
      </c>
      <c r="P59" s="63" t="s">
        <v>636</v>
      </c>
      <c r="Q59" s="67" t="s">
        <v>637</v>
      </c>
      <c r="R59" s="67" t="s">
        <v>638</v>
      </c>
      <c r="S59" s="69" t="s">
        <v>9</v>
      </c>
      <c r="T59" s="30" t="str">
        <f t="shared" si="10"/>
        <v>De Materialidade</v>
      </c>
      <c r="U59" s="30" t="str">
        <f t="shared" si="10"/>
        <v>Material Construtivo</v>
      </c>
      <c r="V59" s="30" t="str">
        <f t="shared" si="10"/>
        <v>Tubos Termoplásticos</v>
      </c>
      <c r="W59" s="30" t="s">
        <v>220</v>
      </c>
      <c r="X59" s="59" t="str">
        <f t="shared" si="3"/>
        <v>Key-INC-59</v>
      </c>
      <c r="Y59" s="30" t="s">
        <v>527</v>
      </c>
      <c r="Z59" s="64" t="s">
        <v>9</v>
      </c>
      <c r="AA59" s="30" t="s">
        <v>374</v>
      </c>
      <c r="AB59" s="64" t="s">
        <v>9</v>
      </c>
      <c r="AC59" s="30" t="s">
        <v>384</v>
      </c>
      <c r="AD59" s="64" t="s">
        <v>9</v>
      </c>
    </row>
    <row r="60" spans="1:30" s="56" customFormat="1" ht="6" customHeight="1" x14ac:dyDescent="0.4">
      <c r="A60" s="60">
        <v>60</v>
      </c>
      <c r="B60" s="1" t="s">
        <v>291</v>
      </c>
      <c r="C60" s="1" t="s">
        <v>373</v>
      </c>
      <c r="D60" s="1" t="s">
        <v>640</v>
      </c>
      <c r="E60" s="1" t="s">
        <v>641</v>
      </c>
      <c r="F60" s="68" t="s">
        <v>642</v>
      </c>
      <c r="G60" s="61" t="s">
        <v>9</v>
      </c>
      <c r="H60" s="61" t="s">
        <v>9</v>
      </c>
      <c r="I60" s="61" t="s">
        <v>9</v>
      </c>
      <c r="J60" s="61" t="s">
        <v>9</v>
      </c>
      <c r="K60" s="61" t="s">
        <v>9</v>
      </c>
      <c r="L60" s="33" t="str">
        <f t="shared" si="9"/>
        <v>De Materialidade</v>
      </c>
      <c r="M60" s="33" t="str">
        <f t="shared" si="9"/>
        <v>Material Catalogado</v>
      </c>
      <c r="N60" s="33" t="str">
        <f t="shared" si="9"/>
        <v>Catálogos de Materiais</v>
      </c>
      <c r="O60" s="33" t="str">
        <f t="shared" si="9"/>
        <v>Catálogo de Fabricante</v>
      </c>
      <c r="P60" s="63" t="s">
        <v>643</v>
      </c>
      <c r="Q60" s="67" t="s">
        <v>644</v>
      </c>
      <c r="R60" s="67" t="s">
        <v>645</v>
      </c>
      <c r="S60" s="69" t="s">
        <v>9</v>
      </c>
      <c r="T60" s="30" t="str">
        <f t="shared" si="10"/>
        <v>De Materialidade</v>
      </c>
      <c r="U60" s="30" t="str">
        <f t="shared" si="10"/>
        <v>Material Catalogado</v>
      </c>
      <c r="V60" s="30" t="str">
        <f t="shared" si="10"/>
        <v>Catálogos de Materiais</v>
      </c>
      <c r="W60" s="30" t="s">
        <v>220</v>
      </c>
      <c r="X60" s="59" t="str">
        <f t="shared" si="3"/>
        <v>Key-INC-60</v>
      </c>
      <c r="Y60" s="30" t="s">
        <v>527</v>
      </c>
      <c r="Z60" s="64" t="s">
        <v>9</v>
      </c>
      <c r="AA60" s="30" t="s">
        <v>374</v>
      </c>
      <c r="AB60" s="64" t="s">
        <v>9</v>
      </c>
      <c r="AC60" s="30" t="s">
        <v>384</v>
      </c>
      <c r="AD60" s="64" t="s">
        <v>9</v>
      </c>
    </row>
    <row r="61" spans="1:30" s="56" customFormat="1" ht="6" customHeight="1" x14ac:dyDescent="0.4">
      <c r="A61" s="60">
        <v>61</v>
      </c>
      <c r="B61" s="1" t="s">
        <v>291</v>
      </c>
      <c r="C61" s="1" t="s">
        <v>373</v>
      </c>
      <c r="D61" s="1" t="s">
        <v>640</v>
      </c>
      <c r="E61" s="1" t="s">
        <v>641</v>
      </c>
      <c r="F61" s="68" t="s">
        <v>646</v>
      </c>
      <c r="G61" s="61" t="s">
        <v>9</v>
      </c>
      <c r="H61" s="61" t="s">
        <v>9</v>
      </c>
      <c r="I61" s="61" t="s">
        <v>9</v>
      </c>
      <c r="J61" s="61" t="s">
        <v>9</v>
      </c>
      <c r="K61" s="61" t="s">
        <v>9</v>
      </c>
      <c r="L61" s="33" t="str">
        <f t="shared" si="9"/>
        <v>De Materialidade</v>
      </c>
      <c r="M61" s="33" t="str">
        <f t="shared" si="9"/>
        <v>Material Catalogado</v>
      </c>
      <c r="N61" s="33" t="str">
        <f t="shared" si="9"/>
        <v>Catálogos de Materiais</v>
      </c>
      <c r="O61" s="33" t="str">
        <f t="shared" si="9"/>
        <v>Catálogo de Fornecedor</v>
      </c>
      <c r="P61" s="63" t="s">
        <v>647</v>
      </c>
      <c r="Q61" s="67" t="s">
        <v>648</v>
      </c>
      <c r="R61" s="67" t="s">
        <v>649</v>
      </c>
      <c r="S61" s="69" t="s">
        <v>9</v>
      </c>
      <c r="T61" s="30" t="str">
        <f t="shared" si="10"/>
        <v>De Materialidade</v>
      </c>
      <c r="U61" s="30" t="str">
        <f t="shared" si="10"/>
        <v>Material Catalogado</v>
      </c>
      <c r="V61" s="30" t="str">
        <f t="shared" si="10"/>
        <v>Catálogos de Materiais</v>
      </c>
      <c r="W61" s="30" t="s">
        <v>220</v>
      </c>
      <c r="X61" s="59" t="str">
        <f t="shared" si="3"/>
        <v>Key-INC-61</v>
      </c>
      <c r="Y61" s="30" t="s">
        <v>527</v>
      </c>
      <c r="Z61" s="64" t="s">
        <v>9</v>
      </c>
      <c r="AA61" s="30" t="s">
        <v>374</v>
      </c>
      <c r="AB61" s="64" t="s">
        <v>9</v>
      </c>
      <c r="AC61" s="30" t="s">
        <v>384</v>
      </c>
      <c r="AD61" s="64" t="s">
        <v>9</v>
      </c>
    </row>
    <row r="62" spans="1:30" s="56" customFormat="1" ht="6" customHeight="1" x14ac:dyDescent="0.4">
      <c r="A62" s="60">
        <v>62</v>
      </c>
      <c r="B62" s="1" t="s">
        <v>291</v>
      </c>
      <c r="C62" s="1" t="s">
        <v>373</v>
      </c>
      <c r="D62" s="1" t="s">
        <v>640</v>
      </c>
      <c r="E62" s="1" t="s">
        <v>641</v>
      </c>
      <c r="F62" s="68" t="s">
        <v>650</v>
      </c>
      <c r="G62" s="61" t="s">
        <v>9</v>
      </c>
      <c r="H62" s="61" t="s">
        <v>9</v>
      </c>
      <c r="I62" s="61" t="s">
        <v>9</v>
      </c>
      <c r="J62" s="61" t="s">
        <v>9</v>
      </c>
      <c r="K62" s="61" t="s">
        <v>9</v>
      </c>
      <c r="L62" s="33" t="str">
        <f t="shared" si="9"/>
        <v>De Materialidade</v>
      </c>
      <c r="M62" s="33" t="str">
        <f t="shared" si="9"/>
        <v>Material Catalogado</v>
      </c>
      <c r="N62" s="33" t="str">
        <f t="shared" si="9"/>
        <v>Catálogos de Materiais</v>
      </c>
      <c r="O62" s="33" t="str">
        <f t="shared" si="9"/>
        <v>Catálogo de Construtor</v>
      </c>
      <c r="P62" s="63" t="s">
        <v>651</v>
      </c>
      <c r="Q62" s="63" t="s">
        <v>652</v>
      </c>
      <c r="R62" s="67" t="s">
        <v>653</v>
      </c>
      <c r="S62" s="69" t="s">
        <v>9</v>
      </c>
      <c r="T62" s="30" t="str">
        <f t="shared" si="10"/>
        <v>De Materialidade</v>
      </c>
      <c r="U62" s="30" t="str">
        <f t="shared" si="10"/>
        <v>Material Catalogado</v>
      </c>
      <c r="V62" s="30" t="str">
        <f t="shared" si="10"/>
        <v>Catálogos de Materiais</v>
      </c>
      <c r="W62" s="30" t="s">
        <v>220</v>
      </c>
      <c r="X62" s="59" t="str">
        <f t="shared" si="3"/>
        <v>Key-INC-62</v>
      </c>
      <c r="Y62" s="30" t="s">
        <v>527</v>
      </c>
      <c r="Z62" s="64" t="s">
        <v>9</v>
      </c>
      <c r="AA62" s="30" t="s">
        <v>374</v>
      </c>
      <c r="AB62" s="64" t="s">
        <v>9</v>
      </c>
      <c r="AC62" s="30" t="s">
        <v>384</v>
      </c>
      <c r="AD62" s="64" t="s">
        <v>9</v>
      </c>
    </row>
    <row r="63" spans="1:30" ht="6.65" customHeight="1" x14ac:dyDescent="0.4">
      <c r="A63" s="60">
        <v>63</v>
      </c>
      <c r="B63" s="1" t="s">
        <v>291</v>
      </c>
      <c r="C63" s="42" t="s">
        <v>292</v>
      </c>
      <c r="D63" s="1" t="s">
        <v>113</v>
      </c>
      <c r="E63" s="42" t="s">
        <v>114</v>
      </c>
      <c r="F63" s="42" t="s">
        <v>113</v>
      </c>
      <c r="G63" s="61" t="s">
        <v>9</v>
      </c>
      <c r="H63" s="61" t="s">
        <v>9</v>
      </c>
      <c r="I63" s="61" t="s">
        <v>9</v>
      </c>
      <c r="J63" s="61" t="s">
        <v>9</v>
      </c>
      <c r="K63" s="61" t="s">
        <v>9</v>
      </c>
      <c r="L63" s="33" t="str">
        <f t="shared" ref="L63" si="11">CONCATENATE("", C63)</f>
        <v>Sistemas.Prediais</v>
      </c>
      <c r="M63" s="33" t="str">
        <f t="shared" ref="M63" si="12">CONCATENATE("", D63)</f>
        <v>Sistema.Incêndio</v>
      </c>
      <c r="N63" s="33" t="s">
        <v>199</v>
      </c>
      <c r="O63" s="30" t="s">
        <v>198</v>
      </c>
      <c r="P63" s="52" t="s">
        <v>204</v>
      </c>
      <c r="Q63" s="52" t="s">
        <v>205</v>
      </c>
      <c r="R63" s="30" t="s">
        <v>297</v>
      </c>
      <c r="S63" s="69" t="s">
        <v>9</v>
      </c>
      <c r="T63" s="30" t="str">
        <f t="shared" ref="T63:V79" si="13">SUBSTITUTE(C63, ".", " ")</f>
        <v>Sistemas Prediais</v>
      </c>
      <c r="U63" s="30" t="str">
        <f t="shared" ref="U63:V77" si="14">SUBSTITUTE(D63, ".", " ")</f>
        <v>Sistema Incêndio</v>
      </c>
      <c r="V63" s="30" t="str">
        <f t="shared" si="14"/>
        <v>Sistema Combate</v>
      </c>
      <c r="W63" s="30" t="s">
        <v>220</v>
      </c>
      <c r="X63" s="59" t="str">
        <f t="shared" ref="X63:X101" si="15">CONCATENATE("Key-INC-",A63)</f>
        <v>Key-INC-63</v>
      </c>
      <c r="Y63" s="29" t="s">
        <v>105</v>
      </c>
      <c r="Z63" s="64" t="s">
        <v>9</v>
      </c>
      <c r="AA63" s="29" t="s">
        <v>107</v>
      </c>
      <c r="AB63" s="64" t="s">
        <v>9</v>
      </c>
      <c r="AC63" s="30" t="s">
        <v>203</v>
      </c>
      <c r="AD63" s="64" t="s">
        <v>9</v>
      </c>
    </row>
    <row r="64" spans="1:30" ht="6" customHeight="1" x14ac:dyDescent="0.4">
      <c r="A64" s="60">
        <v>64</v>
      </c>
      <c r="B64" s="1" t="s">
        <v>291</v>
      </c>
      <c r="C64" s="42" t="s">
        <v>292</v>
      </c>
      <c r="D64" s="1" t="s">
        <v>113</v>
      </c>
      <c r="E64" s="1" t="s">
        <v>206</v>
      </c>
      <c r="F64" s="57" t="s">
        <v>119</v>
      </c>
      <c r="G64" s="61" t="s">
        <v>9</v>
      </c>
      <c r="H64" s="61" t="s">
        <v>9</v>
      </c>
      <c r="I64" s="61" t="s">
        <v>9</v>
      </c>
      <c r="J64" s="61" t="s">
        <v>9</v>
      </c>
      <c r="K64" s="61" t="s">
        <v>9</v>
      </c>
      <c r="L64" s="33" t="str">
        <f t="shared" ref="L64:M80" si="16">CONCATENATE("", C64)</f>
        <v>Sistemas.Prediais</v>
      </c>
      <c r="M64" s="33" t="str">
        <f t="shared" si="16"/>
        <v>Sistema.Incêndio</v>
      </c>
      <c r="N64" s="33" t="s">
        <v>200</v>
      </c>
      <c r="O64" s="33" t="str">
        <f t="shared" ref="O64:O78" si="17">(SUBSTITUTE(SUBSTITUTE(CONCATENATE("",F64),"."," ")," De "," de "))</f>
        <v>Alarme</v>
      </c>
      <c r="P64" s="30" t="s">
        <v>120</v>
      </c>
      <c r="Q64" s="30" t="s">
        <v>121</v>
      </c>
      <c r="R64" s="30" t="s">
        <v>298</v>
      </c>
      <c r="S64" s="69" t="s">
        <v>9</v>
      </c>
      <c r="T64" s="30" t="str">
        <f t="shared" si="13"/>
        <v>Sistemas Prediais</v>
      </c>
      <c r="U64" s="30" t="str">
        <f t="shared" si="14"/>
        <v>Sistema Incêndio</v>
      </c>
      <c r="V64" s="30" t="str">
        <f t="shared" si="14"/>
        <v>Alarmes de Incêndio</v>
      </c>
      <c r="W64" s="30" t="s">
        <v>220</v>
      </c>
      <c r="X64" s="59" t="str">
        <f t="shared" si="15"/>
        <v>Key-INC-64</v>
      </c>
      <c r="Y64" s="30" t="s">
        <v>164</v>
      </c>
      <c r="Z64" s="64" t="s">
        <v>9</v>
      </c>
      <c r="AA64" s="29" t="s">
        <v>170</v>
      </c>
      <c r="AB64" s="64" t="s">
        <v>9</v>
      </c>
      <c r="AC64" s="30" t="s">
        <v>203</v>
      </c>
      <c r="AD64" s="64" t="s">
        <v>9</v>
      </c>
    </row>
    <row r="65" spans="1:30" ht="6" customHeight="1" x14ac:dyDescent="0.4">
      <c r="A65" s="60">
        <v>65</v>
      </c>
      <c r="B65" s="1" t="s">
        <v>291</v>
      </c>
      <c r="C65" s="42" t="s">
        <v>292</v>
      </c>
      <c r="D65" s="1" t="s">
        <v>113</v>
      </c>
      <c r="E65" s="1" t="s">
        <v>206</v>
      </c>
      <c r="F65" s="57" t="s">
        <v>122</v>
      </c>
      <c r="G65" s="61" t="s">
        <v>9</v>
      </c>
      <c r="H65" s="61" t="s">
        <v>9</v>
      </c>
      <c r="I65" s="61" t="s">
        <v>9</v>
      </c>
      <c r="J65" s="61" t="s">
        <v>9</v>
      </c>
      <c r="K65" s="61" t="s">
        <v>9</v>
      </c>
      <c r="L65" s="33" t="str">
        <f t="shared" si="16"/>
        <v>Sistemas.Prediais</v>
      </c>
      <c r="M65" s="33" t="str">
        <f t="shared" si="16"/>
        <v>Sistema.Incêndio</v>
      </c>
      <c r="N65" s="33" t="s">
        <v>200</v>
      </c>
      <c r="O65" s="33" t="str">
        <f t="shared" si="17"/>
        <v>Alarme Campainha</v>
      </c>
      <c r="P65" s="30" t="s">
        <v>123</v>
      </c>
      <c r="Q65" s="30" t="s">
        <v>124</v>
      </c>
      <c r="R65" s="30" t="s">
        <v>299</v>
      </c>
      <c r="S65" s="69" t="s">
        <v>9</v>
      </c>
      <c r="T65" s="30" t="str">
        <f t="shared" si="13"/>
        <v>Sistemas Prediais</v>
      </c>
      <c r="U65" s="30" t="str">
        <f t="shared" si="14"/>
        <v>Sistema Incêndio</v>
      </c>
      <c r="V65" s="30" t="str">
        <f t="shared" si="14"/>
        <v>Alarmes de Incêndio</v>
      </c>
      <c r="W65" s="30" t="s">
        <v>220</v>
      </c>
      <c r="X65" s="59" t="str">
        <f t="shared" si="15"/>
        <v>Key-INC-65</v>
      </c>
      <c r="Y65" s="30" t="s">
        <v>164</v>
      </c>
      <c r="Z65" s="64" t="s">
        <v>9</v>
      </c>
      <c r="AA65" s="29" t="s">
        <v>171</v>
      </c>
      <c r="AB65" s="64" t="s">
        <v>9</v>
      </c>
      <c r="AC65" s="30" t="s">
        <v>203</v>
      </c>
      <c r="AD65" s="64" t="s">
        <v>9</v>
      </c>
    </row>
    <row r="66" spans="1:30" ht="6" customHeight="1" x14ac:dyDescent="0.4">
      <c r="A66" s="60">
        <v>66</v>
      </c>
      <c r="B66" s="1" t="s">
        <v>291</v>
      </c>
      <c r="C66" s="42" t="s">
        <v>292</v>
      </c>
      <c r="D66" s="1" t="s">
        <v>113</v>
      </c>
      <c r="E66" s="1" t="s">
        <v>206</v>
      </c>
      <c r="F66" s="57" t="s">
        <v>125</v>
      </c>
      <c r="G66" s="61" t="s">
        <v>9</v>
      </c>
      <c r="H66" s="61" t="s">
        <v>9</v>
      </c>
      <c r="I66" s="61" t="s">
        <v>9</v>
      </c>
      <c r="J66" s="61" t="s">
        <v>9</v>
      </c>
      <c r="K66" s="61" t="s">
        <v>9</v>
      </c>
      <c r="L66" s="33" t="str">
        <f t="shared" si="16"/>
        <v>Sistemas.Prediais</v>
      </c>
      <c r="M66" s="33" t="str">
        <f t="shared" si="16"/>
        <v>Sistema.Incêndio</v>
      </c>
      <c r="N66" s="33" t="s">
        <v>200</v>
      </c>
      <c r="O66" s="33" t="str">
        <f t="shared" si="17"/>
        <v>Alarme Campainha Caixa</v>
      </c>
      <c r="P66" s="30" t="s">
        <v>126</v>
      </c>
      <c r="Q66" s="30" t="s">
        <v>127</v>
      </c>
      <c r="R66" s="30" t="s">
        <v>300</v>
      </c>
      <c r="S66" s="69" t="s">
        <v>9</v>
      </c>
      <c r="T66" s="30" t="str">
        <f t="shared" si="13"/>
        <v>Sistemas Prediais</v>
      </c>
      <c r="U66" s="30" t="str">
        <f t="shared" si="14"/>
        <v>Sistema Incêndio</v>
      </c>
      <c r="V66" s="30" t="str">
        <f t="shared" si="14"/>
        <v>Alarmes de Incêndio</v>
      </c>
      <c r="W66" s="30" t="s">
        <v>220</v>
      </c>
      <c r="X66" s="59" t="str">
        <f t="shared" si="15"/>
        <v>Key-INC-66</v>
      </c>
      <c r="Y66" s="30" t="s">
        <v>164</v>
      </c>
      <c r="Z66" s="64" t="s">
        <v>9</v>
      </c>
      <c r="AA66" s="29" t="s">
        <v>172</v>
      </c>
      <c r="AB66" s="64" t="s">
        <v>9</v>
      </c>
      <c r="AC66" s="30" t="s">
        <v>203</v>
      </c>
      <c r="AD66" s="64" t="s">
        <v>9</v>
      </c>
    </row>
    <row r="67" spans="1:30" ht="6" customHeight="1" x14ac:dyDescent="0.4">
      <c r="A67" s="60">
        <v>67</v>
      </c>
      <c r="B67" s="1" t="s">
        <v>291</v>
      </c>
      <c r="C67" s="42" t="s">
        <v>292</v>
      </c>
      <c r="D67" s="1" t="s">
        <v>113</v>
      </c>
      <c r="E67" s="1" t="s">
        <v>206</v>
      </c>
      <c r="F67" s="57" t="s">
        <v>128</v>
      </c>
      <c r="G67" s="61" t="s">
        <v>9</v>
      </c>
      <c r="H67" s="61" t="s">
        <v>9</v>
      </c>
      <c r="I67" s="61" t="s">
        <v>9</v>
      </c>
      <c r="J67" s="61" t="s">
        <v>9</v>
      </c>
      <c r="K67" s="61" t="s">
        <v>9</v>
      </c>
      <c r="L67" s="33" t="str">
        <f t="shared" si="16"/>
        <v>Sistemas.Prediais</v>
      </c>
      <c r="M67" s="33" t="str">
        <f t="shared" si="16"/>
        <v>Sistema.Incêndio</v>
      </c>
      <c r="N67" s="33" t="s">
        <v>200</v>
      </c>
      <c r="O67" s="33" t="str">
        <f t="shared" si="17"/>
        <v>Alarme Lumínico</v>
      </c>
      <c r="P67" s="30" t="s">
        <v>129</v>
      </c>
      <c r="Q67" s="30" t="s">
        <v>130</v>
      </c>
      <c r="R67" s="30" t="s">
        <v>301</v>
      </c>
      <c r="S67" s="69" t="s">
        <v>9</v>
      </c>
      <c r="T67" s="30" t="str">
        <f t="shared" si="13"/>
        <v>Sistemas Prediais</v>
      </c>
      <c r="U67" s="30" t="str">
        <f t="shared" si="14"/>
        <v>Sistema Incêndio</v>
      </c>
      <c r="V67" s="30" t="str">
        <f t="shared" si="14"/>
        <v>Alarmes de Incêndio</v>
      </c>
      <c r="W67" s="30" t="s">
        <v>220</v>
      </c>
      <c r="X67" s="59" t="str">
        <f t="shared" si="15"/>
        <v>Key-INC-67</v>
      </c>
      <c r="Y67" s="30" t="s">
        <v>164</v>
      </c>
      <c r="Z67" s="64" t="s">
        <v>9</v>
      </c>
      <c r="AA67" s="29" t="s">
        <v>173</v>
      </c>
      <c r="AB67" s="64" t="s">
        <v>9</v>
      </c>
      <c r="AC67" s="30" t="s">
        <v>203</v>
      </c>
      <c r="AD67" s="64" t="s">
        <v>9</v>
      </c>
    </row>
    <row r="68" spans="1:30" ht="6" customHeight="1" x14ac:dyDescent="0.4">
      <c r="A68" s="60">
        <v>68</v>
      </c>
      <c r="B68" s="1" t="s">
        <v>291</v>
      </c>
      <c r="C68" s="42" t="s">
        <v>292</v>
      </c>
      <c r="D68" s="1" t="s">
        <v>113</v>
      </c>
      <c r="E68" s="1" t="s">
        <v>206</v>
      </c>
      <c r="F68" s="57" t="s">
        <v>131</v>
      </c>
      <c r="G68" s="61" t="s">
        <v>9</v>
      </c>
      <c r="H68" s="61" t="s">
        <v>9</v>
      </c>
      <c r="I68" s="61" t="s">
        <v>9</v>
      </c>
      <c r="J68" s="61" t="s">
        <v>9</v>
      </c>
      <c r="K68" s="61" t="s">
        <v>9</v>
      </c>
      <c r="L68" s="33" t="str">
        <f t="shared" si="16"/>
        <v>Sistemas.Prediais</v>
      </c>
      <c r="M68" s="33" t="str">
        <f t="shared" si="16"/>
        <v>Sistema.Incêndio</v>
      </c>
      <c r="N68" s="33" t="s">
        <v>200</v>
      </c>
      <c r="O68" s="33" t="str">
        <f t="shared" si="17"/>
        <v>Alarme Caixa Manual</v>
      </c>
      <c r="P68" s="30" t="s">
        <v>132</v>
      </c>
      <c r="Q68" s="30" t="s">
        <v>133</v>
      </c>
      <c r="R68" s="30" t="s">
        <v>302</v>
      </c>
      <c r="S68" s="69" t="s">
        <v>9</v>
      </c>
      <c r="T68" s="30" t="str">
        <f t="shared" si="13"/>
        <v>Sistemas Prediais</v>
      </c>
      <c r="U68" s="30" t="str">
        <f t="shared" si="14"/>
        <v>Sistema Incêndio</v>
      </c>
      <c r="V68" s="30" t="str">
        <f t="shared" si="14"/>
        <v>Alarmes de Incêndio</v>
      </c>
      <c r="W68" s="30" t="s">
        <v>220</v>
      </c>
      <c r="X68" s="59" t="str">
        <f t="shared" si="15"/>
        <v>Key-INC-68</v>
      </c>
      <c r="Y68" s="30" t="s">
        <v>164</v>
      </c>
      <c r="Z68" s="64" t="s">
        <v>9</v>
      </c>
      <c r="AA68" s="29" t="s">
        <v>174</v>
      </c>
      <c r="AB68" s="64" t="s">
        <v>9</v>
      </c>
      <c r="AC68" s="30" t="s">
        <v>203</v>
      </c>
      <c r="AD68" s="64" t="s">
        <v>9</v>
      </c>
    </row>
    <row r="69" spans="1:30" ht="6" customHeight="1" x14ac:dyDescent="0.4">
      <c r="A69" s="60">
        <v>69</v>
      </c>
      <c r="B69" s="1" t="s">
        <v>291</v>
      </c>
      <c r="C69" s="42" t="s">
        <v>292</v>
      </c>
      <c r="D69" s="1" t="s">
        <v>113</v>
      </c>
      <c r="E69" s="1" t="s">
        <v>206</v>
      </c>
      <c r="F69" s="57" t="s">
        <v>134</v>
      </c>
      <c r="G69" s="61" t="s">
        <v>9</v>
      </c>
      <c r="H69" s="61" t="s">
        <v>9</v>
      </c>
      <c r="I69" s="61" t="s">
        <v>9</v>
      </c>
      <c r="J69" s="61" t="s">
        <v>9</v>
      </c>
      <c r="K69" s="61" t="s">
        <v>9</v>
      </c>
      <c r="L69" s="33" t="str">
        <f t="shared" si="16"/>
        <v>Sistemas.Prediais</v>
      </c>
      <c r="M69" s="33" t="str">
        <f t="shared" si="16"/>
        <v>Sistema.Incêndio</v>
      </c>
      <c r="N69" s="33" t="s">
        <v>200</v>
      </c>
      <c r="O69" s="33" t="str">
        <f t="shared" si="17"/>
        <v>Alarme Detonador</v>
      </c>
      <c r="P69" s="30" t="s">
        <v>135</v>
      </c>
      <c r="Q69" s="30" t="s">
        <v>136</v>
      </c>
      <c r="R69" s="30" t="s">
        <v>303</v>
      </c>
      <c r="S69" s="69" t="s">
        <v>9</v>
      </c>
      <c r="T69" s="30" t="str">
        <f t="shared" si="13"/>
        <v>Sistemas Prediais</v>
      </c>
      <c r="U69" s="30" t="str">
        <f t="shared" si="14"/>
        <v>Sistema Incêndio</v>
      </c>
      <c r="V69" s="30" t="str">
        <f t="shared" si="14"/>
        <v>Alarmes de Incêndio</v>
      </c>
      <c r="W69" s="30" t="s">
        <v>220</v>
      </c>
      <c r="X69" s="59" t="str">
        <f t="shared" si="15"/>
        <v>Key-INC-69</v>
      </c>
      <c r="Y69" s="30" t="s">
        <v>164</v>
      </c>
      <c r="Z69" s="64" t="s">
        <v>9</v>
      </c>
      <c r="AA69" s="29" t="s">
        <v>175</v>
      </c>
      <c r="AB69" s="64" t="s">
        <v>9</v>
      </c>
      <c r="AC69" s="30" t="s">
        <v>203</v>
      </c>
      <c r="AD69" s="64" t="s">
        <v>9</v>
      </c>
    </row>
    <row r="70" spans="1:30" ht="6" customHeight="1" x14ac:dyDescent="0.4">
      <c r="A70" s="60">
        <v>70</v>
      </c>
      <c r="B70" s="1" t="s">
        <v>291</v>
      </c>
      <c r="C70" s="42" t="s">
        <v>292</v>
      </c>
      <c r="D70" s="1" t="s">
        <v>113</v>
      </c>
      <c r="E70" s="1" t="s">
        <v>206</v>
      </c>
      <c r="F70" s="57" t="s">
        <v>137</v>
      </c>
      <c r="G70" s="61" t="s">
        <v>9</v>
      </c>
      <c r="H70" s="61" t="s">
        <v>9</v>
      </c>
      <c r="I70" s="61" t="s">
        <v>9</v>
      </c>
      <c r="J70" s="61" t="s">
        <v>9</v>
      </c>
      <c r="K70" s="61" t="s">
        <v>9</v>
      </c>
      <c r="L70" s="33" t="str">
        <f t="shared" si="16"/>
        <v>Sistemas.Prediais</v>
      </c>
      <c r="M70" s="33" t="str">
        <f t="shared" si="16"/>
        <v>Sistema.Incêndio</v>
      </c>
      <c r="N70" s="33" t="s">
        <v>200</v>
      </c>
      <c r="O70" s="33" t="str">
        <f t="shared" si="17"/>
        <v>Alarme Sirene</v>
      </c>
      <c r="P70" s="30" t="s">
        <v>138</v>
      </c>
      <c r="Q70" s="30" t="s">
        <v>139</v>
      </c>
      <c r="R70" s="30" t="s">
        <v>304</v>
      </c>
      <c r="S70" s="69" t="s">
        <v>9</v>
      </c>
      <c r="T70" s="30" t="str">
        <f t="shared" si="13"/>
        <v>Sistemas Prediais</v>
      </c>
      <c r="U70" s="30" t="str">
        <f t="shared" si="14"/>
        <v>Sistema Incêndio</v>
      </c>
      <c r="V70" s="30" t="str">
        <f t="shared" si="14"/>
        <v>Alarmes de Incêndio</v>
      </c>
      <c r="W70" s="30" t="s">
        <v>220</v>
      </c>
      <c r="X70" s="59" t="str">
        <f t="shared" si="15"/>
        <v>Key-INC-70</v>
      </c>
      <c r="Y70" s="30" t="s">
        <v>164</v>
      </c>
      <c r="Z70" s="64" t="s">
        <v>9</v>
      </c>
      <c r="AA70" s="29" t="s">
        <v>176</v>
      </c>
      <c r="AB70" s="64" t="s">
        <v>9</v>
      </c>
      <c r="AC70" s="30" t="s">
        <v>203</v>
      </c>
      <c r="AD70" s="64" t="s">
        <v>9</v>
      </c>
    </row>
    <row r="71" spans="1:30" ht="6" customHeight="1" x14ac:dyDescent="0.4">
      <c r="A71" s="60">
        <v>71</v>
      </c>
      <c r="B71" s="1" t="s">
        <v>291</v>
      </c>
      <c r="C71" s="42" t="s">
        <v>292</v>
      </c>
      <c r="D71" s="1" t="s">
        <v>113</v>
      </c>
      <c r="E71" s="1" t="s">
        <v>206</v>
      </c>
      <c r="F71" s="57" t="s">
        <v>140</v>
      </c>
      <c r="G71" s="61" t="s">
        <v>9</v>
      </c>
      <c r="H71" s="61" t="s">
        <v>9</v>
      </c>
      <c r="I71" s="61" t="s">
        <v>9</v>
      </c>
      <c r="J71" s="61" t="s">
        <v>9</v>
      </c>
      <c r="K71" s="61" t="s">
        <v>9</v>
      </c>
      <c r="L71" s="33" t="str">
        <f t="shared" si="16"/>
        <v>Sistemas.Prediais</v>
      </c>
      <c r="M71" s="33" t="str">
        <f t="shared" si="16"/>
        <v>Sistema.Incêndio</v>
      </c>
      <c r="N71" s="33" t="s">
        <v>200</v>
      </c>
      <c r="O71" s="33" t="str">
        <f t="shared" si="17"/>
        <v>Alarme Apito</v>
      </c>
      <c r="P71" s="30" t="s">
        <v>141</v>
      </c>
      <c r="Q71" s="30" t="s">
        <v>142</v>
      </c>
      <c r="R71" s="30" t="s">
        <v>305</v>
      </c>
      <c r="S71" s="69" t="s">
        <v>9</v>
      </c>
      <c r="T71" s="30" t="str">
        <f t="shared" si="13"/>
        <v>Sistemas Prediais</v>
      </c>
      <c r="U71" s="30" t="str">
        <f t="shared" si="14"/>
        <v>Sistema Incêndio</v>
      </c>
      <c r="V71" s="30" t="str">
        <f t="shared" si="14"/>
        <v>Alarmes de Incêndio</v>
      </c>
      <c r="W71" s="30" t="s">
        <v>220</v>
      </c>
      <c r="X71" s="59" t="str">
        <f t="shared" si="15"/>
        <v>Key-INC-71</v>
      </c>
      <c r="Y71" s="30" t="s">
        <v>164</v>
      </c>
      <c r="Z71" s="64" t="s">
        <v>9</v>
      </c>
      <c r="AA71" s="29" t="s">
        <v>177</v>
      </c>
      <c r="AB71" s="64" t="s">
        <v>9</v>
      </c>
      <c r="AC71" s="30" t="s">
        <v>203</v>
      </c>
      <c r="AD71" s="64" t="s">
        <v>9</v>
      </c>
    </row>
    <row r="72" spans="1:30" ht="6" customHeight="1" x14ac:dyDescent="0.4">
      <c r="A72" s="60">
        <v>72</v>
      </c>
      <c r="B72" s="1" t="s">
        <v>291</v>
      </c>
      <c r="C72" s="42" t="s">
        <v>292</v>
      </c>
      <c r="D72" s="1" t="s">
        <v>113</v>
      </c>
      <c r="E72" s="1" t="s">
        <v>207</v>
      </c>
      <c r="F72" s="57" t="s">
        <v>143</v>
      </c>
      <c r="G72" s="61" t="s">
        <v>9</v>
      </c>
      <c r="H72" s="61" t="s">
        <v>9</v>
      </c>
      <c r="I72" s="61" t="s">
        <v>9</v>
      </c>
      <c r="J72" s="61" t="s">
        <v>9</v>
      </c>
      <c r="K72" s="61" t="s">
        <v>9</v>
      </c>
      <c r="L72" s="33" t="str">
        <f t="shared" si="16"/>
        <v>Sistemas.Prediais</v>
      </c>
      <c r="M72" s="33" t="str">
        <f t="shared" si="16"/>
        <v>Sistema.Incêndio</v>
      </c>
      <c r="N72" s="33" t="s">
        <v>201</v>
      </c>
      <c r="O72" s="33" t="str">
        <f t="shared" si="17"/>
        <v>Terminal Combate Fogo</v>
      </c>
      <c r="P72" s="30" t="s">
        <v>144</v>
      </c>
      <c r="Q72" s="30" t="s">
        <v>145</v>
      </c>
      <c r="R72" s="30" t="s">
        <v>306</v>
      </c>
      <c r="S72" s="69" t="s">
        <v>9</v>
      </c>
      <c r="T72" s="30" t="str">
        <f t="shared" si="13"/>
        <v>Sistemas Prediais</v>
      </c>
      <c r="U72" s="30" t="str">
        <f t="shared" si="14"/>
        <v>Sistema Incêndio</v>
      </c>
      <c r="V72" s="30" t="str">
        <f t="shared" si="14"/>
        <v>Peças de Incêndio</v>
      </c>
      <c r="W72" s="30" t="s">
        <v>220</v>
      </c>
      <c r="X72" s="59" t="str">
        <f t="shared" si="15"/>
        <v>Key-INC-72</v>
      </c>
      <c r="Y72" s="30" t="s">
        <v>165</v>
      </c>
      <c r="Z72" s="64" t="s">
        <v>9</v>
      </c>
      <c r="AA72" s="29" t="s">
        <v>168</v>
      </c>
      <c r="AB72" s="64" t="s">
        <v>9</v>
      </c>
      <c r="AC72" s="30" t="s">
        <v>203</v>
      </c>
      <c r="AD72" s="64" t="s">
        <v>9</v>
      </c>
    </row>
    <row r="73" spans="1:30" ht="6" customHeight="1" x14ac:dyDescent="0.4">
      <c r="A73" s="60">
        <v>73</v>
      </c>
      <c r="B73" s="1" t="s">
        <v>291</v>
      </c>
      <c r="C73" s="42" t="s">
        <v>292</v>
      </c>
      <c r="D73" s="1" t="s">
        <v>113</v>
      </c>
      <c r="E73" s="1" t="s">
        <v>207</v>
      </c>
      <c r="F73" s="57" t="s">
        <v>146</v>
      </c>
      <c r="G73" s="61" t="s">
        <v>9</v>
      </c>
      <c r="H73" s="61" t="s">
        <v>9</v>
      </c>
      <c r="I73" s="61" t="s">
        <v>9</v>
      </c>
      <c r="J73" s="61" t="s">
        <v>9</v>
      </c>
      <c r="K73" s="61" t="s">
        <v>9</v>
      </c>
      <c r="L73" s="33" t="str">
        <f t="shared" si="16"/>
        <v>Sistemas.Prediais</v>
      </c>
      <c r="M73" s="33" t="str">
        <f t="shared" si="16"/>
        <v>Sistema.Incêndio</v>
      </c>
      <c r="N73" s="33" t="s">
        <v>201</v>
      </c>
      <c r="O73" s="33" t="str">
        <f t="shared" si="17"/>
        <v>Mangueira Entrada</v>
      </c>
      <c r="P73" s="30" t="s">
        <v>147</v>
      </c>
      <c r="Q73" s="30" t="s">
        <v>148</v>
      </c>
      <c r="R73" s="30" t="s">
        <v>307</v>
      </c>
      <c r="S73" s="69" t="s">
        <v>9</v>
      </c>
      <c r="T73" s="30" t="str">
        <f t="shared" si="13"/>
        <v>Sistemas Prediais</v>
      </c>
      <c r="U73" s="30" t="str">
        <f t="shared" si="14"/>
        <v>Sistema Incêndio</v>
      </c>
      <c r="V73" s="30" t="str">
        <f t="shared" si="14"/>
        <v>Peças de Incêndio</v>
      </c>
      <c r="W73" s="30" t="s">
        <v>220</v>
      </c>
      <c r="X73" s="59" t="str">
        <f t="shared" si="15"/>
        <v>Key-INC-73</v>
      </c>
      <c r="Y73" s="30" t="s">
        <v>165</v>
      </c>
      <c r="Z73" s="64" t="s">
        <v>9</v>
      </c>
      <c r="AA73" s="29" t="s">
        <v>178</v>
      </c>
      <c r="AB73" s="64" t="s">
        <v>9</v>
      </c>
      <c r="AC73" s="30" t="s">
        <v>203</v>
      </c>
      <c r="AD73" s="64" t="s">
        <v>9</v>
      </c>
    </row>
    <row r="74" spans="1:30" ht="6" customHeight="1" x14ac:dyDescent="0.4">
      <c r="A74" s="60">
        <v>74</v>
      </c>
      <c r="B74" s="1" t="s">
        <v>291</v>
      </c>
      <c r="C74" s="42" t="s">
        <v>292</v>
      </c>
      <c r="D74" s="1" t="s">
        <v>113</v>
      </c>
      <c r="E74" s="1" t="s">
        <v>207</v>
      </c>
      <c r="F74" s="57" t="s">
        <v>149</v>
      </c>
      <c r="G74" s="61" t="s">
        <v>9</v>
      </c>
      <c r="H74" s="61" t="s">
        <v>9</v>
      </c>
      <c r="I74" s="61" t="s">
        <v>9</v>
      </c>
      <c r="J74" s="61" t="s">
        <v>9</v>
      </c>
      <c r="K74" s="61" t="s">
        <v>9</v>
      </c>
      <c r="L74" s="33" t="str">
        <f t="shared" si="16"/>
        <v>Sistemas.Prediais</v>
      </c>
      <c r="M74" s="33" t="str">
        <f t="shared" si="16"/>
        <v>Sistema.Incêndio</v>
      </c>
      <c r="N74" s="33" t="s">
        <v>201</v>
      </c>
      <c r="O74" s="33" t="str">
        <f t="shared" si="17"/>
        <v>Mangueira Carretel</v>
      </c>
      <c r="P74" s="30" t="s">
        <v>150</v>
      </c>
      <c r="Q74" s="30" t="s">
        <v>151</v>
      </c>
      <c r="R74" s="30" t="s">
        <v>308</v>
      </c>
      <c r="S74" s="69" t="s">
        <v>9</v>
      </c>
      <c r="T74" s="30" t="str">
        <f t="shared" si="13"/>
        <v>Sistemas Prediais</v>
      </c>
      <c r="U74" s="30" t="str">
        <f t="shared" si="14"/>
        <v>Sistema Incêndio</v>
      </c>
      <c r="V74" s="30" t="str">
        <f t="shared" si="14"/>
        <v>Peças de Incêndio</v>
      </c>
      <c r="W74" s="30" t="s">
        <v>220</v>
      </c>
      <c r="X74" s="59" t="str">
        <f t="shared" si="15"/>
        <v>Key-INC-74</v>
      </c>
      <c r="Y74" s="30" t="s">
        <v>165</v>
      </c>
      <c r="Z74" s="64" t="s">
        <v>9</v>
      </c>
      <c r="AA74" s="29" t="s">
        <v>179</v>
      </c>
      <c r="AB74" s="64" t="s">
        <v>9</v>
      </c>
      <c r="AC74" s="30" t="s">
        <v>203</v>
      </c>
      <c r="AD74" s="64" t="s">
        <v>9</v>
      </c>
    </row>
    <row r="75" spans="1:30" ht="6" customHeight="1" x14ac:dyDescent="0.4">
      <c r="A75" s="60">
        <v>75</v>
      </c>
      <c r="B75" s="1" t="s">
        <v>291</v>
      </c>
      <c r="C75" s="42" t="s">
        <v>292</v>
      </c>
      <c r="D75" s="1" t="s">
        <v>113</v>
      </c>
      <c r="E75" s="1" t="s">
        <v>207</v>
      </c>
      <c r="F75" s="57" t="s">
        <v>152</v>
      </c>
      <c r="G75" s="61" t="s">
        <v>9</v>
      </c>
      <c r="H75" s="61" t="s">
        <v>9</v>
      </c>
      <c r="I75" s="61" t="s">
        <v>9</v>
      </c>
      <c r="J75" s="61" t="s">
        <v>9</v>
      </c>
      <c r="K75" s="61" t="s">
        <v>9</v>
      </c>
      <c r="L75" s="33" t="str">
        <f t="shared" si="16"/>
        <v>Sistemas.Prediais</v>
      </c>
      <c r="M75" s="33" t="str">
        <f t="shared" si="16"/>
        <v>Sistema.Incêndio</v>
      </c>
      <c r="N75" s="33" t="s">
        <v>201</v>
      </c>
      <c r="O75" s="33" t="str">
        <f t="shared" si="17"/>
        <v>Mangueira Canhão</v>
      </c>
      <c r="P75" s="30" t="s">
        <v>153</v>
      </c>
      <c r="Q75" s="30" t="s">
        <v>154</v>
      </c>
      <c r="R75" s="30" t="s">
        <v>309</v>
      </c>
      <c r="S75" s="69" t="s">
        <v>9</v>
      </c>
      <c r="T75" s="30" t="str">
        <f t="shared" si="13"/>
        <v>Sistemas Prediais</v>
      </c>
      <c r="U75" s="30" t="str">
        <f t="shared" si="14"/>
        <v>Sistema Incêndio</v>
      </c>
      <c r="V75" s="30" t="str">
        <f t="shared" si="14"/>
        <v>Peças de Incêndio</v>
      </c>
      <c r="W75" s="30" t="s">
        <v>220</v>
      </c>
      <c r="X75" s="59" t="str">
        <f t="shared" si="15"/>
        <v>Key-INC-75</v>
      </c>
      <c r="Y75" s="30" t="s">
        <v>166</v>
      </c>
      <c r="Z75" s="64" t="s">
        <v>9</v>
      </c>
      <c r="AA75" s="29" t="s">
        <v>180</v>
      </c>
      <c r="AB75" s="64" t="s">
        <v>9</v>
      </c>
      <c r="AC75" s="30" t="s">
        <v>203</v>
      </c>
      <c r="AD75" s="64" t="s">
        <v>9</v>
      </c>
    </row>
    <row r="76" spans="1:30" ht="6" customHeight="1" x14ac:dyDescent="0.4">
      <c r="A76" s="60">
        <v>76</v>
      </c>
      <c r="B76" s="1" t="s">
        <v>291</v>
      </c>
      <c r="C76" s="42" t="s">
        <v>292</v>
      </c>
      <c r="D76" s="1" t="s">
        <v>113</v>
      </c>
      <c r="E76" s="1" t="s">
        <v>207</v>
      </c>
      <c r="F76" s="57" t="s">
        <v>212</v>
      </c>
      <c r="G76" s="61" t="s">
        <v>9</v>
      </c>
      <c r="H76" s="61" t="s">
        <v>9</v>
      </c>
      <c r="I76" s="61" t="s">
        <v>9</v>
      </c>
      <c r="J76" s="61" t="s">
        <v>9</v>
      </c>
      <c r="K76" s="61" t="s">
        <v>9</v>
      </c>
      <c r="L76" s="33" t="str">
        <f t="shared" ref="L76" si="18">CONCATENATE("", C76)</f>
        <v>Sistemas.Prediais</v>
      </c>
      <c r="M76" s="33" t="str">
        <f t="shared" ref="M76" si="19">CONCATENATE("", D76)</f>
        <v>Sistema.Incêndio</v>
      </c>
      <c r="N76" s="33" t="s">
        <v>201</v>
      </c>
      <c r="O76" s="33" t="str">
        <f t="shared" ref="O76" si="20">(SUBSTITUTE(SUBSTITUTE(CONCATENATE("",F76),"."," ")," De "," de "))</f>
        <v>Detetor de Fumaça</v>
      </c>
      <c r="P76" s="30" t="s">
        <v>213</v>
      </c>
      <c r="Q76" s="30" t="s">
        <v>214</v>
      </c>
      <c r="R76" s="30" t="s">
        <v>310</v>
      </c>
      <c r="S76" s="69" t="s">
        <v>9</v>
      </c>
      <c r="T76" s="30" t="str">
        <f t="shared" ref="T76" si="21">SUBSTITUTE(C76, ".", " ")</f>
        <v>Sistemas Prediais</v>
      </c>
      <c r="U76" s="30" t="str">
        <f t="shared" ref="U76" si="22">SUBSTITUTE(D76, ".", " ")</f>
        <v>Sistema Incêndio</v>
      </c>
      <c r="V76" s="30" t="str">
        <f t="shared" ref="V76" si="23">SUBSTITUTE(E76, ".", " ")</f>
        <v>Peças de Incêndio</v>
      </c>
      <c r="W76" s="30" t="s">
        <v>220</v>
      </c>
      <c r="X76" s="59" t="str">
        <f t="shared" si="15"/>
        <v>Key-INC-76</v>
      </c>
      <c r="Y76" s="30" t="s">
        <v>165</v>
      </c>
      <c r="Z76" s="64" t="s">
        <v>9</v>
      </c>
      <c r="AA76" s="29" t="s">
        <v>181</v>
      </c>
      <c r="AB76" s="64" t="s">
        <v>9</v>
      </c>
      <c r="AC76" s="30" t="s">
        <v>203</v>
      </c>
      <c r="AD76" s="64" t="s">
        <v>9</v>
      </c>
    </row>
    <row r="77" spans="1:30" ht="6" customHeight="1" x14ac:dyDescent="0.4">
      <c r="A77" s="60">
        <v>77</v>
      </c>
      <c r="B77" s="1" t="s">
        <v>291</v>
      </c>
      <c r="C77" s="42" t="s">
        <v>292</v>
      </c>
      <c r="D77" s="1" t="s">
        <v>113</v>
      </c>
      <c r="E77" s="1" t="s">
        <v>207</v>
      </c>
      <c r="F77" s="57" t="s">
        <v>155</v>
      </c>
      <c r="G77" s="61" t="s">
        <v>9</v>
      </c>
      <c r="H77" s="61" t="s">
        <v>9</v>
      </c>
      <c r="I77" s="61" t="s">
        <v>9</v>
      </c>
      <c r="J77" s="61" t="s">
        <v>9</v>
      </c>
      <c r="K77" s="61" t="s">
        <v>9</v>
      </c>
      <c r="L77" s="33" t="str">
        <f t="shared" si="16"/>
        <v>Sistemas.Prediais</v>
      </c>
      <c r="M77" s="33" t="str">
        <f t="shared" si="16"/>
        <v>Sistema.Incêndio</v>
      </c>
      <c r="N77" s="33" t="s">
        <v>201</v>
      </c>
      <c r="O77" s="33" t="str">
        <f t="shared" si="17"/>
        <v>Hidrante</v>
      </c>
      <c r="P77" s="30" t="s">
        <v>156</v>
      </c>
      <c r="Q77" s="30" t="s">
        <v>157</v>
      </c>
      <c r="R77" s="30" t="s">
        <v>311</v>
      </c>
      <c r="S77" s="69" t="s">
        <v>9</v>
      </c>
      <c r="T77" s="30" t="str">
        <f t="shared" si="13"/>
        <v>Sistemas Prediais</v>
      </c>
      <c r="U77" s="30" t="str">
        <f t="shared" si="14"/>
        <v>Sistema Incêndio</v>
      </c>
      <c r="V77" s="30" t="str">
        <f t="shared" si="14"/>
        <v>Peças de Incêndio</v>
      </c>
      <c r="W77" s="30" t="s">
        <v>220</v>
      </c>
      <c r="X77" s="59" t="str">
        <f t="shared" si="15"/>
        <v>Key-INC-77</v>
      </c>
      <c r="Y77" s="30" t="s">
        <v>165</v>
      </c>
      <c r="Z77" s="64" t="s">
        <v>9</v>
      </c>
      <c r="AA77" s="29" t="s">
        <v>181</v>
      </c>
      <c r="AB77" s="64" t="s">
        <v>9</v>
      </c>
      <c r="AC77" s="30" t="s">
        <v>203</v>
      </c>
      <c r="AD77" s="64" t="s">
        <v>9</v>
      </c>
    </row>
    <row r="78" spans="1:30" ht="6" customHeight="1" x14ac:dyDescent="0.4">
      <c r="A78" s="60">
        <v>78</v>
      </c>
      <c r="B78" s="1" t="s">
        <v>291</v>
      </c>
      <c r="C78" s="42" t="s">
        <v>292</v>
      </c>
      <c r="D78" s="1" t="s">
        <v>113</v>
      </c>
      <c r="E78" s="1" t="s">
        <v>207</v>
      </c>
      <c r="F78" s="57" t="s">
        <v>118</v>
      </c>
      <c r="G78" s="61" t="s">
        <v>9</v>
      </c>
      <c r="H78" s="61" t="s">
        <v>9</v>
      </c>
      <c r="I78" s="61" t="s">
        <v>9</v>
      </c>
      <c r="J78" s="61" t="s">
        <v>9</v>
      </c>
      <c r="K78" s="61" t="s">
        <v>9</v>
      </c>
      <c r="L78" s="33" t="str">
        <f t="shared" si="16"/>
        <v>Sistemas.Prediais</v>
      </c>
      <c r="M78" s="33" t="str">
        <f t="shared" si="16"/>
        <v>Sistema.Incêndio</v>
      </c>
      <c r="N78" s="33" t="s">
        <v>201</v>
      </c>
      <c r="O78" s="33" t="str">
        <f t="shared" si="17"/>
        <v>Sprinkler</v>
      </c>
      <c r="P78" s="30" t="s">
        <v>158</v>
      </c>
      <c r="Q78" s="30" t="s">
        <v>159</v>
      </c>
      <c r="R78" s="30" t="s">
        <v>312</v>
      </c>
      <c r="S78" s="69" t="s">
        <v>9</v>
      </c>
      <c r="T78" s="30" t="str">
        <f t="shared" si="13"/>
        <v>Sistemas Prediais</v>
      </c>
      <c r="U78" s="30" t="str">
        <f t="shared" si="13"/>
        <v>Sistema Incêndio</v>
      </c>
      <c r="V78" s="30" t="str">
        <f t="shared" si="13"/>
        <v>Peças de Incêndio</v>
      </c>
      <c r="W78" s="30" t="s">
        <v>220</v>
      </c>
      <c r="X78" s="59" t="str">
        <f t="shared" si="15"/>
        <v>Key-INC-78</v>
      </c>
      <c r="Y78" s="30" t="s">
        <v>167</v>
      </c>
      <c r="Z78" s="64" t="s">
        <v>9</v>
      </c>
      <c r="AA78" s="29" t="s">
        <v>182</v>
      </c>
      <c r="AB78" s="64" t="s">
        <v>9</v>
      </c>
      <c r="AC78" s="30" t="s">
        <v>203</v>
      </c>
      <c r="AD78" s="64" t="s">
        <v>9</v>
      </c>
    </row>
    <row r="79" spans="1:30" ht="6" customHeight="1" x14ac:dyDescent="0.4">
      <c r="A79" s="60">
        <v>79</v>
      </c>
      <c r="B79" s="1" t="s">
        <v>291</v>
      </c>
      <c r="C79" s="42" t="s">
        <v>292</v>
      </c>
      <c r="D79" s="1" t="s">
        <v>113</v>
      </c>
      <c r="E79" s="1" t="s">
        <v>207</v>
      </c>
      <c r="F79" s="57" t="s">
        <v>160</v>
      </c>
      <c r="G79" s="61" t="s">
        <v>9</v>
      </c>
      <c r="H79" s="61" t="s">
        <v>9</v>
      </c>
      <c r="I79" s="61" t="s">
        <v>9</v>
      </c>
      <c r="J79" s="61" t="s">
        <v>9</v>
      </c>
      <c r="K79" s="61" t="s">
        <v>9</v>
      </c>
      <c r="L79" s="33" t="str">
        <f t="shared" si="16"/>
        <v>Sistemas.Prediais</v>
      </c>
      <c r="M79" s="33" t="str">
        <f t="shared" si="16"/>
        <v>Sistema.Incêndio</v>
      </c>
      <c r="N79" s="33" t="s">
        <v>201</v>
      </c>
      <c r="O79" s="29" t="s">
        <v>197</v>
      </c>
      <c r="P79" s="30" t="s">
        <v>161</v>
      </c>
      <c r="Q79" s="30" t="s">
        <v>162</v>
      </c>
      <c r="R79" s="30" t="s">
        <v>313</v>
      </c>
      <c r="S79" s="69" t="s">
        <v>9</v>
      </c>
      <c r="T79" s="30" t="str">
        <f t="shared" si="13"/>
        <v>Sistemas Prediais</v>
      </c>
      <c r="U79" s="30" t="str">
        <f t="shared" si="13"/>
        <v>Sistema Incêndio</v>
      </c>
      <c r="V79" s="30" t="str">
        <f t="shared" si="13"/>
        <v>Peças de Incêndio</v>
      </c>
      <c r="W79" s="30" t="s">
        <v>220</v>
      </c>
      <c r="X79" s="59" t="str">
        <f t="shared" si="15"/>
        <v>Key-INC-79</v>
      </c>
      <c r="Y79" s="30" t="s">
        <v>167</v>
      </c>
      <c r="Z79" s="64" t="s">
        <v>9</v>
      </c>
      <c r="AA79" s="29" t="s">
        <v>183</v>
      </c>
      <c r="AB79" s="64" t="s">
        <v>9</v>
      </c>
      <c r="AC79" s="30" t="s">
        <v>203</v>
      </c>
      <c r="AD79" s="64" t="s">
        <v>9</v>
      </c>
    </row>
    <row r="80" spans="1:30" ht="6.65" customHeight="1" x14ac:dyDescent="0.4">
      <c r="A80" s="60">
        <v>80</v>
      </c>
      <c r="B80" s="1" t="s">
        <v>291</v>
      </c>
      <c r="C80" s="42" t="s">
        <v>292</v>
      </c>
      <c r="D80" s="1" t="s">
        <v>113</v>
      </c>
      <c r="E80" s="1" t="s">
        <v>207</v>
      </c>
      <c r="F80" s="42" t="s">
        <v>163</v>
      </c>
      <c r="G80" s="61" t="s">
        <v>9</v>
      </c>
      <c r="H80" s="61" t="s">
        <v>9</v>
      </c>
      <c r="I80" s="61" t="s">
        <v>9</v>
      </c>
      <c r="J80" s="61" t="s">
        <v>9</v>
      </c>
      <c r="K80" s="61" t="s">
        <v>9</v>
      </c>
      <c r="L80" s="33" t="str">
        <f t="shared" si="16"/>
        <v>Sistemas.Prediais</v>
      </c>
      <c r="M80" s="33" t="str">
        <f t="shared" si="16"/>
        <v>Sistema.Incêndio</v>
      </c>
      <c r="N80" s="33" t="s">
        <v>201</v>
      </c>
      <c r="O80" s="52" t="s">
        <v>191</v>
      </c>
      <c r="P80" s="52" t="s">
        <v>106</v>
      </c>
      <c r="Q80" s="30" t="s">
        <v>330</v>
      </c>
      <c r="R80" s="30" t="s">
        <v>314</v>
      </c>
      <c r="S80" s="69" t="s">
        <v>9</v>
      </c>
      <c r="T80" s="30" t="str">
        <f t="shared" ref="T80:V85" si="24">SUBSTITUTE(C80, ".", " ")</f>
        <v>Sistemas Prediais</v>
      </c>
      <c r="U80" s="30" t="str">
        <f t="shared" si="24"/>
        <v>Sistema Incêndio</v>
      </c>
      <c r="V80" s="30" t="str">
        <f t="shared" si="24"/>
        <v>Peças de Incêndio</v>
      </c>
      <c r="W80" s="30" t="s">
        <v>220</v>
      </c>
      <c r="X80" s="59" t="str">
        <f t="shared" si="15"/>
        <v>Key-INC-80</v>
      </c>
      <c r="Y80" s="30" t="s">
        <v>166</v>
      </c>
      <c r="Z80" s="64" t="s">
        <v>9</v>
      </c>
      <c r="AA80" s="29" t="s">
        <v>168</v>
      </c>
      <c r="AB80" s="64" t="s">
        <v>9</v>
      </c>
      <c r="AC80" s="30" t="s">
        <v>203</v>
      </c>
      <c r="AD80" s="64" t="s">
        <v>9</v>
      </c>
    </row>
    <row r="81" spans="1:30" ht="6.65" customHeight="1" x14ac:dyDescent="0.4">
      <c r="A81" s="60">
        <v>81</v>
      </c>
      <c r="B81" s="1" t="s">
        <v>291</v>
      </c>
      <c r="C81" s="42" t="s">
        <v>292</v>
      </c>
      <c r="D81" s="1" t="s">
        <v>113</v>
      </c>
      <c r="E81" s="42" t="s">
        <v>208</v>
      </c>
      <c r="F81" s="42" t="s">
        <v>115</v>
      </c>
      <c r="G81" s="61" t="s">
        <v>9</v>
      </c>
      <c r="H81" s="61" t="s">
        <v>9</v>
      </c>
      <c r="I81" s="61" t="s">
        <v>9</v>
      </c>
      <c r="J81" s="61" t="s">
        <v>9</v>
      </c>
      <c r="K81" s="61" t="s">
        <v>9</v>
      </c>
      <c r="L81" s="33" t="str">
        <f t="shared" ref="L81:L84" si="25">CONCATENATE("", C81)</f>
        <v>Sistemas.Prediais</v>
      </c>
      <c r="M81" s="33" t="str">
        <f t="shared" ref="M81:M84" si="26">CONCATENATE("", D81)</f>
        <v>Sistema.Incêndio</v>
      </c>
      <c r="N81" s="33" t="s">
        <v>202</v>
      </c>
      <c r="O81" s="52" t="s">
        <v>192</v>
      </c>
      <c r="P81" s="52" t="s">
        <v>100</v>
      </c>
      <c r="Q81" s="30" t="s">
        <v>100</v>
      </c>
      <c r="R81" s="30" t="s">
        <v>315</v>
      </c>
      <c r="S81" s="69" t="s">
        <v>9</v>
      </c>
      <c r="T81" s="30" t="str">
        <f t="shared" si="24"/>
        <v>Sistemas Prediais</v>
      </c>
      <c r="U81" s="30" t="str">
        <f t="shared" si="24"/>
        <v>Sistema Incêndio</v>
      </c>
      <c r="V81" s="30" t="str">
        <f t="shared" si="24"/>
        <v>Tubulação de Incêndio</v>
      </c>
      <c r="W81" s="30" t="s">
        <v>220</v>
      </c>
      <c r="X81" s="59" t="str">
        <f t="shared" si="15"/>
        <v>Key-INC-81</v>
      </c>
      <c r="Y81" s="29" t="s">
        <v>248</v>
      </c>
      <c r="Z81" s="64" t="s">
        <v>9</v>
      </c>
      <c r="AA81" s="29" t="s">
        <v>104</v>
      </c>
      <c r="AB81" s="64" t="s">
        <v>9</v>
      </c>
      <c r="AC81" s="30" t="s">
        <v>203</v>
      </c>
      <c r="AD81" s="64" t="s">
        <v>9</v>
      </c>
    </row>
    <row r="82" spans="1:30" ht="6.65" customHeight="1" x14ac:dyDescent="0.4">
      <c r="A82" s="60">
        <v>82</v>
      </c>
      <c r="B82" s="1" t="s">
        <v>291</v>
      </c>
      <c r="C82" s="42" t="s">
        <v>292</v>
      </c>
      <c r="D82" s="1" t="s">
        <v>113</v>
      </c>
      <c r="E82" s="42" t="s">
        <v>208</v>
      </c>
      <c r="F82" s="42" t="s">
        <v>209</v>
      </c>
      <c r="G82" s="61" t="s">
        <v>9</v>
      </c>
      <c r="H82" s="61" t="s">
        <v>9</v>
      </c>
      <c r="I82" s="61" t="s">
        <v>9</v>
      </c>
      <c r="J82" s="61" t="s">
        <v>9</v>
      </c>
      <c r="K82" s="61" t="s">
        <v>9</v>
      </c>
      <c r="L82" s="33" t="str">
        <f t="shared" si="25"/>
        <v>Sistemas.Prediais</v>
      </c>
      <c r="M82" s="33" t="str">
        <f t="shared" si="26"/>
        <v>Sistema.Incêndio</v>
      </c>
      <c r="N82" s="33" t="s">
        <v>202</v>
      </c>
      <c r="O82" s="52" t="s">
        <v>193</v>
      </c>
      <c r="P82" s="52" t="s">
        <v>103</v>
      </c>
      <c r="Q82" s="30" t="s">
        <v>331</v>
      </c>
      <c r="R82" s="30" t="s">
        <v>316</v>
      </c>
      <c r="S82" s="69" t="s">
        <v>9</v>
      </c>
      <c r="T82" s="30" t="str">
        <f t="shared" si="24"/>
        <v>Sistemas Prediais</v>
      </c>
      <c r="U82" s="30" t="str">
        <f t="shared" si="24"/>
        <v>Sistema Incêndio</v>
      </c>
      <c r="V82" s="30" t="str">
        <f t="shared" si="24"/>
        <v>Tubulação de Incêndio</v>
      </c>
      <c r="W82" s="30" t="s">
        <v>220</v>
      </c>
      <c r="X82" s="59" t="str">
        <f t="shared" si="15"/>
        <v>Key-INC-82</v>
      </c>
      <c r="Y82" s="29" t="s">
        <v>248</v>
      </c>
      <c r="Z82" s="64" t="s">
        <v>9</v>
      </c>
      <c r="AA82" s="29" t="s">
        <v>104</v>
      </c>
      <c r="AB82" s="64" t="s">
        <v>9</v>
      </c>
      <c r="AC82" s="30" t="s">
        <v>203</v>
      </c>
      <c r="AD82" s="64" t="s">
        <v>9</v>
      </c>
    </row>
    <row r="83" spans="1:30" ht="6.65" customHeight="1" x14ac:dyDescent="0.4">
      <c r="A83" s="60">
        <v>83</v>
      </c>
      <c r="B83" s="1" t="s">
        <v>291</v>
      </c>
      <c r="C83" s="42" t="s">
        <v>292</v>
      </c>
      <c r="D83" s="1" t="s">
        <v>113</v>
      </c>
      <c r="E83" s="42" t="s">
        <v>208</v>
      </c>
      <c r="F83" s="42" t="s">
        <v>116</v>
      </c>
      <c r="G83" s="61" t="s">
        <v>9</v>
      </c>
      <c r="H83" s="61" t="s">
        <v>9</v>
      </c>
      <c r="I83" s="61" t="s">
        <v>9</v>
      </c>
      <c r="J83" s="61" t="s">
        <v>9</v>
      </c>
      <c r="K83" s="61" t="s">
        <v>9</v>
      </c>
      <c r="L83" s="33" t="str">
        <f t="shared" si="25"/>
        <v>Sistemas.Prediais</v>
      </c>
      <c r="M83" s="33" t="str">
        <f t="shared" si="26"/>
        <v>Sistema.Incêndio</v>
      </c>
      <c r="N83" s="33" t="s">
        <v>202</v>
      </c>
      <c r="O83" s="52" t="s">
        <v>194</v>
      </c>
      <c r="P83" s="52" t="s">
        <v>101</v>
      </c>
      <c r="Q83" s="30" t="s">
        <v>101</v>
      </c>
      <c r="R83" s="30" t="s">
        <v>317</v>
      </c>
      <c r="S83" s="69" t="s">
        <v>9</v>
      </c>
      <c r="T83" s="30" t="str">
        <f t="shared" si="24"/>
        <v>Sistemas Prediais</v>
      </c>
      <c r="U83" s="30" t="str">
        <f t="shared" si="24"/>
        <v>Sistema Incêndio</v>
      </c>
      <c r="V83" s="30" t="str">
        <f t="shared" si="24"/>
        <v>Tubulação de Incêndio</v>
      </c>
      <c r="W83" s="30" t="s">
        <v>220</v>
      </c>
      <c r="X83" s="59" t="str">
        <f t="shared" si="15"/>
        <v>Key-INC-83</v>
      </c>
      <c r="Y83" s="29" t="s">
        <v>248</v>
      </c>
      <c r="Z83" s="64" t="s">
        <v>9</v>
      </c>
      <c r="AA83" s="29" t="s">
        <v>104</v>
      </c>
      <c r="AB83" s="64" t="s">
        <v>9</v>
      </c>
      <c r="AC83" s="30" t="s">
        <v>203</v>
      </c>
      <c r="AD83" s="64" t="s">
        <v>9</v>
      </c>
    </row>
    <row r="84" spans="1:30" ht="6.65" customHeight="1" x14ac:dyDescent="0.4">
      <c r="A84" s="60">
        <v>84</v>
      </c>
      <c r="B84" s="1" t="s">
        <v>291</v>
      </c>
      <c r="C84" s="42" t="s">
        <v>292</v>
      </c>
      <c r="D84" s="1" t="s">
        <v>113</v>
      </c>
      <c r="E84" s="42" t="s">
        <v>208</v>
      </c>
      <c r="F84" s="42" t="s">
        <v>117</v>
      </c>
      <c r="G84" s="61" t="s">
        <v>9</v>
      </c>
      <c r="H84" s="61" t="s">
        <v>9</v>
      </c>
      <c r="I84" s="61" t="s">
        <v>9</v>
      </c>
      <c r="J84" s="61" t="s">
        <v>9</v>
      </c>
      <c r="K84" s="61" t="s">
        <v>9</v>
      </c>
      <c r="L84" s="33" t="str">
        <f t="shared" si="25"/>
        <v>Sistemas.Prediais</v>
      </c>
      <c r="M84" s="33" t="str">
        <f t="shared" si="26"/>
        <v>Sistema.Incêndio</v>
      </c>
      <c r="N84" s="33" t="s">
        <v>202</v>
      </c>
      <c r="O84" s="52" t="s">
        <v>195</v>
      </c>
      <c r="P84" s="52" t="s">
        <v>102</v>
      </c>
      <c r="Q84" s="30" t="s">
        <v>332</v>
      </c>
      <c r="R84" s="30" t="s">
        <v>318</v>
      </c>
      <c r="S84" s="69" t="s">
        <v>9</v>
      </c>
      <c r="T84" s="30" t="str">
        <f t="shared" si="24"/>
        <v>Sistemas Prediais</v>
      </c>
      <c r="U84" s="30" t="str">
        <f t="shared" si="24"/>
        <v>Sistema Incêndio</v>
      </c>
      <c r="V84" s="30" t="str">
        <f t="shared" si="24"/>
        <v>Tubulação de Incêndio</v>
      </c>
      <c r="W84" s="30" t="s">
        <v>220</v>
      </c>
      <c r="X84" s="59" t="str">
        <f t="shared" si="15"/>
        <v>Key-INC-84</v>
      </c>
      <c r="Y84" s="29" t="s">
        <v>248</v>
      </c>
      <c r="Z84" s="64" t="s">
        <v>9</v>
      </c>
      <c r="AA84" s="29" t="s">
        <v>246</v>
      </c>
      <c r="AB84" s="64" t="s">
        <v>9</v>
      </c>
      <c r="AC84" s="30" t="s">
        <v>203</v>
      </c>
      <c r="AD84" s="64" t="s">
        <v>9</v>
      </c>
    </row>
    <row r="85" spans="1:30" ht="6.65" customHeight="1" x14ac:dyDescent="0.4">
      <c r="A85" s="60">
        <v>85</v>
      </c>
      <c r="B85" s="1" t="s">
        <v>291</v>
      </c>
      <c r="C85" s="42" t="s">
        <v>292</v>
      </c>
      <c r="D85" s="1" t="s">
        <v>113</v>
      </c>
      <c r="E85" s="42" t="s">
        <v>208</v>
      </c>
      <c r="F85" s="42" t="s">
        <v>169</v>
      </c>
      <c r="G85" s="61" t="s">
        <v>9</v>
      </c>
      <c r="H85" s="61" t="s">
        <v>9</v>
      </c>
      <c r="I85" s="61" t="s">
        <v>9</v>
      </c>
      <c r="J85" s="61" t="s">
        <v>9</v>
      </c>
      <c r="K85" s="61" t="s">
        <v>9</v>
      </c>
      <c r="L85" s="33" t="str">
        <f t="shared" ref="L85:L87" si="27">CONCATENATE("", C85)</f>
        <v>Sistemas.Prediais</v>
      </c>
      <c r="M85" s="33" t="str">
        <f t="shared" ref="M85:M87" si="28">CONCATENATE("", D85)</f>
        <v>Sistema.Incêndio</v>
      </c>
      <c r="N85" s="33" t="s">
        <v>202</v>
      </c>
      <c r="O85" s="52" t="s">
        <v>196</v>
      </c>
      <c r="P85" s="52" t="s">
        <v>102</v>
      </c>
      <c r="Q85" s="30" t="s">
        <v>332</v>
      </c>
      <c r="R85" s="30" t="s">
        <v>318</v>
      </c>
      <c r="S85" s="69" t="s">
        <v>9</v>
      </c>
      <c r="T85" s="30" t="str">
        <f t="shared" ref="T85:T87" si="29">SUBSTITUTE(C85, ".", " ")</f>
        <v>Sistemas Prediais</v>
      </c>
      <c r="U85" s="30" t="str">
        <f t="shared" si="24"/>
        <v>Sistema Incêndio</v>
      </c>
      <c r="V85" s="30" t="str">
        <f t="shared" si="24"/>
        <v>Tubulação de Incêndio</v>
      </c>
      <c r="W85" s="30" t="s">
        <v>220</v>
      </c>
      <c r="X85" s="59" t="str">
        <f t="shared" si="15"/>
        <v>Key-INC-85</v>
      </c>
      <c r="Y85" s="29" t="s">
        <v>248</v>
      </c>
      <c r="Z85" s="64" t="s">
        <v>9</v>
      </c>
      <c r="AA85" s="29" t="s">
        <v>246</v>
      </c>
      <c r="AB85" s="64" t="s">
        <v>9</v>
      </c>
      <c r="AC85" s="30" t="s">
        <v>203</v>
      </c>
      <c r="AD85" s="64" t="s">
        <v>9</v>
      </c>
    </row>
    <row r="86" spans="1:30" ht="6.65" customHeight="1" x14ac:dyDescent="0.4">
      <c r="A86" s="60">
        <v>86</v>
      </c>
      <c r="B86" s="1" t="s">
        <v>215</v>
      </c>
      <c r="C86" s="42" t="s">
        <v>216</v>
      </c>
      <c r="D86" s="1" t="s">
        <v>230</v>
      </c>
      <c r="E86" s="42" t="s">
        <v>231</v>
      </c>
      <c r="F86" s="42" t="s">
        <v>224</v>
      </c>
      <c r="G86" s="61" t="s">
        <v>9</v>
      </c>
      <c r="H86" s="61" t="s">
        <v>9</v>
      </c>
      <c r="I86" s="61" t="s">
        <v>9</v>
      </c>
      <c r="J86" s="61" t="s">
        <v>9</v>
      </c>
      <c r="K86" s="61" t="s">
        <v>9</v>
      </c>
      <c r="L86" s="33" t="str">
        <f t="shared" si="27"/>
        <v>De.Incêndio</v>
      </c>
      <c r="M86" s="33" t="str">
        <f t="shared" si="28"/>
        <v>Sistemas.Passivos</v>
      </c>
      <c r="N86" s="33" t="s">
        <v>226</v>
      </c>
      <c r="O86" s="52" t="s">
        <v>222</v>
      </c>
      <c r="P86" s="52" t="s">
        <v>217</v>
      </c>
      <c r="Q86" s="30" t="s">
        <v>333</v>
      </c>
      <c r="R86" s="30" t="s">
        <v>319</v>
      </c>
      <c r="S86" s="69" t="s">
        <v>9</v>
      </c>
      <c r="T86" s="30" t="str">
        <f t="shared" si="29"/>
        <v>De Incêndio</v>
      </c>
      <c r="U86" s="30" t="str">
        <f t="shared" ref="U86:U88" si="30">SUBSTITUTE(D86, ".", " ")</f>
        <v>Sistemas Passivos</v>
      </c>
      <c r="V86" s="30" t="str">
        <f t="shared" ref="V86:V88" si="31">SUBSTITUTE(E86, ".", " ")</f>
        <v>De Selagem</v>
      </c>
      <c r="W86" s="30" t="s">
        <v>220</v>
      </c>
      <c r="X86" s="59" t="str">
        <f t="shared" si="15"/>
        <v>Key-INC-86</v>
      </c>
      <c r="Y86" s="29" t="s">
        <v>218</v>
      </c>
      <c r="Z86" s="64" t="s">
        <v>9</v>
      </c>
      <c r="AA86" s="29" t="s">
        <v>219</v>
      </c>
      <c r="AB86" s="64" t="s">
        <v>9</v>
      </c>
      <c r="AC86" s="30" t="s">
        <v>203</v>
      </c>
      <c r="AD86" s="64" t="s">
        <v>9</v>
      </c>
    </row>
    <row r="87" spans="1:30" ht="6.65" customHeight="1" x14ac:dyDescent="0.4">
      <c r="A87" s="60">
        <v>87</v>
      </c>
      <c r="B87" s="1" t="s">
        <v>215</v>
      </c>
      <c r="C87" s="42" t="s">
        <v>216</v>
      </c>
      <c r="D87" s="1" t="s">
        <v>230</v>
      </c>
      <c r="E87" s="42" t="s">
        <v>231</v>
      </c>
      <c r="F87" s="42" t="s">
        <v>223</v>
      </c>
      <c r="G87" s="61" t="s">
        <v>9</v>
      </c>
      <c r="H87" s="61" t="s">
        <v>9</v>
      </c>
      <c r="I87" s="61" t="s">
        <v>9</v>
      </c>
      <c r="J87" s="61" t="s">
        <v>9</v>
      </c>
      <c r="K87" s="61" t="s">
        <v>9</v>
      </c>
      <c r="L87" s="33" t="str">
        <f t="shared" si="27"/>
        <v>De.Incêndio</v>
      </c>
      <c r="M87" s="33" t="str">
        <f t="shared" si="28"/>
        <v>Sistemas.Passivos</v>
      </c>
      <c r="N87" s="33" t="s">
        <v>226</v>
      </c>
      <c r="O87" s="52" t="s">
        <v>221</v>
      </c>
      <c r="P87" s="52" t="s">
        <v>228</v>
      </c>
      <c r="Q87" s="30" t="s">
        <v>334</v>
      </c>
      <c r="R87" s="30" t="s">
        <v>320</v>
      </c>
      <c r="S87" s="69" t="s">
        <v>9</v>
      </c>
      <c r="T87" s="30" t="str">
        <f t="shared" si="29"/>
        <v>De Incêndio</v>
      </c>
      <c r="U87" s="30" t="str">
        <f t="shared" si="30"/>
        <v>Sistemas Passivos</v>
      </c>
      <c r="V87" s="30" t="str">
        <f t="shared" si="31"/>
        <v>De Selagem</v>
      </c>
      <c r="W87" s="30" t="s">
        <v>220</v>
      </c>
      <c r="X87" s="59" t="str">
        <f t="shared" si="15"/>
        <v>Key-INC-87</v>
      </c>
      <c r="Y87" s="29" t="s">
        <v>244</v>
      </c>
      <c r="Z87" s="64" t="s">
        <v>9</v>
      </c>
      <c r="AA87" s="29" t="s">
        <v>9</v>
      </c>
      <c r="AB87" s="64" t="s">
        <v>9</v>
      </c>
      <c r="AC87" s="30" t="s">
        <v>203</v>
      </c>
      <c r="AD87" s="64" t="s">
        <v>9</v>
      </c>
    </row>
    <row r="88" spans="1:30" ht="6" customHeight="1" x14ac:dyDescent="0.4">
      <c r="A88" s="60">
        <v>88</v>
      </c>
      <c r="B88" s="1" t="s">
        <v>215</v>
      </c>
      <c r="C88" s="42" t="s">
        <v>216</v>
      </c>
      <c r="D88" s="1" t="s">
        <v>230</v>
      </c>
      <c r="E88" s="42" t="s">
        <v>231</v>
      </c>
      <c r="F88" s="42" t="s">
        <v>225</v>
      </c>
      <c r="G88" s="61" t="s">
        <v>9</v>
      </c>
      <c r="H88" s="61" t="s">
        <v>9</v>
      </c>
      <c r="I88" s="61" t="s">
        <v>9</v>
      </c>
      <c r="J88" s="61" t="s">
        <v>9</v>
      </c>
      <c r="K88" s="61" t="s">
        <v>9</v>
      </c>
      <c r="L88" s="33" t="str">
        <f t="shared" ref="L88:L90" si="32">CONCATENATE("", C88)</f>
        <v>De.Incêndio</v>
      </c>
      <c r="M88" s="33" t="str">
        <f t="shared" ref="M88:M90" si="33">CONCATENATE("", D88)</f>
        <v>Sistemas.Passivos</v>
      </c>
      <c r="N88" s="33" t="s">
        <v>226</v>
      </c>
      <c r="O88" s="52" t="s">
        <v>227</v>
      </c>
      <c r="P88" s="52" t="s">
        <v>229</v>
      </c>
      <c r="Q88" s="30" t="s">
        <v>335</v>
      </c>
      <c r="R88" s="30" t="s">
        <v>321</v>
      </c>
      <c r="S88" s="69" t="s">
        <v>9</v>
      </c>
      <c r="T88" s="30" t="str">
        <f t="shared" ref="T88:T90" si="34">SUBSTITUTE(C88, ".", " ")</f>
        <v>De Incêndio</v>
      </c>
      <c r="U88" s="30" t="str">
        <f t="shared" si="30"/>
        <v>Sistemas Passivos</v>
      </c>
      <c r="V88" s="30" t="str">
        <f t="shared" si="31"/>
        <v>De Selagem</v>
      </c>
      <c r="W88" s="30" t="s">
        <v>220</v>
      </c>
      <c r="X88" s="59" t="str">
        <f t="shared" si="15"/>
        <v>Key-INC-88</v>
      </c>
      <c r="Y88" s="29" t="s">
        <v>245</v>
      </c>
      <c r="Z88" s="64" t="s">
        <v>9</v>
      </c>
      <c r="AA88" s="29" t="s">
        <v>9</v>
      </c>
      <c r="AB88" s="64" t="s">
        <v>9</v>
      </c>
      <c r="AC88" s="30" t="s">
        <v>203</v>
      </c>
      <c r="AD88" s="64" t="s">
        <v>9</v>
      </c>
    </row>
    <row r="89" spans="1:30" ht="6.65" customHeight="1" x14ac:dyDescent="0.4">
      <c r="A89" s="60">
        <v>89</v>
      </c>
      <c r="B89" s="1" t="s">
        <v>215</v>
      </c>
      <c r="C89" s="42" t="s">
        <v>216</v>
      </c>
      <c r="D89" s="1" t="s">
        <v>232</v>
      </c>
      <c r="E89" s="42" t="s">
        <v>233</v>
      </c>
      <c r="F89" s="42" t="s">
        <v>234</v>
      </c>
      <c r="G89" s="61" t="s">
        <v>9</v>
      </c>
      <c r="H89" s="61" t="s">
        <v>9</v>
      </c>
      <c r="I89" s="61" t="s">
        <v>9</v>
      </c>
      <c r="J89" s="61" t="s">
        <v>9</v>
      </c>
      <c r="K89" s="61" t="s">
        <v>9</v>
      </c>
      <c r="L89" s="33" t="str">
        <f t="shared" ref="L89" si="35">CONCATENATE("", C89)</f>
        <v>De.Incêndio</v>
      </c>
      <c r="M89" s="33" t="str">
        <f t="shared" ref="M89" si="36">CONCATENATE("", D89)</f>
        <v>Sistemas.Ativos</v>
      </c>
      <c r="N89" s="52" t="s">
        <v>240</v>
      </c>
      <c r="O89" s="52" t="s">
        <v>237</v>
      </c>
      <c r="P89" s="63" t="s">
        <v>241</v>
      </c>
      <c r="Q89" s="30" t="s">
        <v>336</v>
      </c>
      <c r="R89" s="30" t="s">
        <v>322</v>
      </c>
      <c r="S89" s="69" t="s">
        <v>9</v>
      </c>
      <c r="T89" s="30" t="str">
        <f t="shared" ref="T89" si="37">SUBSTITUTE(C89, ".", " ")</f>
        <v>De Incêndio</v>
      </c>
      <c r="U89" s="30" t="str">
        <f t="shared" ref="U89:U91" si="38">SUBSTITUTE(D89, ".", " ")</f>
        <v>Sistemas Ativos</v>
      </c>
      <c r="V89" s="30" t="str">
        <f t="shared" ref="V89:V91" si="39">SUBSTITUTE(E89, ".", " ")</f>
        <v>De Combate</v>
      </c>
      <c r="W89" s="30" t="s">
        <v>220</v>
      </c>
      <c r="X89" s="59" t="str">
        <f t="shared" si="15"/>
        <v>Key-INC-89</v>
      </c>
      <c r="Y89" s="30" t="s">
        <v>249</v>
      </c>
      <c r="Z89" s="64" t="s">
        <v>9</v>
      </c>
      <c r="AA89" s="29" t="s">
        <v>247</v>
      </c>
      <c r="AB89" s="64" t="s">
        <v>9</v>
      </c>
      <c r="AC89" s="30" t="s">
        <v>203</v>
      </c>
      <c r="AD89" s="64" t="s">
        <v>9</v>
      </c>
    </row>
    <row r="90" spans="1:30" ht="6.65" customHeight="1" x14ac:dyDescent="0.4">
      <c r="A90" s="60">
        <v>90</v>
      </c>
      <c r="B90" s="1" t="s">
        <v>215</v>
      </c>
      <c r="C90" s="42" t="s">
        <v>216</v>
      </c>
      <c r="D90" s="1" t="s">
        <v>232</v>
      </c>
      <c r="E90" s="42" t="s">
        <v>233</v>
      </c>
      <c r="F90" s="42" t="s">
        <v>235</v>
      </c>
      <c r="G90" s="61" t="s">
        <v>9</v>
      </c>
      <c r="H90" s="61" t="s">
        <v>9</v>
      </c>
      <c r="I90" s="61" t="s">
        <v>9</v>
      </c>
      <c r="J90" s="61" t="s">
        <v>9</v>
      </c>
      <c r="K90" s="61" t="s">
        <v>9</v>
      </c>
      <c r="L90" s="33" t="str">
        <f t="shared" si="32"/>
        <v>De.Incêndio</v>
      </c>
      <c r="M90" s="33" t="str">
        <f t="shared" si="33"/>
        <v>Sistemas.Ativos</v>
      </c>
      <c r="N90" s="52" t="s">
        <v>240</v>
      </c>
      <c r="O90" s="52" t="s">
        <v>238</v>
      </c>
      <c r="P90" s="63" t="s">
        <v>242</v>
      </c>
      <c r="Q90" s="30" t="s">
        <v>337</v>
      </c>
      <c r="R90" s="30" t="s">
        <v>323</v>
      </c>
      <c r="S90" s="69" t="s">
        <v>9</v>
      </c>
      <c r="T90" s="30" t="str">
        <f t="shared" si="34"/>
        <v>De Incêndio</v>
      </c>
      <c r="U90" s="30" t="str">
        <f t="shared" ref="U90" si="40">SUBSTITUTE(D90, ".", " ")</f>
        <v>Sistemas Ativos</v>
      </c>
      <c r="V90" s="30" t="str">
        <f t="shared" ref="V90" si="41">SUBSTITUTE(E90, ".", " ")</f>
        <v>De Combate</v>
      </c>
      <c r="W90" s="30" t="s">
        <v>220</v>
      </c>
      <c r="X90" s="59" t="str">
        <f t="shared" si="15"/>
        <v>Key-INC-90</v>
      </c>
      <c r="Y90" s="30" t="s">
        <v>249</v>
      </c>
      <c r="Z90" s="64" t="s">
        <v>9</v>
      </c>
      <c r="AA90" s="29" t="s">
        <v>247</v>
      </c>
      <c r="AB90" s="64" t="s">
        <v>9</v>
      </c>
      <c r="AC90" s="30" t="s">
        <v>203</v>
      </c>
      <c r="AD90" s="64" t="s">
        <v>9</v>
      </c>
    </row>
    <row r="91" spans="1:30" ht="6.65" customHeight="1" x14ac:dyDescent="0.4">
      <c r="A91" s="60">
        <v>91</v>
      </c>
      <c r="B91" s="1" t="s">
        <v>215</v>
      </c>
      <c r="C91" s="42" t="s">
        <v>216</v>
      </c>
      <c r="D91" s="1" t="s">
        <v>232</v>
      </c>
      <c r="E91" s="42" t="s">
        <v>233</v>
      </c>
      <c r="F91" s="42" t="s">
        <v>236</v>
      </c>
      <c r="G91" s="61" t="s">
        <v>9</v>
      </c>
      <c r="H91" s="61" t="s">
        <v>9</v>
      </c>
      <c r="I91" s="61" t="s">
        <v>9</v>
      </c>
      <c r="J91" s="61" t="s">
        <v>9</v>
      </c>
      <c r="K91" s="61" t="s">
        <v>9</v>
      </c>
      <c r="L91" s="33" t="str">
        <f t="shared" ref="L91" si="42">CONCATENATE("", C91)</f>
        <v>De.Incêndio</v>
      </c>
      <c r="M91" s="33" t="str">
        <f t="shared" ref="M91" si="43">CONCATENATE("", D91)</f>
        <v>Sistemas.Ativos</v>
      </c>
      <c r="N91" s="52" t="s">
        <v>240</v>
      </c>
      <c r="O91" s="52" t="s">
        <v>239</v>
      </c>
      <c r="P91" s="63" t="s">
        <v>243</v>
      </c>
      <c r="Q91" s="30" t="s">
        <v>338</v>
      </c>
      <c r="R91" s="30" t="s">
        <v>324</v>
      </c>
      <c r="S91" s="69" t="s">
        <v>9</v>
      </c>
      <c r="T91" s="30" t="str">
        <f t="shared" ref="T91" si="44">SUBSTITUTE(C91, ".", " ")</f>
        <v>De Incêndio</v>
      </c>
      <c r="U91" s="30" t="str">
        <f t="shared" si="38"/>
        <v>Sistemas Ativos</v>
      </c>
      <c r="V91" s="30" t="str">
        <f t="shared" si="39"/>
        <v>De Combate</v>
      </c>
      <c r="W91" s="30" t="s">
        <v>220</v>
      </c>
      <c r="X91" s="59" t="str">
        <f t="shared" si="15"/>
        <v>Key-INC-91</v>
      </c>
      <c r="Y91" s="30" t="s">
        <v>249</v>
      </c>
      <c r="Z91" s="64" t="s">
        <v>9</v>
      </c>
      <c r="AA91" s="29" t="s">
        <v>247</v>
      </c>
      <c r="AB91" s="64" t="s">
        <v>9</v>
      </c>
      <c r="AC91" s="30" t="s">
        <v>203</v>
      </c>
      <c r="AD91" s="64" t="s">
        <v>9</v>
      </c>
    </row>
    <row r="92" spans="1:30" ht="6.65" customHeight="1" x14ac:dyDescent="0.4">
      <c r="A92" s="60">
        <v>92</v>
      </c>
      <c r="B92" s="1" t="s">
        <v>215</v>
      </c>
      <c r="C92" s="42" t="s">
        <v>216</v>
      </c>
      <c r="D92" s="1" t="s">
        <v>232</v>
      </c>
      <c r="E92" s="42" t="s">
        <v>268</v>
      </c>
      <c r="F92" s="42" t="s">
        <v>269</v>
      </c>
      <c r="G92" s="61" t="s">
        <v>9</v>
      </c>
      <c r="H92" s="61" t="s">
        <v>9</v>
      </c>
      <c r="I92" s="61" t="s">
        <v>9</v>
      </c>
      <c r="J92" s="61" t="s">
        <v>9</v>
      </c>
      <c r="K92" s="61" t="s">
        <v>9</v>
      </c>
      <c r="L92" s="33" t="str">
        <f t="shared" ref="L92" si="45">CONCATENATE("", C92)</f>
        <v>De.Incêndio</v>
      </c>
      <c r="M92" s="33" t="str">
        <f t="shared" ref="M92" si="46">CONCATENATE("", D92)</f>
        <v>Sistemas.Ativos</v>
      </c>
      <c r="N92" s="52" t="s">
        <v>267</v>
      </c>
      <c r="O92" s="52" t="s">
        <v>274</v>
      </c>
      <c r="P92" s="63" t="s">
        <v>283</v>
      </c>
      <c r="Q92" s="30" t="s">
        <v>339</v>
      </c>
      <c r="R92" s="30" t="s">
        <v>325</v>
      </c>
      <c r="S92" s="69" t="s">
        <v>9</v>
      </c>
      <c r="T92" s="30" t="str">
        <f t="shared" ref="T92" si="47">SUBSTITUTE(C92, ".", " ")</f>
        <v>De Incêndio</v>
      </c>
      <c r="U92" s="30" t="str">
        <f t="shared" ref="U92" si="48">SUBSTITUTE(D92, ".", " ")</f>
        <v>Sistemas Ativos</v>
      </c>
      <c r="V92" s="30" t="str">
        <f t="shared" ref="V92" si="49">SUBSTITUTE(E92, ".", " ")</f>
        <v>De Detecção</v>
      </c>
      <c r="W92" s="30" t="s">
        <v>220</v>
      </c>
      <c r="X92" s="59" t="str">
        <f t="shared" si="15"/>
        <v>Key-INC-92</v>
      </c>
      <c r="Y92" s="30" t="s">
        <v>249</v>
      </c>
      <c r="Z92" s="64" t="s">
        <v>9</v>
      </c>
      <c r="AA92" s="29" t="s">
        <v>247</v>
      </c>
      <c r="AB92" s="64" t="s">
        <v>9</v>
      </c>
      <c r="AC92" s="30" t="s">
        <v>203</v>
      </c>
      <c r="AD92" s="64" t="s">
        <v>9</v>
      </c>
    </row>
    <row r="93" spans="1:30" ht="6.65" customHeight="1" x14ac:dyDescent="0.4">
      <c r="A93" s="60">
        <v>93</v>
      </c>
      <c r="B93" s="1" t="s">
        <v>215</v>
      </c>
      <c r="C93" s="42" t="s">
        <v>216</v>
      </c>
      <c r="D93" s="1" t="s">
        <v>232</v>
      </c>
      <c r="E93" s="42" t="s">
        <v>268</v>
      </c>
      <c r="F93" s="42" t="s">
        <v>270</v>
      </c>
      <c r="G93" s="61" t="s">
        <v>9</v>
      </c>
      <c r="H93" s="61" t="s">
        <v>9</v>
      </c>
      <c r="I93" s="61" t="s">
        <v>9</v>
      </c>
      <c r="J93" s="61" t="s">
        <v>9</v>
      </c>
      <c r="K93" s="61" t="s">
        <v>9</v>
      </c>
      <c r="L93" s="33" t="str">
        <f t="shared" ref="L93:L94" si="50">CONCATENATE("", C93)</f>
        <v>De.Incêndio</v>
      </c>
      <c r="M93" s="33" t="str">
        <f t="shared" ref="M93:M94" si="51">CONCATENATE("", D93)</f>
        <v>Sistemas.Ativos</v>
      </c>
      <c r="N93" s="52" t="s">
        <v>267</v>
      </c>
      <c r="O93" s="52" t="s">
        <v>275</v>
      </c>
      <c r="P93" s="63" t="s">
        <v>282</v>
      </c>
      <c r="Q93" s="30" t="s">
        <v>340</v>
      </c>
      <c r="R93" s="30" t="s">
        <v>326</v>
      </c>
      <c r="S93" s="69" t="s">
        <v>9</v>
      </c>
      <c r="T93" s="30" t="str">
        <f t="shared" ref="T93:T94" si="52">SUBSTITUTE(C93, ".", " ")</f>
        <v>De Incêndio</v>
      </c>
      <c r="U93" s="30" t="str">
        <f t="shared" ref="U93:U94" si="53">SUBSTITUTE(D93, ".", " ")</f>
        <v>Sistemas Ativos</v>
      </c>
      <c r="V93" s="30" t="str">
        <f t="shared" ref="V93:V94" si="54">SUBSTITUTE(E93, ".", " ")</f>
        <v>De Detecção</v>
      </c>
      <c r="W93" s="30" t="s">
        <v>220</v>
      </c>
      <c r="X93" s="59" t="str">
        <f t="shared" si="15"/>
        <v>Key-INC-93</v>
      </c>
      <c r="Y93" s="30" t="s">
        <v>249</v>
      </c>
      <c r="Z93" s="64" t="s">
        <v>9</v>
      </c>
      <c r="AA93" s="29" t="s">
        <v>247</v>
      </c>
      <c r="AB93" s="64" t="s">
        <v>9</v>
      </c>
      <c r="AC93" s="30" t="s">
        <v>203</v>
      </c>
      <c r="AD93" s="64" t="s">
        <v>9</v>
      </c>
    </row>
    <row r="94" spans="1:30" ht="6.65" customHeight="1" x14ac:dyDescent="0.4">
      <c r="A94" s="60">
        <v>94</v>
      </c>
      <c r="B94" s="1" t="s">
        <v>215</v>
      </c>
      <c r="C94" s="42" t="s">
        <v>216</v>
      </c>
      <c r="D94" s="1" t="s">
        <v>232</v>
      </c>
      <c r="E94" s="42" t="s">
        <v>268</v>
      </c>
      <c r="F94" s="42" t="s">
        <v>271</v>
      </c>
      <c r="G94" s="61" t="s">
        <v>9</v>
      </c>
      <c r="H94" s="61" t="s">
        <v>9</v>
      </c>
      <c r="I94" s="61" t="s">
        <v>9</v>
      </c>
      <c r="J94" s="61" t="s">
        <v>9</v>
      </c>
      <c r="K94" s="61" t="s">
        <v>9</v>
      </c>
      <c r="L94" s="33" t="str">
        <f t="shared" si="50"/>
        <v>De.Incêndio</v>
      </c>
      <c r="M94" s="33" t="str">
        <f t="shared" si="51"/>
        <v>Sistemas.Ativos</v>
      </c>
      <c r="N94" s="52" t="s">
        <v>267</v>
      </c>
      <c r="O94" s="52" t="s">
        <v>276</v>
      </c>
      <c r="P94" s="63" t="s">
        <v>281</v>
      </c>
      <c r="Q94" s="30" t="s">
        <v>341</v>
      </c>
      <c r="R94" s="30" t="s">
        <v>327</v>
      </c>
      <c r="S94" s="69" t="s">
        <v>9</v>
      </c>
      <c r="T94" s="30" t="str">
        <f t="shared" si="52"/>
        <v>De Incêndio</v>
      </c>
      <c r="U94" s="30" t="str">
        <f t="shared" si="53"/>
        <v>Sistemas Ativos</v>
      </c>
      <c r="V94" s="30" t="str">
        <f t="shared" si="54"/>
        <v>De Detecção</v>
      </c>
      <c r="W94" s="30" t="s">
        <v>220</v>
      </c>
      <c r="X94" s="59" t="str">
        <f t="shared" si="15"/>
        <v>Key-INC-94</v>
      </c>
      <c r="Y94" s="30" t="s">
        <v>249</v>
      </c>
      <c r="Z94" s="64" t="s">
        <v>9</v>
      </c>
      <c r="AA94" s="29" t="s">
        <v>247</v>
      </c>
      <c r="AB94" s="64" t="s">
        <v>9</v>
      </c>
      <c r="AC94" s="30" t="s">
        <v>203</v>
      </c>
      <c r="AD94" s="64" t="s">
        <v>9</v>
      </c>
    </row>
    <row r="95" spans="1:30" ht="6.65" customHeight="1" x14ac:dyDescent="0.4">
      <c r="A95" s="60">
        <v>95</v>
      </c>
      <c r="B95" s="1" t="s">
        <v>215</v>
      </c>
      <c r="C95" s="42" t="s">
        <v>216</v>
      </c>
      <c r="D95" s="1" t="s">
        <v>232</v>
      </c>
      <c r="E95" s="42" t="s">
        <v>268</v>
      </c>
      <c r="F95" s="42" t="s">
        <v>272</v>
      </c>
      <c r="G95" s="61" t="s">
        <v>9</v>
      </c>
      <c r="H95" s="61" t="s">
        <v>9</v>
      </c>
      <c r="I95" s="61" t="s">
        <v>9</v>
      </c>
      <c r="J95" s="61" t="s">
        <v>9</v>
      </c>
      <c r="K95" s="61" t="s">
        <v>9</v>
      </c>
      <c r="L95" s="33" t="str">
        <f t="shared" ref="L95" si="55">CONCATENATE("", C95)</f>
        <v>De.Incêndio</v>
      </c>
      <c r="M95" s="33" t="str">
        <f t="shared" ref="M95" si="56">CONCATENATE("", D95)</f>
        <v>Sistemas.Ativos</v>
      </c>
      <c r="N95" s="52" t="s">
        <v>267</v>
      </c>
      <c r="O95" s="52" t="s">
        <v>277</v>
      </c>
      <c r="P95" s="63" t="s">
        <v>280</v>
      </c>
      <c r="Q95" s="30" t="s">
        <v>342</v>
      </c>
      <c r="R95" s="30" t="s">
        <v>328</v>
      </c>
      <c r="S95" s="69" t="s">
        <v>9</v>
      </c>
      <c r="T95" s="30" t="str">
        <f t="shared" ref="T95" si="57">SUBSTITUTE(C95, ".", " ")</f>
        <v>De Incêndio</v>
      </c>
      <c r="U95" s="30" t="str">
        <f t="shared" ref="U95" si="58">SUBSTITUTE(D95, ".", " ")</f>
        <v>Sistemas Ativos</v>
      </c>
      <c r="V95" s="30" t="str">
        <f t="shared" ref="V95" si="59">SUBSTITUTE(E95, ".", " ")</f>
        <v>De Detecção</v>
      </c>
      <c r="W95" s="30" t="s">
        <v>220</v>
      </c>
      <c r="X95" s="59" t="str">
        <f t="shared" si="15"/>
        <v>Key-INC-95</v>
      </c>
      <c r="Y95" s="30" t="s">
        <v>249</v>
      </c>
      <c r="Z95" s="64" t="s">
        <v>9</v>
      </c>
      <c r="AA95" s="29" t="s">
        <v>247</v>
      </c>
      <c r="AB95" s="64" t="s">
        <v>9</v>
      </c>
      <c r="AC95" s="30" t="s">
        <v>203</v>
      </c>
      <c r="AD95" s="64" t="s">
        <v>9</v>
      </c>
    </row>
    <row r="96" spans="1:30" ht="6.65" customHeight="1" x14ac:dyDescent="0.4">
      <c r="A96" s="60">
        <v>96</v>
      </c>
      <c r="B96" s="1" t="s">
        <v>215</v>
      </c>
      <c r="C96" s="42" t="s">
        <v>216</v>
      </c>
      <c r="D96" s="1" t="s">
        <v>232</v>
      </c>
      <c r="E96" s="42" t="s">
        <v>268</v>
      </c>
      <c r="F96" s="42" t="s">
        <v>273</v>
      </c>
      <c r="G96" s="61" t="s">
        <v>9</v>
      </c>
      <c r="H96" s="61" t="s">
        <v>9</v>
      </c>
      <c r="I96" s="61" t="s">
        <v>9</v>
      </c>
      <c r="J96" s="61" t="s">
        <v>9</v>
      </c>
      <c r="K96" s="61" t="s">
        <v>9</v>
      </c>
      <c r="L96" s="33" t="str">
        <f t="shared" ref="L96" si="60">CONCATENATE("", C96)</f>
        <v>De.Incêndio</v>
      </c>
      <c r="M96" s="33" t="str">
        <f t="shared" ref="M96" si="61">CONCATENATE("", D96)</f>
        <v>Sistemas.Ativos</v>
      </c>
      <c r="N96" s="52" t="s">
        <v>267</v>
      </c>
      <c r="O96" s="52" t="s">
        <v>278</v>
      </c>
      <c r="P96" s="63" t="s">
        <v>279</v>
      </c>
      <c r="Q96" s="30" t="s">
        <v>343</v>
      </c>
      <c r="R96" s="30" t="s">
        <v>329</v>
      </c>
      <c r="S96" s="69" t="s">
        <v>9</v>
      </c>
      <c r="T96" s="30" t="str">
        <f t="shared" ref="T96:V101" si="62">SUBSTITUTE(C96, ".", " ")</f>
        <v>De Incêndio</v>
      </c>
      <c r="U96" s="30" t="str">
        <f t="shared" ref="U96" si="63">SUBSTITUTE(D96, ".", " ")</f>
        <v>Sistemas Ativos</v>
      </c>
      <c r="V96" s="30" t="str">
        <f t="shared" ref="V96" si="64">SUBSTITUTE(E96, ".", " ")</f>
        <v>De Detecção</v>
      </c>
      <c r="W96" s="30" t="s">
        <v>220</v>
      </c>
      <c r="X96" s="59" t="str">
        <f t="shared" si="15"/>
        <v>Key-INC-96</v>
      </c>
      <c r="Y96" s="30" t="s">
        <v>249</v>
      </c>
      <c r="Z96" s="64" t="s">
        <v>9</v>
      </c>
      <c r="AA96" s="29" t="s">
        <v>247</v>
      </c>
      <c r="AB96" s="64" t="s">
        <v>9</v>
      </c>
      <c r="AC96" s="30" t="s">
        <v>203</v>
      </c>
      <c r="AD96" s="64" t="s">
        <v>9</v>
      </c>
    </row>
    <row r="97" spans="1:30" s="65" customFormat="1" ht="6.75" customHeight="1" x14ac:dyDescent="0.25">
      <c r="A97" s="60">
        <v>97</v>
      </c>
      <c r="B97" s="1" t="s">
        <v>215</v>
      </c>
      <c r="C97" s="66" t="s">
        <v>348</v>
      </c>
      <c r="D97" s="66" t="s">
        <v>350</v>
      </c>
      <c r="E97" s="66" t="s">
        <v>349</v>
      </c>
      <c r="F97" s="66" t="s">
        <v>351</v>
      </c>
      <c r="G97" s="61" t="s">
        <v>9</v>
      </c>
      <c r="H97" s="61" t="s">
        <v>9</v>
      </c>
      <c r="I97" s="61" t="s">
        <v>9</v>
      </c>
      <c r="J97" s="61" t="s">
        <v>9</v>
      </c>
      <c r="K97" s="61" t="s">
        <v>9</v>
      </c>
      <c r="L97" s="33" t="str">
        <f t="shared" ref="L97:O101" si="65">SUBSTITUTE(CONCATENATE("", C97), ".", " ")</f>
        <v>De API</v>
      </c>
      <c r="M97" s="33" t="str">
        <f t="shared" si="65"/>
        <v>Macros</v>
      </c>
      <c r="N97" s="33" t="str">
        <f t="shared" si="65"/>
        <v>Métodos</v>
      </c>
      <c r="O97" s="33" t="str">
        <f t="shared" si="65"/>
        <v>Função Auxiliar</v>
      </c>
      <c r="P97" s="30" t="s">
        <v>352</v>
      </c>
      <c r="Q97" s="30" t="s">
        <v>353</v>
      </c>
      <c r="R97" s="30" t="s">
        <v>354</v>
      </c>
      <c r="S97" s="69" t="s">
        <v>9</v>
      </c>
      <c r="T97" s="30" t="str">
        <f t="shared" si="62"/>
        <v>De API</v>
      </c>
      <c r="U97" s="30" t="str">
        <f t="shared" si="62"/>
        <v>Macros</v>
      </c>
      <c r="V97" s="63" t="str">
        <f t="shared" si="62"/>
        <v>Métodos</v>
      </c>
      <c r="W97" s="30" t="s">
        <v>220</v>
      </c>
      <c r="X97" s="59" t="str">
        <f t="shared" si="15"/>
        <v>Key-INC-97</v>
      </c>
      <c r="Y97" s="64" t="s">
        <v>9</v>
      </c>
      <c r="Z97" s="64" t="s">
        <v>9</v>
      </c>
      <c r="AA97" s="64" t="s">
        <v>9</v>
      </c>
      <c r="AB97" s="64" t="s">
        <v>9</v>
      </c>
      <c r="AC97" s="64" t="s">
        <v>9</v>
      </c>
      <c r="AD97" s="64" t="s">
        <v>9</v>
      </c>
    </row>
    <row r="98" spans="1:30" s="65" customFormat="1" ht="6.75" customHeight="1" x14ac:dyDescent="0.25">
      <c r="A98" s="60">
        <v>98</v>
      </c>
      <c r="B98" s="1" t="s">
        <v>215</v>
      </c>
      <c r="C98" s="66" t="s">
        <v>348</v>
      </c>
      <c r="D98" s="66" t="s">
        <v>350</v>
      </c>
      <c r="E98" s="66" t="s">
        <v>349</v>
      </c>
      <c r="F98" s="66" t="s">
        <v>355</v>
      </c>
      <c r="G98" s="61" t="s">
        <v>9</v>
      </c>
      <c r="H98" s="61" t="s">
        <v>9</v>
      </c>
      <c r="I98" s="61" t="s">
        <v>9</v>
      </c>
      <c r="J98" s="61" t="s">
        <v>9</v>
      </c>
      <c r="K98" s="61" t="s">
        <v>9</v>
      </c>
      <c r="L98" s="33" t="str">
        <f t="shared" si="65"/>
        <v>De API</v>
      </c>
      <c r="M98" s="33" t="str">
        <f t="shared" si="65"/>
        <v>Macros</v>
      </c>
      <c r="N98" s="33" t="str">
        <f t="shared" si="65"/>
        <v>Métodos</v>
      </c>
      <c r="O98" s="33" t="str">
        <f t="shared" si="65"/>
        <v>Função Global</v>
      </c>
      <c r="P98" s="30" t="s">
        <v>356</v>
      </c>
      <c r="Q98" s="30" t="s">
        <v>357</v>
      </c>
      <c r="R98" s="30" t="s">
        <v>358</v>
      </c>
      <c r="S98" s="69" t="s">
        <v>9</v>
      </c>
      <c r="T98" s="30" t="str">
        <f t="shared" si="62"/>
        <v>De API</v>
      </c>
      <c r="U98" s="30" t="str">
        <f t="shared" si="62"/>
        <v>Macros</v>
      </c>
      <c r="V98" s="63" t="str">
        <f t="shared" si="62"/>
        <v>Métodos</v>
      </c>
      <c r="W98" s="30" t="s">
        <v>220</v>
      </c>
      <c r="X98" s="59" t="str">
        <f t="shared" si="15"/>
        <v>Key-INC-98</v>
      </c>
      <c r="Y98" s="64" t="s">
        <v>9</v>
      </c>
      <c r="Z98" s="64" t="s">
        <v>9</v>
      </c>
      <c r="AA98" s="64" t="s">
        <v>9</v>
      </c>
      <c r="AB98" s="64" t="s">
        <v>9</v>
      </c>
      <c r="AC98" s="64" t="s">
        <v>9</v>
      </c>
      <c r="AD98" s="64" t="s">
        <v>9</v>
      </c>
    </row>
    <row r="99" spans="1:30" s="65" customFormat="1" ht="6.75" customHeight="1" x14ac:dyDescent="0.25">
      <c r="A99" s="60">
        <v>99</v>
      </c>
      <c r="B99" s="1" t="s">
        <v>215</v>
      </c>
      <c r="C99" s="66" t="s">
        <v>348</v>
      </c>
      <c r="D99" s="66" t="s">
        <v>350</v>
      </c>
      <c r="E99" s="66" t="s">
        <v>349</v>
      </c>
      <c r="F99" s="66" t="s">
        <v>359</v>
      </c>
      <c r="G99" s="61" t="s">
        <v>9</v>
      </c>
      <c r="H99" s="61" t="s">
        <v>9</v>
      </c>
      <c r="I99" s="61" t="s">
        <v>9</v>
      </c>
      <c r="J99" s="61" t="s">
        <v>9</v>
      </c>
      <c r="K99" s="61" t="s">
        <v>9</v>
      </c>
      <c r="L99" s="33" t="str">
        <f t="shared" si="65"/>
        <v>De API</v>
      </c>
      <c r="M99" s="33" t="str">
        <f t="shared" si="65"/>
        <v>Macros</v>
      </c>
      <c r="N99" s="33" t="str">
        <f t="shared" si="65"/>
        <v>Métodos</v>
      </c>
      <c r="O99" s="33" t="str">
        <f t="shared" si="65"/>
        <v>Função Local</v>
      </c>
      <c r="P99" s="30" t="s">
        <v>360</v>
      </c>
      <c r="Q99" s="30" t="s">
        <v>361</v>
      </c>
      <c r="R99" s="30" t="s">
        <v>362</v>
      </c>
      <c r="S99" s="69" t="s">
        <v>9</v>
      </c>
      <c r="T99" s="30" t="str">
        <f t="shared" si="62"/>
        <v>De API</v>
      </c>
      <c r="U99" s="30" t="str">
        <f t="shared" si="62"/>
        <v>Macros</v>
      </c>
      <c r="V99" s="63" t="str">
        <f t="shared" si="62"/>
        <v>Métodos</v>
      </c>
      <c r="W99" s="30" t="s">
        <v>220</v>
      </c>
      <c r="X99" s="59" t="str">
        <f t="shared" si="15"/>
        <v>Key-INC-99</v>
      </c>
      <c r="Y99" s="64" t="s">
        <v>9</v>
      </c>
      <c r="Z99" s="64" t="s">
        <v>9</v>
      </c>
      <c r="AA99" s="64" t="s">
        <v>9</v>
      </c>
      <c r="AB99" s="64" t="s">
        <v>9</v>
      </c>
      <c r="AC99" s="64" t="s">
        <v>9</v>
      </c>
      <c r="AD99" s="64" t="s">
        <v>9</v>
      </c>
    </row>
    <row r="100" spans="1:30" s="65" customFormat="1" ht="6.75" customHeight="1" x14ac:dyDescent="0.25">
      <c r="A100" s="60">
        <v>100</v>
      </c>
      <c r="B100" s="1" t="s">
        <v>215</v>
      </c>
      <c r="C100" s="66" t="s">
        <v>348</v>
      </c>
      <c r="D100" s="66" t="s">
        <v>350</v>
      </c>
      <c r="E100" s="66" t="s">
        <v>349</v>
      </c>
      <c r="F100" s="66" t="s">
        <v>363</v>
      </c>
      <c r="G100" s="61" t="s">
        <v>9</v>
      </c>
      <c r="H100" s="61" t="s">
        <v>9</v>
      </c>
      <c r="I100" s="61" t="s">
        <v>9</v>
      </c>
      <c r="J100" s="61" t="s">
        <v>9</v>
      </c>
      <c r="K100" s="61" t="s">
        <v>9</v>
      </c>
      <c r="L100" s="33" t="str">
        <f t="shared" si="65"/>
        <v>De API</v>
      </c>
      <c r="M100" s="33" t="str">
        <f t="shared" si="65"/>
        <v>Macros</v>
      </c>
      <c r="N100" s="33" t="str">
        <f t="shared" si="65"/>
        <v>Métodos</v>
      </c>
      <c r="O100" s="33" t="str">
        <f t="shared" si="65"/>
        <v>Função Filtro</v>
      </c>
      <c r="P100" s="30" t="s">
        <v>364</v>
      </c>
      <c r="Q100" s="30" t="s">
        <v>365</v>
      </c>
      <c r="R100" s="30" t="s">
        <v>366</v>
      </c>
      <c r="S100" s="69" t="s">
        <v>9</v>
      </c>
      <c r="T100" s="30" t="str">
        <f t="shared" si="62"/>
        <v>De API</v>
      </c>
      <c r="U100" s="30" t="str">
        <f t="shared" si="62"/>
        <v>Macros</v>
      </c>
      <c r="V100" s="63" t="str">
        <f t="shared" si="62"/>
        <v>Métodos</v>
      </c>
      <c r="W100" s="30" t="s">
        <v>220</v>
      </c>
      <c r="X100" s="59" t="str">
        <f t="shared" si="15"/>
        <v>Key-INC-100</v>
      </c>
      <c r="Y100" s="64" t="s">
        <v>9</v>
      </c>
      <c r="Z100" s="64" t="s">
        <v>9</v>
      </c>
      <c r="AA100" s="64" t="s">
        <v>9</v>
      </c>
      <c r="AB100" s="64" t="s">
        <v>9</v>
      </c>
      <c r="AC100" s="64" t="s">
        <v>9</v>
      </c>
      <c r="AD100" s="64" t="s">
        <v>9</v>
      </c>
    </row>
    <row r="101" spans="1:30" s="65" customFormat="1" ht="6.75" customHeight="1" x14ac:dyDescent="0.25">
      <c r="A101" s="60">
        <v>101</v>
      </c>
      <c r="B101" s="1" t="s">
        <v>215</v>
      </c>
      <c r="C101" s="66" t="s">
        <v>348</v>
      </c>
      <c r="D101" s="66" t="s">
        <v>350</v>
      </c>
      <c r="E101" s="66" t="s">
        <v>367</v>
      </c>
      <c r="F101" s="66" t="s">
        <v>368</v>
      </c>
      <c r="G101" s="61" t="s">
        <v>9</v>
      </c>
      <c r="H101" s="61" t="s">
        <v>9</v>
      </c>
      <c r="I101" s="61" t="s">
        <v>9</v>
      </c>
      <c r="J101" s="61" t="s">
        <v>9</v>
      </c>
      <c r="K101" s="61" t="s">
        <v>9</v>
      </c>
      <c r="L101" s="33" t="str">
        <f t="shared" si="65"/>
        <v>De API</v>
      </c>
      <c r="M101" s="33" t="str">
        <f t="shared" si="65"/>
        <v>Macros</v>
      </c>
      <c r="N101" s="33" t="str">
        <f t="shared" si="65"/>
        <v>Códigos Visuais</v>
      </c>
      <c r="O101" s="33" t="str">
        <f t="shared" si="65"/>
        <v>Bloco de Código</v>
      </c>
      <c r="P101" s="30" t="s">
        <v>369</v>
      </c>
      <c r="Q101" s="30" t="s">
        <v>370</v>
      </c>
      <c r="R101" s="30" t="s">
        <v>371</v>
      </c>
      <c r="S101" s="69" t="s">
        <v>9</v>
      </c>
      <c r="T101" s="30" t="str">
        <f t="shared" si="62"/>
        <v>De API</v>
      </c>
      <c r="U101" s="30" t="str">
        <f t="shared" si="62"/>
        <v>Macros</v>
      </c>
      <c r="V101" s="63" t="str">
        <f t="shared" si="62"/>
        <v>Códigos Visuais</v>
      </c>
      <c r="W101" s="30" t="s">
        <v>220</v>
      </c>
      <c r="X101" s="59" t="str">
        <f t="shared" si="15"/>
        <v>Key-INC-101</v>
      </c>
      <c r="Y101" s="64" t="s">
        <v>9</v>
      </c>
      <c r="Z101" s="64" t="s">
        <v>9</v>
      </c>
      <c r="AA101" s="64" t="s">
        <v>9</v>
      </c>
      <c r="AB101" s="64" t="s">
        <v>9</v>
      </c>
      <c r="AC101" s="64" t="s">
        <v>9</v>
      </c>
      <c r="AD101" s="64" t="s">
        <v>9</v>
      </c>
    </row>
  </sheetData>
  <sortState xmlns:xlrd2="http://schemas.microsoft.com/office/spreadsheetml/2017/richdata2" ref="A63:AC944">
    <sortCondition ref="F63:F944"/>
  </sortState>
  <phoneticPr fontId="1" type="noConversion"/>
  <conditionalFormatting sqref="B63:B101 R63:R96">
    <cfRule type="cellIs" dxfId="30" priority="6" operator="equal">
      <formula>"null"</formula>
    </cfRule>
  </conditionalFormatting>
  <conditionalFormatting sqref="E101:F101">
    <cfRule type="duplicateValues" dxfId="29" priority="24"/>
  </conditionalFormatting>
  <conditionalFormatting sqref="F1">
    <cfRule type="duplicateValues" dxfId="28" priority="1552"/>
  </conditionalFormatting>
  <conditionalFormatting sqref="F64:F79">
    <cfRule type="duplicateValues" dxfId="27" priority="1596"/>
  </conditionalFormatting>
  <conditionalFormatting sqref="F80:F96 F1 F102:F1048576 F63">
    <cfRule type="duplicateValues" dxfId="26" priority="1574"/>
  </conditionalFormatting>
  <conditionalFormatting sqref="F97:F100">
    <cfRule type="duplicateValues" dxfId="25" priority="25"/>
  </conditionalFormatting>
  <conditionalFormatting sqref="F102:F1048576">
    <cfRule type="duplicateValues" dxfId="24" priority="309"/>
    <cfRule type="duplicateValues" dxfId="23" priority="311"/>
    <cfRule type="duplicateValues" dxfId="22" priority="1524"/>
    <cfRule type="duplicateValues" dxfId="21" priority="1545"/>
  </conditionalFormatting>
  <conditionalFormatting sqref="O77:O79 A1:D1 F1:O1 Q1:Z1 AB1:AD1 E64:F76 L64:O76 Q64:Q79 AA64:AA79 AE64:XFD79 F77:F79 L77:M79 E77:E80 N77:N80">
    <cfRule type="cellIs" dxfId="20" priority="116" operator="equal">
      <formula>"null"</formula>
    </cfRule>
  </conditionalFormatting>
  <conditionalFormatting sqref="O79">
    <cfRule type="duplicateValues" dxfId="19" priority="64"/>
  </conditionalFormatting>
  <conditionalFormatting sqref="O80:O88">
    <cfRule type="duplicateValues" dxfId="18" priority="1603"/>
  </conditionalFormatting>
  <conditionalFormatting sqref="O89:O96">
    <cfRule type="duplicateValues" dxfId="17" priority="42"/>
  </conditionalFormatting>
  <conditionalFormatting sqref="Q63">
    <cfRule type="duplicateValues" dxfId="16" priority="75"/>
  </conditionalFormatting>
  <conditionalFormatting sqref="T63:T96">
    <cfRule type="cellIs" dxfId="15" priority="50" operator="equal">
      <formula>"null"</formula>
    </cfRule>
  </conditionalFormatting>
  <conditionalFormatting sqref="Y64:Y80">
    <cfRule type="cellIs" dxfId="14" priority="68" operator="equal">
      <formula>"null"</formula>
    </cfRule>
  </conditionalFormatting>
  <conditionalFormatting sqref="Y89:Y96">
    <cfRule type="cellIs" dxfId="13" priority="37" operator="equal">
      <formula>"null"</formula>
    </cfRule>
  </conditionalFormatting>
  <conditionalFormatting sqref="Q62">
    <cfRule type="cellIs" dxfId="12" priority="2" operator="equal">
      <formula>"null"</formula>
    </cfRule>
  </conditionalFormatting>
  <conditionalFormatting sqref="Y2:Y26 AA2:AA26 AC2:AC26 Q2:R61 A2:B62 R62 A63:A101">
    <cfRule type="cellIs" dxfId="0" priority="3" operator="equal">
      <formula>"null"</formula>
    </cfRule>
  </conditionalFormatting>
  <conditionalFormatting sqref="Y29:Y50 AC29:AC50">
    <cfRule type="cellIs" dxfId="11" priority="5" operator="equal">
      <formula>"null"</formula>
    </cfRule>
  </conditionalFormatting>
  <conditionalFormatting sqref="AA29:AA62 E51:E62 L51:P62 T51:V62 AE51:XFD62">
    <cfRule type="cellIs" dxfId="10" priority="4" operator="equal">
      <formula>"null"</formula>
    </cfRule>
  </conditionalFormatting>
  <conditionalFormatting sqref="F2:F62">
    <cfRule type="duplicateValues" dxfId="9" priority="1"/>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3"/>
  <sheetViews>
    <sheetView zoomScale="180" zoomScaleNormal="180" workbookViewId="0">
      <selection activeCell="B6" sqref="B6"/>
    </sheetView>
  </sheetViews>
  <sheetFormatPr defaultColWidth="11.15234375" defaultRowHeight="7.75" x14ac:dyDescent="0.2"/>
  <cols>
    <col min="1" max="1" width="2.84375" style="10" customWidth="1"/>
    <col min="2" max="10" width="6.53515625" style="11" customWidth="1"/>
    <col min="11" max="21" width="6.53515625" style="9" customWidth="1"/>
    <col min="22" max="16384" width="11.15234375" style="9"/>
  </cols>
  <sheetData>
    <row r="1" spans="1:21" s="4" customFormat="1" x14ac:dyDescent="0.2">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2">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row r="3" spans="1:21" ht="10.5" customHeight="1" x14ac:dyDescent="0.2">
      <c r="A3" s="6">
        <v>3</v>
      </c>
      <c r="B3" s="7" t="s">
        <v>9</v>
      </c>
      <c r="C3" s="7" t="s">
        <v>9</v>
      </c>
      <c r="D3" s="7" t="s">
        <v>9</v>
      </c>
      <c r="E3" s="7" t="s">
        <v>9</v>
      </c>
      <c r="F3" s="7" t="s">
        <v>9</v>
      </c>
      <c r="G3" s="7" t="s">
        <v>9</v>
      </c>
      <c r="H3" s="7" t="s">
        <v>9</v>
      </c>
      <c r="I3" s="7" t="s">
        <v>9</v>
      </c>
      <c r="J3" s="7" t="s">
        <v>9</v>
      </c>
      <c r="K3" s="7" t="s">
        <v>9</v>
      </c>
      <c r="L3" s="7" t="s">
        <v>9</v>
      </c>
      <c r="M3" s="7" t="s">
        <v>9</v>
      </c>
      <c r="N3" s="7" t="s">
        <v>9</v>
      </c>
      <c r="O3" s="7" t="s">
        <v>9</v>
      </c>
      <c r="P3" s="7" t="s">
        <v>9</v>
      </c>
      <c r="Q3" s="7" t="s">
        <v>9</v>
      </c>
      <c r="R3" s="7" t="s">
        <v>9</v>
      </c>
      <c r="S3" s="7" t="s">
        <v>9</v>
      </c>
      <c r="T3" s="7" t="s">
        <v>9</v>
      </c>
      <c r="U3" s="8" t="s">
        <v>9</v>
      </c>
    </row>
  </sheetData>
  <conditionalFormatting sqref="A1:XFD1048576">
    <cfRule type="cellIs" dxfId="8"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5"/>
  <dimension ref="A1:G2"/>
  <sheetViews>
    <sheetView zoomScale="280" zoomScaleNormal="280" workbookViewId="0">
      <pane ySplit="1" topLeftCell="A2" activePane="bottomLeft" state="frozen"/>
      <selection activeCell="B1" sqref="B1"/>
      <selection pane="bottomLeft" activeCell="E7" sqref="E7"/>
    </sheetView>
  </sheetViews>
  <sheetFormatPr defaultColWidth="9.15234375" defaultRowHeight="8.25" customHeight="1" x14ac:dyDescent="0.4"/>
  <cols>
    <col min="1" max="1" width="2.15234375" style="26" customWidth="1"/>
    <col min="2" max="2" width="5.84375" style="25" bestFit="1" customWidth="1"/>
    <col min="3" max="3" width="11.3046875" style="25" bestFit="1" customWidth="1"/>
    <col min="4" max="7" width="10.84375" style="25" bestFit="1" customWidth="1"/>
  </cols>
  <sheetData>
    <row r="1" spans="1:7" ht="33" customHeight="1" x14ac:dyDescent="0.4">
      <c r="A1" s="31">
        <v>0</v>
      </c>
      <c r="B1" s="27" t="s">
        <v>79</v>
      </c>
      <c r="C1" s="28" t="s">
        <v>80</v>
      </c>
      <c r="D1" s="28" t="s">
        <v>81</v>
      </c>
      <c r="E1" s="28" t="s">
        <v>81</v>
      </c>
      <c r="F1" s="28" t="s">
        <v>81</v>
      </c>
      <c r="G1" s="28" t="s">
        <v>81</v>
      </c>
    </row>
    <row r="2" spans="1:7" ht="8.25" customHeight="1" x14ac:dyDescent="0.4">
      <c r="A2" s="32">
        <v>2</v>
      </c>
      <c r="B2" s="30" t="s">
        <v>9</v>
      </c>
      <c r="C2" s="30" t="s">
        <v>9</v>
      </c>
      <c r="D2" s="30" t="s">
        <v>9</v>
      </c>
      <c r="E2" s="30" t="s">
        <v>9</v>
      </c>
      <c r="F2" s="30" t="s">
        <v>9</v>
      </c>
      <c r="G2" s="30" t="s">
        <v>9</v>
      </c>
    </row>
  </sheetData>
  <sortState xmlns:xlrd2="http://schemas.microsoft.com/office/spreadsheetml/2017/richdata2" ref="A2:G2">
    <sortCondition ref="A1:A2"/>
  </sortState>
  <phoneticPr fontId="1" type="noConversion"/>
  <conditionalFormatting sqref="A1:G1 B3:G1048576">
    <cfRule type="containsText" dxfId="7" priority="5" operator="containsText" text="null">
      <formula>NOT(ISERROR(SEARCH("null",A1)))</formula>
    </cfRule>
  </conditionalFormatting>
  <conditionalFormatting sqref="B2">
    <cfRule type="duplicateValues" dxfId="6" priority="1449"/>
    <cfRule type="duplicateValues" dxfId="5" priority="1450"/>
  </conditionalFormatting>
  <conditionalFormatting sqref="B3:B1048576 A1:B1">
    <cfRule type="duplicateValues" dxfId="4" priority="6"/>
  </conditionalFormatting>
  <conditionalFormatting sqref="B3:B1048576 B1">
    <cfRule type="duplicateValues" dxfId="3" priority="4"/>
  </conditionalFormatting>
  <conditionalFormatting sqref="B2:G2">
    <cfRule type="containsText" dxfId="2"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525-EDFB-44CB-9009-6752AEDD7340}">
  <sheetPr codeName="Planilha4"/>
  <dimension ref="A1:S22"/>
  <sheetViews>
    <sheetView zoomScale="205" zoomScaleNormal="205" workbookViewId="0">
      <pane ySplit="1" topLeftCell="A2" activePane="bottomLeft" state="frozen"/>
      <selection pane="bottomLeft" activeCell="O12" sqref="O12"/>
    </sheetView>
  </sheetViews>
  <sheetFormatPr defaultColWidth="11.53515625" defaultRowHeight="7.95" customHeight="1" x14ac:dyDescent="0.4"/>
  <cols>
    <col min="1" max="1" width="2.53515625" bestFit="1" customWidth="1"/>
    <col min="2" max="2" width="8.3828125" customWidth="1"/>
    <col min="3" max="3" width="10.3828125" customWidth="1"/>
    <col min="4" max="4" width="7.84375" customWidth="1"/>
    <col min="5" max="5" width="7.53515625" customWidth="1"/>
    <col min="6" max="6" width="5.15234375" customWidth="1"/>
    <col min="7" max="7" width="56.15234375" customWidth="1"/>
    <col min="8" max="8" width="5.15234375" customWidth="1"/>
    <col min="9" max="9" width="18" customWidth="1"/>
    <col min="10" max="10" width="6.84375" customWidth="1"/>
    <col min="11" max="11" width="18.69140625" customWidth="1"/>
    <col min="12" max="12" width="8.3828125" bestFit="1" customWidth="1"/>
    <col min="13" max="13" width="18.53515625" customWidth="1"/>
    <col min="14" max="14" width="6.84375" customWidth="1"/>
    <col min="15" max="15" width="33.53515625" customWidth="1"/>
    <col min="16" max="16" width="4.69140625" customWidth="1"/>
    <col min="17" max="17" width="42.84375" customWidth="1"/>
    <col min="18" max="18" width="6.69140625" customWidth="1"/>
    <col min="19" max="19" width="6.69140625" bestFit="1" customWidth="1"/>
  </cols>
  <sheetData>
    <row r="1" spans="1:19" ht="14.7" customHeight="1" x14ac:dyDescent="0.4">
      <c r="A1" s="17" t="s">
        <v>10</v>
      </c>
      <c r="B1" s="18" t="s">
        <v>73</v>
      </c>
      <c r="C1" s="18" t="s">
        <v>74</v>
      </c>
      <c r="D1" s="19" t="s">
        <v>75</v>
      </c>
      <c r="E1" s="19" t="s">
        <v>78</v>
      </c>
      <c r="F1" s="19" t="s">
        <v>75</v>
      </c>
      <c r="G1" s="19" t="s">
        <v>78</v>
      </c>
      <c r="H1" s="48" t="s">
        <v>76</v>
      </c>
      <c r="I1" s="19" t="s">
        <v>78</v>
      </c>
      <c r="J1" s="19" t="s">
        <v>75</v>
      </c>
      <c r="K1" s="19" t="s">
        <v>78</v>
      </c>
      <c r="L1" s="19" t="s">
        <v>75</v>
      </c>
      <c r="M1" s="19" t="s">
        <v>78</v>
      </c>
      <c r="N1" s="19" t="s">
        <v>75</v>
      </c>
      <c r="O1" s="19" t="s">
        <v>78</v>
      </c>
      <c r="P1" s="19" t="s">
        <v>75</v>
      </c>
      <c r="Q1" s="19" t="s">
        <v>78</v>
      </c>
      <c r="R1" s="19" t="s">
        <v>75</v>
      </c>
      <c r="S1" s="19" t="s">
        <v>78</v>
      </c>
    </row>
    <row r="2" spans="1:19" ht="7.95" customHeight="1" x14ac:dyDescent="0.4">
      <c r="A2" s="20">
        <v>2</v>
      </c>
      <c r="B2" s="21" t="s">
        <v>94</v>
      </c>
      <c r="C2" s="53" t="s">
        <v>215</v>
      </c>
      <c r="D2" s="50" t="s">
        <v>9</v>
      </c>
      <c r="E2" s="51" t="s">
        <v>9</v>
      </c>
      <c r="F2" s="22" t="s">
        <v>77</v>
      </c>
      <c r="G2" s="23" t="s">
        <v>293</v>
      </c>
      <c r="H2" s="49" t="s">
        <v>9</v>
      </c>
      <c r="I2" s="24" t="s">
        <v>9</v>
      </c>
      <c r="J2" s="49" t="s">
        <v>9</v>
      </c>
      <c r="K2" s="24" t="s">
        <v>9</v>
      </c>
      <c r="L2" s="49" t="s">
        <v>9</v>
      </c>
      <c r="M2" s="24" t="s">
        <v>9</v>
      </c>
      <c r="N2" s="49" t="s">
        <v>9</v>
      </c>
      <c r="O2" s="24" t="s">
        <v>9</v>
      </c>
      <c r="P2" s="49" t="s">
        <v>9</v>
      </c>
      <c r="Q2" s="24" t="s">
        <v>9</v>
      </c>
      <c r="R2" s="49" t="s">
        <v>9</v>
      </c>
      <c r="S2" s="24" t="s">
        <v>9</v>
      </c>
    </row>
    <row r="3" spans="1:19" ht="7.95" customHeight="1" x14ac:dyDescent="0.4">
      <c r="A3" s="20">
        <v>3</v>
      </c>
      <c r="B3" s="21" t="s">
        <v>184</v>
      </c>
      <c r="C3" s="42" t="s">
        <v>113</v>
      </c>
      <c r="D3" s="50" t="s">
        <v>82</v>
      </c>
      <c r="E3" s="34" t="s">
        <v>94</v>
      </c>
      <c r="F3" s="22" t="s">
        <v>77</v>
      </c>
      <c r="G3" s="23" t="s">
        <v>294</v>
      </c>
      <c r="H3" s="49" t="s">
        <v>77</v>
      </c>
      <c r="I3" s="24" t="s">
        <v>189</v>
      </c>
      <c r="J3" s="49" t="s">
        <v>9</v>
      </c>
      <c r="K3" s="24" t="s">
        <v>9</v>
      </c>
      <c r="L3" s="49" t="s">
        <v>9</v>
      </c>
      <c r="M3" s="24" t="s">
        <v>9</v>
      </c>
      <c r="N3" s="49" t="s">
        <v>9</v>
      </c>
      <c r="O3" s="24" t="s">
        <v>108</v>
      </c>
      <c r="P3" s="49" t="s">
        <v>9</v>
      </c>
      <c r="Q3" s="24" t="s">
        <v>9</v>
      </c>
      <c r="R3" s="49" t="s">
        <v>9</v>
      </c>
      <c r="S3" s="24" t="s">
        <v>9</v>
      </c>
    </row>
    <row r="4" spans="1:19" ht="7.95" customHeight="1" x14ac:dyDescent="0.4">
      <c r="A4" s="20">
        <v>4</v>
      </c>
      <c r="B4" s="21" t="s">
        <v>187</v>
      </c>
      <c r="C4" s="42" t="s">
        <v>113</v>
      </c>
      <c r="D4" s="50" t="s">
        <v>82</v>
      </c>
      <c r="E4" s="34" t="s">
        <v>94</v>
      </c>
      <c r="F4" s="22" t="s">
        <v>77</v>
      </c>
      <c r="G4" s="23" t="s">
        <v>294</v>
      </c>
      <c r="H4" s="49" t="s">
        <v>77</v>
      </c>
      <c r="I4" s="24" t="s">
        <v>190</v>
      </c>
      <c r="J4" s="49" t="s">
        <v>9</v>
      </c>
      <c r="K4" s="24" t="s">
        <v>9</v>
      </c>
      <c r="L4" s="49" t="s">
        <v>9</v>
      </c>
      <c r="M4" s="24" t="s">
        <v>9</v>
      </c>
      <c r="N4" s="49" t="s">
        <v>9</v>
      </c>
      <c r="O4" s="24" t="s">
        <v>108</v>
      </c>
      <c r="P4" s="49" t="s">
        <v>9</v>
      </c>
      <c r="Q4" s="24" t="s">
        <v>9</v>
      </c>
      <c r="R4" s="49" t="s">
        <v>9</v>
      </c>
      <c r="S4" s="24" t="s">
        <v>9</v>
      </c>
    </row>
    <row r="5" spans="1:19" ht="7.95" customHeight="1" x14ac:dyDescent="0.4">
      <c r="A5" s="20">
        <v>5</v>
      </c>
      <c r="B5" s="47" t="s">
        <v>262</v>
      </c>
      <c r="C5" s="42" t="s">
        <v>233</v>
      </c>
      <c r="D5" s="50" t="s">
        <v>99</v>
      </c>
      <c r="E5" s="34" t="s">
        <v>184</v>
      </c>
      <c r="F5" s="22" t="s">
        <v>77</v>
      </c>
      <c r="G5" s="23" t="s">
        <v>288</v>
      </c>
      <c r="H5" s="49" t="s">
        <v>77</v>
      </c>
      <c r="I5" s="24" t="s">
        <v>290</v>
      </c>
      <c r="J5" s="49" t="s">
        <v>210</v>
      </c>
      <c r="K5" s="24" t="s">
        <v>188</v>
      </c>
      <c r="L5" s="49" t="s">
        <v>211</v>
      </c>
      <c r="M5" s="24" t="s">
        <v>96</v>
      </c>
      <c r="N5" s="49" t="s">
        <v>98</v>
      </c>
      <c r="O5" s="24" t="s">
        <v>295</v>
      </c>
      <c r="P5" s="49" t="s">
        <v>97</v>
      </c>
      <c r="Q5" s="24" t="s">
        <v>296</v>
      </c>
      <c r="R5" s="49" t="s">
        <v>95</v>
      </c>
      <c r="S5" s="24" t="s">
        <v>264</v>
      </c>
    </row>
    <row r="6" spans="1:19" ht="7.95" customHeight="1" x14ac:dyDescent="0.4">
      <c r="A6" s="20">
        <v>6</v>
      </c>
      <c r="B6" s="47" t="s">
        <v>263</v>
      </c>
      <c r="C6" s="42" t="s">
        <v>233</v>
      </c>
      <c r="D6" s="50" t="s">
        <v>99</v>
      </c>
      <c r="E6" s="34" t="s">
        <v>187</v>
      </c>
      <c r="F6" s="22" t="s">
        <v>77</v>
      </c>
      <c r="G6" s="23" t="s">
        <v>288</v>
      </c>
      <c r="H6" s="49" t="s">
        <v>77</v>
      </c>
      <c r="I6" s="24" t="s">
        <v>290</v>
      </c>
      <c r="J6" s="49" t="s">
        <v>210</v>
      </c>
      <c r="K6" s="24" t="s">
        <v>188</v>
      </c>
      <c r="L6" s="49" t="s">
        <v>211</v>
      </c>
      <c r="M6" s="24" t="s">
        <v>96</v>
      </c>
      <c r="N6" s="49" t="s">
        <v>98</v>
      </c>
      <c r="O6" s="24" t="s">
        <v>295</v>
      </c>
      <c r="P6" s="49" t="s">
        <v>97</v>
      </c>
      <c r="Q6" s="24" t="s">
        <v>296</v>
      </c>
      <c r="R6" s="49" t="s">
        <v>95</v>
      </c>
      <c r="S6" s="24" t="s">
        <v>264</v>
      </c>
    </row>
    <row r="7" spans="1:19" ht="7.95" customHeight="1" x14ac:dyDescent="0.4">
      <c r="A7" s="20">
        <v>7</v>
      </c>
      <c r="B7" s="47" t="s">
        <v>185</v>
      </c>
      <c r="C7" s="42" t="s">
        <v>234</v>
      </c>
      <c r="D7" s="50" t="s">
        <v>99</v>
      </c>
      <c r="E7" s="34" t="s">
        <v>262</v>
      </c>
      <c r="F7" s="22" t="s">
        <v>77</v>
      </c>
      <c r="G7" s="23" t="s">
        <v>288</v>
      </c>
      <c r="H7" s="49" t="s">
        <v>77</v>
      </c>
      <c r="I7" s="24" t="s">
        <v>290</v>
      </c>
      <c r="J7" s="49" t="s">
        <v>210</v>
      </c>
      <c r="K7" s="24" t="s">
        <v>188</v>
      </c>
      <c r="L7" s="49" t="s">
        <v>211</v>
      </c>
      <c r="M7" s="24" t="s">
        <v>96</v>
      </c>
      <c r="N7" s="49" t="s">
        <v>98</v>
      </c>
      <c r="O7" s="24" t="s">
        <v>295</v>
      </c>
      <c r="P7" s="49" t="s">
        <v>97</v>
      </c>
      <c r="Q7" s="24" t="s">
        <v>296</v>
      </c>
      <c r="R7" s="49" t="s">
        <v>95</v>
      </c>
      <c r="S7" s="24" t="s">
        <v>264</v>
      </c>
    </row>
    <row r="8" spans="1:19" ht="7.95" customHeight="1" x14ac:dyDescent="0.4">
      <c r="A8" s="20">
        <v>8</v>
      </c>
      <c r="B8" s="47" t="s">
        <v>186</v>
      </c>
      <c r="C8" s="42" t="s">
        <v>234</v>
      </c>
      <c r="D8" s="50" t="s">
        <v>99</v>
      </c>
      <c r="E8" s="34" t="s">
        <v>262</v>
      </c>
      <c r="F8" s="22" t="s">
        <v>77</v>
      </c>
      <c r="G8" s="23" t="s">
        <v>288</v>
      </c>
      <c r="H8" s="49" t="s">
        <v>77</v>
      </c>
      <c r="I8" s="24" t="s">
        <v>290</v>
      </c>
      <c r="J8" s="49" t="s">
        <v>210</v>
      </c>
      <c r="K8" s="24" t="s">
        <v>188</v>
      </c>
      <c r="L8" s="49" t="s">
        <v>211</v>
      </c>
      <c r="M8" s="24" t="s">
        <v>96</v>
      </c>
      <c r="N8" s="49" t="s">
        <v>98</v>
      </c>
      <c r="O8" s="24" t="s">
        <v>295</v>
      </c>
      <c r="P8" s="49" t="s">
        <v>97</v>
      </c>
      <c r="Q8" s="24" t="s">
        <v>296</v>
      </c>
      <c r="R8" s="49" t="s">
        <v>95</v>
      </c>
      <c r="S8" s="24" t="s">
        <v>264</v>
      </c>
    </row>
    <row r="9" spans="1:19" ht="7.95" customHeight="1" x14ac:dyDescent="0.4">
      <c r="A9" s="20">
        <v>9</v>
      </c>
      <c r="B9" s="47" t="s">
        <v>250</v>
      </c>
      <c r="C9" s="42" t="s">
        <v>234</v>
      </c>
      <c r="D9" s="50" t="s">
        <v>99</v>
      </c>
      <c r="E9" s="34" t="s">
        <v>262</v>
      </c>
      <c r="F9" s="22" t="s">
        <v>77</v>
      </c>
      <c r="G9" s="23" t="s">
        <v>288</v>
      </c>
      <c r="H9" s="49" t="s">
        <v>77</v>
      </c>
      <c r="I9" s="24" t="s">
        <v>290</v>
      </c>
      <c r="J9" s="49" t="s">
        <v>210</v>
      </c>
      <c r="K9" s="24" t="s">
        <v>188</v>
      </c>
      <c r="L9" s="49" t="s">
        <v>211</v>
      </c>
      <c r="M9" s="24" t="s">
        <v>96</v>
      </c>
      <c r="N9" s="49" t="s">
        <v>98</v>
      </c>
      <c r="O9" s="24" t="s">
        <v>295</v>
      </c>
      <c r="P9" s="49" t="s">
        <v>97</v>
      </c>
      <c r="Q9" s="24" t="s">
        <v>296</v>
      </c>
      <c r="R9" s="49" t="s">
        <v>95</v>
      </c>
      <c r="S9" s="24" t="s">
        <v>264</v>
      </c>
    </row>
    <row r="10" spans="1:19" ht="7.95" customHeight="1" x14ac:dyDescent="0.4">
      <c r="A10" s="20">
        <v>10</v>
      </c>
      <c r="B10" s="47" t="s">
        <v>251</v>
      </c>
      <c r="C10" s="42" t="s">
        <v>234</v>
      </c>
      <c r="D10" s="50" t="s">
        <v>99</v>
      </c>
      <c r="E10" s="34" t="s">
        <v>262</v>
      </c>
      <c r="F10" s="22" t="s">
        <v>77</v>
      </c>
      <c r="G10" s="23" t="s">
        <v>288</v>
      </c>
      <c r="H10" s="49" t="s">
        <v>77</v>
      </c>
      <c r="I10" s="24" t="s">
        <v>290</v>
      </c>
      <c r="J10" s="49" t="s">
        <v>210</v>
      </c>
      <c r="K10" s="24" t="s">
        <v>188</v>
      </c>
      <c r="L10" s="49" t="s">
        <v>211</v>
      </c>
      <c r="M10" s="24" t="s">
        <v>96</v>
      </c>
      <c r="N10" s="49" t="s">
        <v>98</v>
      </c>
      <c r="O10" s="24" t="s">
        <v>295</v>
      </c>
      <c r="P10" s="49" t="s">
        <v>97</v>
      </c>
      <c r="Q10" s="24" t="s">
        <v>296</v>
      </c>
      <c r="R10" s="49" t="s">
        <v>95</v>
      </c>
      <c r="S10" s="24" t="s">
        <v>264</v>
      </c>
    </row>
    <row r="11" spans="1:19" ht="7.95" customHeight="1" x14ac:dyDescent="0.4">
      <c r="A11" s="20">
        <v>11</v>
      </c>
      <c r="B11" s="47" t="s">
        <v>252</v>
      </c>
      <c r="C11" s="42" t="s">
        <v>234</v>
      </c>
      <c r="D11" s="50" t="s">
        <v>99</v>
      </c>
      <c r="E11" s="34" t="s">
        <v>262</v>
      </c>
      <c r="F11" s="22" t="s">
        <v>77</v>
      </c>
      <c r="G11" s="23" t="s">
        <v>288</v>
      </c>
      <c r="H11" s="49" t="s">
        <v>77</v>
      </c>
      <c r="I11" s="24" t="s">
        <v>290</v>
      </c>
      <c r="J11" s="49" t="s">
        <v>210</v>
      </c>
      <c r="K11" s="24" t="s">
        <v>188</v>
      </c>
      <c r="L11" s="49" t="s">
        <v>211</v>
      </c>
      <c r="M11" s="24" t="s">
        <v>96</v>
      </c>
      <c r="N11" s="49" t="s">
        <v>98</v>
      </c>
      <c r="O11" s="24" t="s">
        <v>295</v>
      </c>
      <c r="P11" s="49" t="s">
        <v>97</v>
      </c>
      <c r="Q11" s="24" t="s">
        <v>296</v>
      </c>
      <c r="R11" s="49" t="s">
        <v>95</v>
      </c>
      <c r="S11" s="24" t="s">
        <v>264</v>
      </c>
    </row>
    <row r="12" spans="1:19" ht="7.95" customHeight="1" x14ac:dyDescent="0.4">
      <c r="A12" s="20">
        <v>12</v>
      </c>
      <c r="B12" s="47" t="s">
        <v>253</v>
      </c>
      <c r="C12" s="42" t="s">
        <v>234</v>
      </c>
      <c r="D12" s="50" t="s">
        <v>99</v>
      </c>
      <c r="E12" s="34" t="s">
        <v>262</v>
      </c>
      <c r="F12" s="22" t="s">
        <v>77</v>
      </c>
      <c r="G12" s="23" t="s">
        <v>288</v>
      </c>
      <c r="H12" s="49" t="s">
        <v>77</v>
      </c>
      <c r="I12" s="24" t="s">
        <v>290</v>
      </c>
      <c r="J12" s="49" t="s">
        <v>210</v>
      </c>
      <c r="K12" s="24" t="s">
        <v>188</v>
      </c>
      <c r="L12" s="49" t="s">
        <v>211</v>
      </c>
      <c r="M12" s="24" t="s">
        <v>96</v>
      </c>
      <c r="N12" s="49" t="s">
        <v>98</v>
      </c>
      <c r="O12" s="24" t="s">
        <v>295</v>
      </c>
      <c r="P12" s="49" t="s">
        <v>97</v>
      </c>
      <c r="Q12" s="24" t="s">
        <v>296</v>
      </c>
      <c r="R12" s="49" t="s">
        <v>95</v>
      </c>
      <c r="S12" s="24" t="s">
        <v>264</v>
      </c>
    </row>
    <row r="13" spans="1:19" ht="7.95" customHeight="1" x14ac:dyDescent="0.4">
      <c r="A13" s="20">
        <v>13</v>
      </c>
      <c r="B13" s="47" t="s">
        <v>255</v>
      </c>
      <c r="C13" s="42" t="s">
        <v>234</v>
      </c>
      <c r="D13" s="50" t="s">
        <v>99</v>
      </c>
      <c r="E13" s="34" t="s">
        <v>262</v>
      </c>
      <c r="F13" s="22" t="s">
        <v>77</v>
      </c>
      <c r="G13" s="23" t="s">
        <v>288</v>
      </c>
      <c r="H13" s="49" t="s">
        <v>77</v>
      </c>
      <c r="I13" s="24" t="s">
        <v>290</v>
      </c>
      <c r="J13" s="49" t="s">
        <v>210</v>
      </c>
      <c r="K13" s="24" t="s">
        <v>188</v>
      </c>
      <c r="L13" s="49" t="s">
        <v>211</v>
      </c>
      <c r="M13" s="24" t="s">
        <v>96</v>
      </c>
      <c r="N13" s="49" t="s">
        <v>98</v>
      </c>
      <c r="O13" s="24" t="s">
        <v>295</v>
      </c>
      <c r="P13" s="49" t="s">
        <v>97</v>
      </c>
      <c r="Q13" s="24" t="s">
        <v>296</v>
      </c>
      <c r="R13" s="49" t="s">
        <v>95</v>
      </c>
      <c r="S13" s="24" t="s">
        <v>264</v>
      </c>
    </row>
    <row r="14" spans="1:19" ht="7.95" customHeight="1" x14ac:dyDescent="0.4">
      <c r="A14" s="20">
        <v>14</v>
      </c>
      <c r="B14" s="47" t="s">
        <v>256</v>
      </c>
      <c r="C14" s="42" t="s">
        <v>234</v>
      </c>
      <c r="D14" s="50" t="s">
        <v>99</v>
      </c>
      <c r="E14" s="34" t="s">
        <v>263</v>
      </c>
      <c r="F14" s="22" t="s">
        <v>77</v>
      </c>
      <c r="G14" s="23" t="s">
        <v>287</v>
      </c>
      <c r="H14" s="49" t="s">
        <v>77</v>
      </c>
      <c r="I14" s="24" t="s">
        <v>290</v>
      </c>
      <c r="J14" s="49" t="s">
        <v>210</v>
      </c>
      <c r="K14" s="24" t="s">
        <v>188</v>
      </c>
      <c r="L14" s="49" t="s">
        <v>211</v>
      </c>
      <c r="M14" s="24" t="s">
        <v>96</v>
      </c>
      <c r="N14" s="49" t="s">
        <v>98</v>
      </c>
      <c r="O14" s="24" t="s">
        <v>295</v>
      </c>
      <c r="P14" s="49" t="s">
        <v>97</v>
      </c>
      <c r="Q14" s="24" t="s">
        <v>296</v>
      </c>
      <c r="R14" s="49" t="s">
        <v>95</v>
      </c>
      <c r="S14" s="24" t="s">
        <v>264</v>
      </c>
    </row>
    <row r="15" spans="1:19" ht="7.95" customHeight="1" x14ac:dyDescent="0.4">
      <c r="A15" s="20">
        <v>15</v>
      </c>
      <c r="B15" s="47" t="s">
        <v>254</v>
      </c>
      <c r="C15" s="42" t="s">
        <v>234</v>
      </c>
      <c r="D15" s="50" t="s">
        <v>99</v>
      </c>
      <c r="E15" s="34" t="s">
        <v>263</v>
      </c>
      <c r="F15" s="22" t="s">
        <v>77</v>
      </c>
      <c r="G15" s="23" t="s">
        <v>287</v>
      </c>
      <c r="H15" s="49" t="s">
        <v>77</v>
      </c>
      <c r="I15" s="24" t="s">
        <v>290</v>
      </c>
      <c r="J15" s="49" t="s">
        <v>210</v>
      </c>
      <c r="K15" s="24" t="s">
        <v>188</v>
      </c>
      <c r="L15" s="49" t="s">
        <v>211</v>
      </c>
      <c r="M15" s="24" t="s">
        <v>96</v>
      </c>
      <c r="N15" s="49" t="s">
        <v>98</v>
      </c>
      <c r="O15" s="24" t="s">
        <v>295</v>
      </c>
      <c r="P15" s="49" t="s">
        <v>97</v>
      </c>
      <c r="Q15" s="24" t="s">
        <v>296</v>
      </c>
      <c r="R15" s="49" t="s">
        <v>95</v>
      </c>
      <c r="S15" s="24" t="s">
        <v>264</v>
      </c>
    </row>
    <row r="16" spans="1:19" ht="7.95" customHeight="1" x14ac:dyDescent="0.4">
      <c r="A16" s="20">
        <v>16</v>
      </c>
      <c r="B16" s="47" t="s">
        <v>257</v>
      </c>
      <c r="C16" s="42" t="s">
        <v>234</v>
      </c>
      <c r="D16" s="50" t="s">
        <v>99</v>
      </c>
      <c r="E16" s="34" t="s">
        <v>263</v>
      </c>
      <c r="F16" s="22" t="s">
        <v>77</v>
      </c>
      <c r="G16" s="23" t="s">
        <v>287</v>
      </c>
      <c r="H16" s="49" t="s">
        <v>77</v>
      </c>
      <c r="I16" s="24" t="s">
        <v>290</v>
      </c>
      <c r="J16" s="49" t="s">
        <v>210</v>
      </c>
      <c r="K16" s="24" t="s">
        <v>188</v>
      </c>
      <c r="L16" s="49" t="s">
        <v>211</v>
      </c>
      <c r="M16" s="24" t="s">
        <v>96</v>
      </c>
      <c r="N16" s="49" t="s">
        <v>98</v>
      </c>
      <c r="O16" s="24" t="s">
        <v>295</v>
      </c>
      <c r="P16" s="49" t="s">
        <v>97</v>
      </c>
      <c r="Q16" s="24" t="s">
        <v>296</v>
      </c>
      <c r="R16" s="49" t="s">
        <v>95</v>
      </c>
      <c r="S16" s="24" t="s">
        <v>264</v>
      </c>
    </row>
    <row r="17" spans="1:19" ht="7.95" customHeight="1" x14ac:dyDescent="0.4">
      <c r="A17" s="20">
        <v>17</v>
      </c>
      <c r="B17" s="47" t="s">
        <v>258</v>
      </c>
      <c r="C17" s="42" t="s">
        <v>234</v>
      </c>
      <c r="D17" s="50" t="s">
        <v>99</v>
      </c>
      <c r="E17" s="34" t="s">
        <v>263</v>
      </c>
      <c r="F17" s="22" t="s">
        <v>77</v>
      </c>
      <c r="G17" s="23" t="s">
        <v>287</v>
      </c>
      <c r="H17" s="49" t="s">
        <v>77</v>
      </c>
      <c r="I17" s="24" t="s">
        <v>290</v>
      </c>
      <c r="J17" s="49" t="s">
        <v>210</v>
      </c>
      <c r="K17" s="24" t="s">
        <v>188</v>
      </c>
      <c r="L17" s="49" t="s">
        <v>211</v>
      </c>
      <c r="M17" s="24" t="s">
        <v>96</v>
      </c>
      <c r="N17" s="49" t="s">
        <v>98</v>
      </c>
      <c r="O17" s="24" t="s">
        <v>295</v>
      </c>
      <c r="P17" s="49" t="s">
        <v>97</v>
      </c>
      <c r="Q17" s="24" t="s">
        <v>296</v>
      </c>
      <c r="R17" s="49" t="s">
        <v>95</v>
      </c>
      <c r="S17" s="24" t="s">
        <v>264</v>
      </c>
    </row>
    <row r="18" spans="1:19" ht="7.95" customHeight="1" x14ac:dyDescent="0.4">
      <c r="A18" s="20">
        <v>18</v>
      </c>
      <c r="B18" s="47" t="s">
        <v>259</v>
      </c>
      <c r="C18" s="42" t="s">
        <v>234</v>
      </c>
      <c r="D18" s="50" t="s">
        <v>99</v>
      </c>
      <c r="E18" s="34" t="s">
        <v>263</v>
      </c>
      <c r="F18" s="22" t="s">
        <v>77</v>
      </c>
      <c r="G18" s="23" t="s">
        <v>287</v>
      </c>
      <c r="H18" s="49" t="s">
        <v>77</v>
      </c>
      <c r="I18" s="24" t="s">
        <v>290</v>
      </c>
      <c r="J18" s="49" t="s">
        <v>210</v>
      </c>
      <c r="K18" s="24" t="s">
        <v>188</v>
      </c>
      <c r="L18" s="49" t="s">
        <v>211</v>
      </c>
      <c r="M18" s="24" t="s">
        <v>96</v>
      </c>
      <c r="N18" s="49" t="s">
        <v>98</v>
      </c>
      <c r="O18" s="24" t="s">
        <v>295</v>
      </c>
      <c r="P18" s="49" t="s">
        <v>97</v>
      </c>
      <c r="Q18" s="24" t="s">
        <v>296</v>
      </c>
      <c r="R18" s="49" t="s">
        <v>95</v>
      </c>
      <c r="S18" s="24" t="s">
        <v>264</v>
      </c>
    </row>
    <row r="19" spans="1:19" ht="7.95" customHeight="1" x14ac:dyDescent="0.4">
      <c r="A19" s="20">
        <v>19</v>
      </c>
      <c r="B19" s="47" t="s">
        <v>260</v>
      </c>
      <c r="C19" s="42" t="s">
        <v>234</v>
      </c>
      <c r="D19" s="50" t="s">
        <v>99</v>
      </c>
      <c r="E19" s="34" t="s">
        <v>263</v>
      </c>
      <c r="F19" s="22" t="s">
        <v>77</v>
      </c>
      <c r="G19" s="23" t="s">
        <v>287</v>
      </c>
      <c r="H19" s="49" t="s">
        <v>77</v>
      </c>
      <c r="I19" s="24" t="s">
        <v>290</v>
      </c>
      <c r="J19" s="49" t="s">
        <v>210</v>
      </c>
      <c r="K19" s="24" t="s">
        <v>188</v>
      </c>
      <c r="L19" s="49" t="s">
        <v>211</v>
      </c>
      <c r="M19" s="24" t="s">
        <v>96</v>
      </c>
      <c r="N19" s="49" t="s">
        <v>98</v>
      </c>
      <c r="O19" s="24" t="s">
        <v>295</v>
      </c>
      <c r="P19" s="49" t="s">
        <v>97</v>
      </c>
      <c r="Q19" s="24" t="s">
        <v>296</v>
      </c>
      <c r="R19" s="49" t="s">
        <v>95</v>
      </c>
      <c r="S19" s="24" t="s">
        <v>264</v>
      </c>
    </row>
    <row r="20" spans="1:19" ht="7.95" customHeight="1" x14ac:dyDescent="0.4">
      <c r="A20" s="20">
        <v>20</v>
      </c>
      <c r="B20" s="47" t="s">
        <v>261</v>
      </c>
      <c r="C20" s="42" t="s">
        <v>234</v>
      </c>
      <c r="D20" s="50" t="s">
        <v>99</v>
      </c>
      <c r="E20" s="34" t="s">
        <v>263</v>
      </c>
      <c r="F20" s="22" t="s">
        <v>77</v>
      </c>
      <c r="G20" s="23" t="s">
        <v>287</v>
      </c>
      <c r="H20" s="49" t="s">
        <v>77</v>
      </c>
      <c r="I20" s="24" t="s">
        <v>290</v>
      </c>
      <c r="J20" s="49" t="s">
        <v>210</v>
      </c>
      <c r="K20" s="24" t="s">
        <v>188</v>
      </c>
      <c r="L20" s="49" t="s">
        <v>211</v>
      </c>
      <c r="M20" s="24" t="s">
        <v>96</v>
      </c>
      <c r="N20" s="49" t="s">
        <v>98</v>
      </c>
      <c r="O20" s="24" t="s">
        <v>295</v>
      </c>
      <c r="P20" s="49" t="s">
        <v>97</v>
      </c>
      <c r="Q20" s="24" t="s">
        <v>296</v>
      </c>
      <c r="R20" s="49" t="s">
        <v>95</v>
      </c>
      <c r="S20" s="24" t="s">
        <v>264</v>
      </c>
    </row>
    <row r="21" spans="1:19" ht="7.95" customHeight="1" x14ac:dyDescent="0.4">
      <c r="A21" s="20">
        <v>21</v>
      </c>
      <c r="B21" s="47" t="s">
        <v>266</v>
      </c>
      <c r="C21" s="42" t="s">
        <v>270</v>
      </c>
      <c r="D21" s="50" t="s">
        <v>99</v>
      </c>
      <c r="E21" s="34" t="s">
        <v>263</v>
      </c>
      <c r="F21" s="22" t="s">
        <v>77</v>
      </c>
      <c r="G21" s="23" t="s">
        <v>286</v>
      </c>
      <c r="H21" s="49" t="s">
        <v>77</v>
      </c>
      <c r="I21" s="24" t="s">
        <v>284</v>
      </c>
      <c r="J21" s="49" t="s">
        <v>210</v>
      </c>
      <c r="K21" s="24" t="s">
        <v>289</v>
      </c>
      <c r="L21" s="49" t="s">
        <v>211</v>
      </c>
      <c r="M21" s="24" t="s">
        <v>289</v>
      </c>
      <c r="N21" s="49" t="s">
        <v>98</v>
      </c>
      <c r="O21" s="24" t="s">
        <v>295</v>
      </c>
      <c r="P21" s="49" t="s">
        <v>97</v>
      </c>
      <c r="Q21" s="24" t="s">
        <v>296</v>
      </c>
      <c r="R21" s="49" t="s">
        <v>95</v>
      </c>
      <c r="S21" s="24" t="s">
        <v>285</v>
      </c>
    </row>
    <row r="22" spans="1:19" ht="7.95" customHeight="1" x14ac:dyDescent="0.4">
      <c r="A22" s="20">
        <v>22</v>
      </c>
      <c r="B22" s="47" t="s">
        <v>265</v>
      </c>
      <c r="C22" s="42" t="s">
        <v>270</v>
      </c>
      <c r="D22" s="50" t="s">
        <v>99</v>
      </c>
      <c r="E22" s="34" t="s">
        <v>263</v>
      </c>
      <c r="F22" s="22" t="s">
        <v>77</v>
      </c>
      <c r="G22" s="23" t="s">
        <v>286</v>
      </c>
      <c r="H22" s="49" t="s">
        <v>77</v>
      </c>
      <c r="I22" s="24" t="s">
        <v>284</v>
      </c>
      <c r="J22" s="49" t="s">
        <v>210</v>
      </c>
      <c r="K22" s="24" t="s">
        <v>289</v>
      </c>
      <c r="L22" s="49" t="s">
        <v>211</v>
      </c>
      <c r="M22" s="24" t="s">
        <v>289</v>
      </c>
      <c r="N22" s="49" t="s">
        <v>98</v>
      </c>
      <c r="O22" s="24" t="s">
        <v>295</v>
      </c>
      <c r="P22" s="49" t="s">
        <v>97</v>
      </c>
      <c r="Q22" s="24" t="s">
        <v>296</v>
      </c>
      <c r="R22" s="49" t="s">
        <v>95</v>
      </c>
      <c r="S22" s="24" t="s">
        <v>285</v>
      </c>
    </row>
  </sheetData>
  <phoneticPr fontId="1" type="noConversion"/>
  <conditionalFormatting sqref="B1:B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2026-09-06T16:07:04Z</dcterms:modified>
  <dc:language>pt-BR</dc:language>
</cp:coreProperties>
</file>